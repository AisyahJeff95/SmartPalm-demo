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athis" sheetId="2" state="visible" r:id="rId2"/>
    <sheet xmlns:r="http://schemas.openxmlformats.org/officeDocument/2006/relationships" name="Belian" sheetId="3" state="visible" r:id="rId3"/>
    <sheet xmlns:r="http://schemas.openxmlformats.org/officeDocument/2006/relationships" name="Binuang" sheetId="4" state="visible" r:id="rId4"/>
    <sheet xmlns:r="http://schemas.openxmlformats.org/officeDocument/2006/relationships" name="Gaharu" sheetId="5" state="visible" r:id="rId5"/>
    <sheet xmlns:r="http://schemas.openxmlformats.org/officeDocument/2006/relationships" name="Kapur" sheetId="6" state="visible" r:id="rId6"/>
    <sheet xmlns:r="http://schemas.openxmlformats.org/officeDocument/2006/relationships" name="Keruing" sheetId="7" state="visible" r:id="rId7"/>
    <sheet xmlns:r="http://schemas.openxmlformats.org/officeDocument/2006/relationships" name="Menggaris" sheetId="8" state="visible" r:id="rId8"/>
    <sheet xmlns:r="http://schemas.openxmlformats.org/officeDocument/2006/relationships" name="Merbau" sheetId="9" state="visible" r:id="rId9"/>
    <sheet xmlns:r="http://schemas.openxmlformats.org/officeDocument/2006/relationships" name="Ramin" sheetId="10" state="visible" r:id="rId10"/>
    <sheet xmlns:r="http://schemas.openxmlformats.org/officeDocument/2006/relationships" name="Selangan Batu" sheetId="11" state="visible" r:id="rId11"/>
    <sheet xmlns:r="http://schemas.openxmlformats.org/officeDocument/2006/relationships" name="Seray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1">
    <font>
      <name val="Calibri"/>
      <family val="2"/>
      <color theme="1"/>
      <sz val="11"/>
      <scheme val="minor"/>
    </font>
    <font>
      <name val="Aptos Narrow"/>
      <b val="1"/>
      <color rgb="001F4E78"/>
      <sz val="16"/>
    </font>
    <font>
      <name val="Aptos Narrow"/>
      <i val="1"/>
      <color rgb="00595959"/>
      <sz val="11"/>
    </font>
    <font>
      <name val="Aptos Narrow"/>
      <b val="1"/>
      <color rgb="00FFFFFF"/>
      <sz val="12"/>
    </font>
    <font>
      <name val="Aptos Narrow"/>
      <b val="1"/>
      <sz val="11"/>
    </font>
    <font>
      <name val="Aptos Narrow"/>
      <sz val="11"/>
    </font>
    <font>
      <name val="Aptos Narrow"/>
      <family val="2"/>
      <color theme="1"/>
      <sz val="12"/>
      <scheme val="minor"/>
    </font>
    <font>
      <name val="Aptos Narrow"/>
      <family val="2"/>
      <color theme="1"/>
      <sz val="20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sz val="12"/>
    </font>
  </fonts>
  <fills count="10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1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/>
    </xf>
    <xf numFmtId="2" fontId="4" fillId="4" borderId="2" applyAlignment="1" pivotButton="0" quotePrefix="0" xfId="0">
      <alignment horizontal="center" vertical="center"/>
    </xf>
    <xf numFmtId="2" fontId="4" fillId="5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6" fillId="0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2" fontId="10" fillId="4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9" pivotButton="0" quotePrefix="0" xfId="0"/>
    <xf numFmtId="166" fontId="6" fillId="0" borderId="1" applyAlignment="1" pivotButton="0" quotePrefix="0" xfId="0">
      <alignment horizontal="center" vertical="center"/>
    </xf>
    <xf numFmtId="0" fontId="0" fillId="0" borderId="10" pivotButton="0" quotePrefix="0" xfId="0"/>
    <xf numFmtId="166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ptos Narrow"/>
        <color rgb="FF7F6000"/>
        <sz val="11"/>
      </font>
      <fill>
        <patternFill patternType="solid">
          <fgColor rgb="FFFFF2CC"/>
          <bgColor rgb="FFFFF2CC"/>
        </patternFill>
      </fill>
    </dxf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 ht="25" customHeight="1">
      <c r="A1" s="1" t="inlineStr">
        <is>
          <t>BENTA ESTATE NUTRIENT VALIDATION SUMMARY - 2022</t>
        </is>
      </c>
    </row>
    <row r="2" ht="18" customHeight="1">
      <c r="A2" s="2" t="inlineStr">
        <is>
          <t>Comparison between Sentinel-2 Random Forest Predictions (training_v3) and Laboratory Actuals (LSU)</t>
        </is>
      </c>
    </row>
    <row r="3" ht="10" customHeight="1"/>
    <row r="4" ht="28" customHeight="1">
      <c r="A4" s="3" t="inlineStr">
        <is>
          <t>Estate</t>
        </is>
      </c>
      <c r="B4" s="3" t="inlineStr">
        <is>
          <t>Samples</t>
        </is>
      </c>
      <c r="C4" s="3" t="inlineStr">
        <is>
          <t>Mean N (%)</t>
        </is>
      </c>
      <c r="D4" s="3" t="inlineStr">
        <is>
          <t>Mean P (%)</t>
        </is>
      </c>
      <c r="E4" s="3" t="inlineStr">
        <is>
          <t>Mean K (%)</t>
        </is>
      </c>
      <c r="F4" s="3" t="inlineStr">
        <is>
          <t>Mean Mg (%)</t>
        </is>
      </c>
      <c r="G4" s="3" t="inlineStr">
        <is>
          <t>Mean Ca (%)</t>
        </is>
      </c>
      <c r="H4" s="3" t="inlineStr">
        <is>
          <t>Mean B (%)</t>
        </is>
      </c>
    </row>
    <row r="5" ht="22" customHeight="1">
      <c r="A5" s="4" t="inlineStr">
        <is>
          <t>Agathis</t>
        </is>
      </c>
      <c r="B5" s="5" t="n">
        <v>62</v>
      </c>
      <c r="C5" s="6" t="n">
        <v>90.66</v>
      </c>
      <c r="D5" s="6" t="n">
        <v>90.73</v>
      </c>
      <c r="E5" s="6" t="n">
        <v>92.54000000000001</v>
      </c>
      <c r="F5" s="6" t="n">
        <v>89.78</v>
      </c>
      <c r="G5" s="6" t="n">
        <v>67.29000000000001</v>
      </c>
      <c r="H5" s="6" t="n">
        <v>79.84999999999999</v>
      </c>
    </row>
    <row r="6" ht="22" customHeight="1">
      <c r="A6" s="4" t="inlineStr">
        <is>
          <t>Belian</t>
        </is>
      </c>
      <c r="B6" s="5" t="n">
        <v>68</v>
      </c>
      <c r="C6" s="6" t="n">
        <v>89.48999999999999</v>
      </c>
      <c r="D6" s="6" t="n">
        <v>88.37</v>
      </c>
      <c r="E6" s="6" t="n">
        <v>85.79000000000001</v>
      </c>
      <c r="F6" s="6" t="n">
        <v>91.26000000000001</v>
      </c>
      <c r="G6" s="6" t="n">
        <v>81.73999999999999</v>
      </c>
      <c r="H6" s="6" t="n">
        <v>68.73</v>
      </c>
    </row>
    <row r="7" ht="22" customHeight="1">
      <c r="A7" s="4" t="inlineStr">
        <is>
          <t>Binuang</t>
        </is>
      </c>
      <c r="B7" s="5" t="n">
        <v>65</v>
      </c>
      <c r="C7" s="6" t="n">
        <v>89.81</v>
      </c>
      <c r="D7" s="6" t="n">
        <v>89.42</v>
      </c>
      <c r="E7" s="6" t="n">
        <v>90.66</v>
      </c>
      <c r="F7" s="6" t="n">
        <v>87.14</v>
      </c>
      <c r="G7" s="6" t="n">
        <v>66.22</v>
      </c>
      <c r="H7" s="6" t="n">
        <v>75.2</v>
      </c>
    </row>
    <row r="8" ht="22" customHeight="1">
      <c r="A8" s="4" t="inlineStr">
        <is>
          <t>Gaharu</t>
        </is>
      </c>
      <c r="B8" s="5" t="n">
        <v>46</v>
      </c>
      <c r="C8" s="6" t="n">
        <v>91.98</v>
      </c>
      <c r="D8" s="6" t="n">
        <v>91.56999999999999</v>
      </c>
      <c r="E8" s="6" t="n">
        <v>92.03</v>
      </c>
      <c r="F8" s="6" t="n">
        <v>84.38</v>
      </c>
      <c r="G8" s="6" t="n">
        <v>66.20999999999999</v>
      </c>
      <c r="H8" s="6" t="n">
        <v>83.31</v>
      </c>
    </row>
    <row r="9" ht="22" customHeight="1">
      <c r="A9" s="4" t="inlineStr">
        <is>
          <t>Kapur</t>
        </is>
      </c>
      <c r="B9" s="5" t="n">
        <v>42</v>
      </c>
      <c r="C9" s="6" t="n">
        <v>86.76000000000001</v>
      </c>
      <c r="D9" s="6" t="n">
        <v>85.01000000000001</v>
      </c>
      <c r="E9" s="6" t="n">
        <v>86.89</v>
      </c>
      <c r="F9" s="6" t="n">
        <v>86</v>
      </c>
      <c r="G9" s="6" t="n">
        <v>75.15000000000001</v>
      </c>
      <c r="H9" s="6" t="n">
        <v>70.55</v>
      </c>
    </row>
    <row r="10" ht="22" customHeight="1">
      <c r="A10" s="4" t="inlineStr">
        <is>
          <t>Keruing</t>
        </is>
      </c>
      <c r="B10" s="5" t="n">
        <v>44</v>
      </c>
      <c r="C10" s="6" t="n">
        <v>97.34999999999999</v>
      </c>
      <c r="D10" s="6" t="n">
        <v>96.18000000000001</v>
      </c>
      <c r="E10" s="6" t="n">
        <v>90.41</v>
      </c>
      <c r="F10" s="6" t="n">
        <v>91.04000000000001</v>
      </c>
      <c r="G10" s="6" t="n">
        <v>62.17</v>
      </c>
      <c r="H10" s="6" t="n">
        <v>87.04000000000001</v>
      </c>
    </row>
    <row r="11" ht="22" customHeight="1">
      <c r="A11" s="4" t="inlineStr">
        <is>
          <t>Menggaris</t>
        </is>
      </c>
      <c r="B11" s="5" t="n">
        <v>58</v>
      </c>
      <c r="C11" s="6" t="n">
        <v>95.09999999999999</v>
      </c>
      <c r="D11" s="6" t="n">
        <v>94.40000000000001</v>
      </c>
      <c r="E11" s="6" t="n">
        <v>85.55</v>
      </c>
      <c r="F11" s="6" t="n">
        <v>90.42</v>
      </c>
      <c r="G11" s="6" t="n">
        <v>56.29</v>
      </c>
      <c r="H11" s="6" t="n">
        <v>89.67</v>
      </c>
    </row>
    <row r="12" ht="22" customHeight="1">
      <c r="A12" s="4" t="inlineStr">
        <is>
          <t>Merbau</t>
        </is>
      </c>
      <c r="B12" s="5" t="n">
        <v>54</v>
      </c>
      <c r="C12" s="6" t="n">
        <v>96.48</v>
      </c>
      <c r="D12" s="6" t="n">
        <v>93.91</v>
      </c>
      <c r="E12" s="6" t="n">
        <v>85.43000000000001</v>
      </c>
      <c r="F12" s="6" t="n">
        <v>81.33</v>
      </c>
      <c r="G12" s="6" t="n">
        <v>63.57</v>
      </c>
      <c r="H12" s="6" t="n">
        <v>82.25</v>
      </c>
    </row>
    <row r="13" ht="22" customHeight="1">
      <c r="A13" s="4" t="inlineStr">
        <is>
          <t>Ramin</t>
        </is>
      </c>
      <c r="B13" s="5" t="n">
        <v>43</v>
      </c>
      <c r="C13" s="6" t="n">
        <v>89.76000000000001</v>
      </c>
      <c r="D13" s="6" t="n">
        <v>89.68000000000001</v>
      </c>
      <c r="E13" s="6" t="n">
        <v>89.8</v>
      </c>
      <c r="F13" s="6" t="n">
        <v>86.81</v>
      </c>
      <c r="G13" s="6" t="n">
        <v>71.67</v>
      </c>
      <c r="H13" s="6" t="n">
        <v>70.73999999999999</v>
      </c>
    </row>
    <row r="14" ht="22" customHeight="1">
      <c r="A14" s="4" t="inlineStr">
        <is>
          <t>Selangan Batu</t>
        </is>
      </c>
      <c r="B14" s="5" t="n">
        <v>64</v>
      </c>
      <c r="C14" s="6" t="n">
        <v>90.83</v>
      </c>
      <c r="D14" s="6" t="n">
        <v>90.08</v>
      </c>
      <c r="E14" s="6" t="n">
        <v>89.09</v>
      </c>
      <c r="F14" s="6" t="n">
        <v>89.84</v>
      </c>
      <c r="G14" s="6" t="n">
        <v>71.01000000000001</v>
      </c>
      <c r="H14" s="6" t="n">
        <v>70.91</v>
      </c>
    </row>
    <row r="15" ht="22" customHeight="1">
      <c r="A15" s="4" t="inlineStr">
        <is>
          <t>Seraya</t>
        </is>
      </c>
      <c r="B15" s="5" t="n">
        <v>56</v>
      </c>
      <c r="C15" s="6" t="n">
        <v>95.68000000000001</v>
      </c>
      <c r="D15" s="6" t="n">
        <v>95.06999999999999</v>
      </c>
      <c r="E15" s="6" t="n">
        <v>92.79000000000001</v>
      </c>
      <c r="F15" s="6" t="n">
        <v>86.81</v>
      </c>
      <c r="G15" s="6" t="n">
        <v>55.07</v>
      </c>
      <c r="H15" s="6" t="n">
        <v>81.78</v>
      </c>
    </row>
    <row r="16" ht="26" customHeight="1">
      <c r="A16" s="7" t="inlineStr">
        <is>
          <t>Mean (%)</t>
        </is>
      </c>
      <c r="B16" s="8">
        <f>SUM(B5:B15)</f>
        <v/>
      </c>
      <c r="C16" s="9">
        <f>AVERAGE(C5:C15)</f>
        <v/>
      </c>
      <c r="D16" s="9">
        <f>AVERAGE(D5:D15)</f>
        <v/>
      </c>
      <c r="E16" s="9">
        <f>AVERAGE(E5:E15)</f>
        <v/>
      </c>
      <c r="F16" s="9">
        <f>AVERAGE(F5:F15)</f>
        <v/>
      </c>
      <c r="G16" s="10">
        <f>AVERAGE(G5:G15)</f>
        <v/>
      </c>
      <c r="H16" s="10">
        <f>AVERAGE(H5:H15)</f>
        <v/>
      </c>
    </row>
  </sheetData>
  <conditionalFormatting sqref="C5:H16">
    <cfRule type="cellIs" priority="1" operator="lessThanOrEqual" dxfId="0">
      <formula>80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08/13</t>
        </is>
      </c>
      <c r="C7" s="25" t="n">
        <v>2486</v>
      </c>
      <c r="D7" s="26" t="n">
        <v>2.52</v>
      </c>
      <c r="E7" s="27" t="n">
        <v>2.184</v>
      </c>
      <c r="F7" s="28">
        <f>(1-ABS(D7-E7)/D7)*100</f>
        <v/>
      </c>
      <c r="G7" s="27" t="n">
        <v>0.161</v>
      </c>
      <c r="H7" s="27" t="n">
        <v>0.14</v>
      </c>
      <c r="I7" s="28">
        <f>(1-ABS(G7-H7)/G7)*100</f>
        <v/>
      </c>
      <c r="J7" s="26" t="n">
        <v>0.9</v>
      </c>
      <c r="K7" s="27" t="n">
        <v>0.853</v>
      </c>
      <c r="L7" s="28">
        <f>(1-ABS(J7-K7)/J7)*100</f>
        <v/>
      </c>
      <c r="M7" s="26" t="n">
        <v>0.3</v>
      </c>
      <c r="N7" s="27" t="n">
        <v>0.266</v>
      </c>
      <c r="O7" s="28">
        <f>(1-ABS(M7-N7)/M7)*100</f>
        <v/>
      </c>
      <c r="P7" s="29" t="n">
        <v>0.49</v>
      </c>
      <c r="Q7" s="30" t="n">
        <v>0.606</v>
      </c>
      <c r="R7" s="28">
        <f>(1-ABS(P7-Q7)/P7)*100</f>
        <v/>
      </c>
      <c r="S7" s="31" t="n">
        <v>18</v>
      </c>
      <c r="T7" s="29" t="n">
        <v>9.15</v>
      </c>
      <c r="U7" s="28">
        <f>(1-ABS(S7-T7)/S7)*100</f>
        <v/>
      </c>
    </row>
    <row r="8">
      <c r="B8" s="24" t="inlineStr">
        <is>
          <t>08/14</t>
        </is>
      </c>
      <c r="C8" s="25" t="n">
        <v>5558</v>
      </c>
      <c r="D8" s="26" t="n">
        <v>2.49</v>
      </c>
      <c r="E8" s="27" t="n">
        <v>2.173</v>
      </c>
      <c r="F8" s="28">
        <f>(1-ABS(D8-E8)/D8)*100</f>
        <v/>
      </c>
      <c r="G8" s="27" t="n">
        <v>0.159</v>
      </c>
      <c r="H8" s="27" t="n">
        <v>0.139</v>
      </c>
      <c r="I8" s="28">
        <f>(1-ABS(G8-H8)/G8)*100</f>
        <v/>
      </c>
      <c r="J8" s="26" t="n">
        <v>0.87</v>
      </c>
      <c r="K8" s="27" t="n">
        <v>0.859</v>
      </c>
      <c r="L8" s="28">
        <f>(1-ABS(J8-K8)/J8)*100</f>
        <v/>
      </c>
      <c r="M8" s="26" t="n">
        <v>0.29</v>
      </c>
      <c r="N8" s="27" t="n">
        <v>0.238</v>
      </c>
      <c r="O8" s="28">
        <f>(1-ABS(M8-N8)/M8)*100</f>
        <v/>
      </c>
      <c r="P8" s="29" t="n">
        <v>0.4</v>
      </c>
      <c r="Q8" s="30" t="n">
        <v>0.581</v>
      </c>
      <c r="R8" s="28">
        <f>(1-ABS(P8-Q8)/P8)*100</f>
        <v/>
      </c>
      <c r="S8" s="31" t="n">
        <v>17</v>
      </c>
      <c r="T8" s="29" t="n">
        <v>10.27</v>
      </c>
      <c r="U8" s="28">
        <f>(1-ABS(S8-T8)/S8)*100</f>
        <v/>
      </c>
    </row>
    <row r="9">
      <c r="B9" s="24" t="inlineStr">
        <is>
          <t>08/15</t>
        </is>
      </c>
      <c r="C9" s="25" t="n">
        <v>5142</v>
      </c>
      <c r="D9" s="26" t="n">
        <v>2.49</v>
      </c>
      <c r="E9" s="27" t="n">
        <v>2.43</v>
      </c>
      <c r="F9" s="28">
        <f>(1-ABS(D9-E9)/D9)*100</f>
        <v/>
      </c>
      <c r="G9" s="27" t="n">
        <v>0.164</v>
      </c>
      <c r="H9" s="27" t="n">
        <v>0.156</v>
      </c>
      <c r="I9" s="28">
        <f>(1-ABS(G9-H9)/G9)*100</f>
        <v/>
      </c>
      <c r="J9" s="26" t="n">
        <v>0.9399999999999999</v>
      </c>
      <c r="K9" s="27" t="n">
        <v>0.976</v>
      </c>
      <c r="L9" s="28">
        <f>(1-ABS(J9-K9)/J9)*100</f>
        <v/>
      </c>
      <c r="M9" s="26" t="n">
        <v>0.25</v>
      </c>
      <c r="N9" s="27" t="n">
        <v>0.268</v>
      </c>
      <c r="O9" s="28">
        <f>(1-ABS(M9-N9)/M9)*100</f>
        <v/>
      </c>
      <c r="P9" s="29" t="n">
        <v>0.54</v>
      </c>
      <c r="Q9" s="30" t="n">
        <v>0.647</v>
      </c>
      <c r="R9" s="28">
        <f>(1-ABS(P9-Q9)/P9)*100</f>
        <v/>
      </c>
      <c r="S9" s="31" t="n">
        <v>14</v>
      </c>
      <c r="T9" s="29" t="n">
        <v>11.97</v>
      </c>
      <c r="U9" s="28">
        <f>(1-ABS(S9-T9)/S9)*100</f>
        <v/>
      </c>
    </row>
    <row r="10">
      <c r="B10" s="24" t="inlineStr">
        <is>
          <t>08/16</t>
        </is>
      </c>
      <c r="C10" s="25" t="n">
        <v>5525</v>
      </c>
      <c r="D10" s="26" t="n">
        <v>2.55</v>
      </c>
      <c r="E10" s="27" t="n">
        <v>2.399</v>
      </c>
      <c r="F10" s="28">
        <f>(1-ABS(D10-E10)/D10)*100</f>
        <v/>
      </c>
      <c r="G10" s="27" t="n">
        <v>0.153</v>
      </c>
      <c r="H10" s="27" t="n">
        <v>0.154</v>
      </c>
      <c r="I10" s="28">
        <f>(1-ABS(G10-H10)/G10)*100</f>
        <v/>
      </c>
      <c r="J10" s="26" t="n">
        <v>0.87</v>
      </c>
      <c r="K10" s="27" t="n">
        <v>0.962</v>
      </c>
      <c r="L10" s="28">
        <f>(1-ABS(J10-K10)/J10)*100</f>
        <v/>
      </c>
      <c r="M10" s="26" t="n">
        <v>0.3</v>
      </c>
      <c r="N10" s="27" t="n">
        <v>0.255</v>
      </c>
      <c r="O10" s="28">
        <f>(1-ABS(M10-N10)/M10)*100</f>
        <v/>
      </c>
      <c r="P10" s="29" t="n">
        <v>0.49</v>
      </c>
      <c r="Q10" s="30" t="n">
        <v>0.626</v>
      </c>
      <c r="R10" s="28">
        <f>(1-ABS(P10-Q10)/P10)*100</f>
        <v/>
      </c>
      <c r="S10" s="31" t="n">
        <v>16</v>
      </c>
      <c r="T10" s="29" t="n">
        <v>12.52</v>
      </c>
      <c r="U10" s="28">
        <f>(1-ABS(S10-T10)/S10)*100</f>
        <v/>
      </c>
    </row>
    <row r="11">
      <c r="B11" s="24" t="inlineStr">
        <is>
          <t>08/17</t>
        </is>
      </c>
      <c r="C11" s="25" t="n">
        <v>5820</v>
      </c>
      <c r="D11" s="26" t="n">
        <v>2.59</v>
      </c>
      <c r="E11" s="27" t="n">
        <v>2.44</v>
      </c>
      <c r="F11" s="28">
        <f>(1-ABS(D11-E11)/D11)*100</f>
        <v/>
      </c>
      <c r="G11" s="27" t="n">
        <v>0.153</v>
      </c>
      <c r="H11" s="27" t="n">
        <v>0.159</v>
      </c>
      <c r="I11" s="28">
        <f>(1-ABS(G11-H11)/G11)*100</f>
        <v/>
      </c>
      <c r="J11" s="26" t="n">
        <v>0.87</v>
      </c>
      <c r="K11" s="27" t="n">
        <v>0.976</v>
      </c>
      <c r="L11" s="28">
        <f>(1-ABS(J11-K11)/J11)*100</f>
        <v/>
      </c>
      <c r="M11" s="26" t="n">
        <v>0.3</v>
      </c>
      <c r="N11" s="27" t="n">
        <v>0.258</v>
      </c>
      <c r="O11" s="28">
        <f>(1-ABS(M11-N11)/M11)*100</f>
        <v/>
      </c>
      <c r="P11" s="29" t="n">
        <v>0.51</v>
      </c>
      <c r="Q11" s="30" t="n">
        <v>0.65</v>
      </c>
      <c r="R11" s="28">
        <f>(1-ABS(P11-Q11)/P11)*100</f>
        <v/>
      </c>
      <c r="S11" s="31" t="n">
        <v>17</v>
      </c>
      <c r="T11" s="29" t="n">
        <v>12.6</v>
      </c>
      <c r="U11" s="28">
        <f>(1-ABS(S11-T11)/S11)*100</f>
        <v/>
      </c>
    </row>
    <row r="12">
      <c r="B12" s="24" t="inlineStr">
        <is>
          <t>08/18</t>
        </is>
      </c>
      <c r="C12" s="25" t="n">
        <v>3190</v>
      </c>
      <c r="D12" s="26" t="n">
        <v>2.63</v>
      </c>
      <c r="E12" s="27" t="n">
        <v>2.532</v>
      </c>
      <c r="F12" s="28">
        <f>(1-ABS(D12-E12)/D12)*100</f>
        <v/>
      </c>
      <c r="G12" s="27" t="n">
        <v>0.156</v>
      </c>
      <c r="H12" s="27" t="n">
        <v>0.164</v>
      </c>
      <c r="I12" s="28">
        <f>(1-ABS(G12-H12)/G12)*100</f>
        <v/>
      </c>
      <c r="J12" s="26" t="n">
        <v>0.9</v>
      </c>
      <c r="K12" s="27" t="n">
        <v>1.009</v>
      </c>
      <c r="L12" s="28">
        <f>(1-ABS(J12-K12)/J12)*100</f>
        <v/>
      </c>
      <c r="M12" s="26" t="n">
        <v>0.31</v>
      </c>
      <c r="N12" s="27" t="n">
        <v>0.261</v>
      </c>
      <c r="O12" s="28">
        <f>(1-ABS(M12-N12)/M12)*100</f>
        <v/>
      </c>
      <c r="P12" s="29" t="n">
        <v>0.48</v>
      </c>
      <c r="Q12" s="30" t="n">
        <v>0.661</v>
      </c>
      <c r="R12" s="28">
        <f>(1-ABS(P12-Q12)/P12)*100</f>
        <v/>
      </c>
      <c r="S12" s="31" t="n">
        <v>14</v>
      </c>
      <c r="T12" s="29" t="n">
        <v>14.08</v>
      </c>
      <c r="U12" s="28">
        <f>(1-ABS(S12-T12)/S12)*100</f>
        <v/>
      </c>
    </row>
    <row r="13">
      <c r="B13" s="24" t="inlineStr">
        <is>
          <t>08/19</t>
        </is>
      </c>
      <c r="C13" s="25" t="n">
        <v>4312</v>
      </c>
      <c r="D13" s="26" t="n">
        <v>2.53</v>
      </c>
      <c r="E13" s="27" t="n">
        <v>2.488</v>
      </c>
      <c r="F13" s="28">
        <f>(1-ABS(D13-E13)/D13)*100</f>
        <v/>
      </c>
      <c r="G13" s="27" t="n">
        <v>0.154</v>
      </c>
      <c r="H13" s="27" t="n">
        <v>0.161</v>
      </c>
      <c r="I13" s="28">
        <f>(1-ABS(G13-H13)/G13)*100</f>
        <v/>
      </c>
      <c r="J13" s="26" t="n">
        <v>0.83</v>
      </c>
      <c r="K13" s="27" t="n">
        <v>0.996</v>
      </c>
      <c r="L13" s="28">
        <f>(1-ABS(J13-K13)/J13)*100</f>
        <v/>
      </c>
      <c r="M13" s="26" t="n">
        <v>0.29</v>
      </c>
      <c r="N13" s="27" t="n">
        <v>0.26</v>
      </c>
      <c r="O13" s="28">
        <f>(1-ABS(M13-N13)/M13)*100</f>
        <v/>
      </c>
      <c r="P13" s="29" t="n">
        <v>0.5600000000000001</v>
      </c>
      <c r="Q13" s="30" t="n">
        <v>0.659</v>
      </c>
      <c r="R13" s="28">
        <f>(1-ABS(P13-Q13)/P13)*100</f>
        <v/>
      </c>
      <c r="S13" s="31" t="n">
        <v>15</v>
      </c>
      <c r="T13" s="29" t="n">
        <v>12.45</v>
      </c>
      <c r="U13" s="28">
        <f>(1-ABS(S13-T13)/S13)*100</f>
        <v/>
      </c>
    </row>
    <row r="14">
      <c r="B14" s="24" t="inlineStr">
        <is>
          <t>09/1</t>
        </is>
      </c>
      <c r="C14" s="25" t="n">
        <v>5265</v>
      </c>
      <c r="D14" s="26" t="n">
        <v>2.67</v>
      </c>
      <c r="E14" s="27" t="n">
        <v>2.135</v>
      </c>
      <c r="F14" s="28">
        <f>(1-ABS(D14-E14)/D14)*100</f>
        <v/>
      </c>
      <c r="G14" s="27" t="n">
        <v>0.162</v>
      </c>
      <c r="H14" s="27" t="n">
        <v>0.136</v>
      </c>
      <c r="I14" s="28">
        <f>(1-ABS(G14-H14)/G14)*100</f>
        <v/>
      </c>
      <c r="J14" s="26" t="n">
        <v>0.93</v>
      </c>
      <c r="K14" s="27" t="n">
        <v>0.844</v>
      </c>
      <c r="L14" s="28">
        <f>(1-ABS(J14-K14)/J14)*100</f>
        <v/>
      </c>
      <c r="M14" s="26" t="n">
        <v>0.28</v>
      </c>
      <c r="N14" s="27" t="n">
        <v>0.252</v>
      </c>
      <c r="O14" s="28">
        <f>(1-ABS(M14-N14)/M14)*100</f>
        <v/>
      </c>
      <c r="P14" s="29" t="n">
        <v>0.43</v>
      </c>
      <c r="Q14" s="30" t="n">
        <v>0.571</v>
      </c>
      <c r="R14" s="28">
        <f>(1-ABS(P14-Q14)/P14)*100</f>
        <v/>
      </c>
      <c r="S14" s="31" t="n">
        <v>14</v>
      </c>
      <c r="T14" s="29" t="n">
        <v>9.880000000000001</v>
      </c>
      <c r="U14" s="28">
        <f>(1-ABS(S14-T14)/S14)*100</f>
        <v/>
      </c>
    </row>
    <row r="15">
      <c r="B15" s="24" t="inlineStr">
        <is>
          <t>09/2</t>
        </is>
      </c>
      <c r="C15" s="25" t="n">
        <v>5180</v>
      </c>
      <c r="D15" s="26" t="n">
        <v>2.61</v>
      </c>
      <c r="E15" s="27" t="n">
        <v>2.288</v>
      </c>
      <c r="F15" s="28">
        <f>(1-ABS(D15-E15)/D15)*100</f>
        <v/>
      </c>
      <c r="G15" s="27" t="n">
        <v>0.16</v>
      </c>
      <c r="H15" s="27" t="n">
        <v>0.147</v>
      </c>
      <c r="I15" s="28">
        <f>(1-ABS(G15-H15)/G15)*100</f>
        <v/>
      </c>
      <c r="J15" s="26" t="n">
        <v>0.93</v>
      </c>
      <c r="K15" s="27" t="n">
        <v>0.91</v>
      </c>
      <c r="L15" s="28">
        <f>(1-ABS(J15-K15)/J15)*100</f>
        <v/>
      </c>
      <c r="M15" s="26" t="n">
        <v>0.29</v>
      </c>
      <c r="N15" s="27" t="n">
        <v>0.257</v>
      </c>
      <c r="O15" s="28">
        <f>(1-ABS(M15-N15)/M15)*100</f>
        <v/>
      </c>
      <c r="P15" s="29" t="n">
        <v>0.47</v>
      </c>
      <c r="Q15" s="30" t="n">
        <v>0.623</v>
      </c>
      <c r="R15" s="28">
        <f>(1-ABS(P15-Q15)/P15)*100</f>
        <v/>
      </c>
      <c r="S15" s="31" t="n">
        <v>14</v>
      </c>
      <c r="T15" s="29" t="n">
        <v>10.71</v>
      </c>
      <c r="U15" s="28">
        <f>(1-ABS(S15-T15)/S15)*100</f>
        <v/>
      </c>
    </row>
    <row r="16">
      <c r="B16" s="24" t="inlineStr">
        <is>
          <t>09/3</t>
        </is>
      </c>
      <c r="C16" s="25" t="n">
        <v>6908</v>
      </c>
      <c r="D16" s="26" t="n">
        <v>2.59</v>
      </c>
      <c r="E16" s="27" t="n">
        <v>2.13</v>
      </c>
      <c r="F16" s="28">
        <f>(1-ABS(D16-E16)/D16)*100</f>
        <v/>
      </c>
      <c r="G16" s="27" t="n">
        <v>0.155</v>
      </c>
      <c r="H16" s="27" t="n">
        <v>0.135</v>
      </c>
      <c r="I16" s="28">
        <f>(1-ABS(G16-H16)/G16)*100</f>
        <v/>
      </c>
      <c r="J16" s="26" t="n">
        <v>0.82</v>
      </c>
      <c r="K16" s="27" t="n">
        <v>0.853</v>
      </c>
      <c r="L16" s="28">
        <f>(1-ABS(J16-K16)/J16)*100</f>
        <v/>
      </c>
      <c r="M16" s="26" t="n">
        <v>0.3</v>
      </c>
      <c r="N16" s="27" t="n">
        <v>0.244</v>
      </c>
      <c r="O16" s="28">
        <f>(1-ABS(M16-N16)/M16)*100</f>
        <v/>
      </c>
      <c r="P16" s="29" t="n">
        <v>0.46</v>
      </c>
      <c r="Q16" s="30" t="n">
        <v>0.5610000000000001</v>
      </c>
      <c r="R16" s="28">
        <f>(1-ABS(P16-Q16)/P16)*100</f>
        <v/>
      </c>
      <c r="S16" s="31" t="n">
        <v>16</v>
      </c>
      <c r="T16" s="29" t="n">
        <v>10.24</v>
      </c>
      <c r="U16" s="28">
        <f>(1-ABS(S16-T16)/S16)*100</f>
        <v/>
      </c>
    </row>
    <row r="17" ht="40" customHeight="1">
      <c r="A17" s="32" t="inlineStr">
        <is>
          <t>Best result closer to 1</t>
        </is>
      </c>
      <c r="B17" s="24" t="inlineStr">
        <is>
          <t>09/4</t>
        </is>
      </c>
      <c r="C17" s="25" t="n">
        <v>5284</v>
      </c>
      <c r="D17" s="26" t="n">
        <v>2.63</v>
      </c>
      <c r="E17" s="27" t="n">
        <v>2.221</v>
      </c>
      <c r="F17" s="28">
        <f>(1-ABS(D17-E17)/D17)*100</f>
        <v/>
      </c>
      <c r="G17" s="27" t="n">
        <v>0.161</v>
      </c>
      <c r="H17" s="27" t="n">
        <v>0.14</v>
      </c>
      <c r="I17" s="28">
        <f>(1-ABS(G17-H17)/G17)*100</f>
        <v/>
      </c>
      <c r="J17" s="26" t="n">
        <v>0.87</v>
      </c>
      <c r="K17" s="27" t="n">
        <v>0.888</v>
      </c>
      <c r="L17" s="28">
        <f>(1-ABS(J17-K17)/J17)*100</f>
        <v/>
      </c>
      <c r="M17" s="26" t="n">
        <v>0.23</v>
      </c>
      <c r="N17" s="27" t="n">
        <v>0.25</v>
      </c>
      <c r="O17" s="28">
        <f>(1-ABS(M17-N17)/M17)*100</f>
        <v/>
      </c>
      <c r="P17" s="29" t="n">
        <v>0.43</v>
      </c>
      <c r="Q17" s="30" t="n">
        <v>0.571</v>
      </c>
      <c r="R17" s="28">
        <f>(1-ABS(P17-Q17)/P17)*100</f>
        <v/>
      </c>
      <c r="S17" s="31" t="n">
        <v>14</v>
      </c>
      <c r="T17" s="29" t="n">
        <v>11.38</v>
      </c>
      <c r="U17" s="28">
        <f>(1-ABS(S17-T17)/S17)*100</f>
        <v/>
      </c>
    </row>
    <row r="18" ht="39" customHeight="1">
      <c r="A18" s="32" t="inlineStr">
        <is>
          <t>Best result closer to 0</t>
        </is>
      </c>
      <c r="B18" s="24" t="inlineStr">
        <is>
          <t>09/5</t>
        </is>
      </c>
      <c r="C18" s="25" t="n">
        <v>5877</v>
      </c>
      <c r="D18" s="26" t="n">
        <v>2.55</v>
      </c>
      <c r="E18" s="27" t="n">
        <v>2.393</v>
      </c>
      <c r="F18" s="28">
        <f>(1-ABS(D18-E18)/D18)*100</f>
        <v/>
      </c>
      <c r="G18" s="27" t="n">
        <v>0.158</v>
      </c>
      <c r="H18" s="27" t="n">
        <v>0.151</v>
      </c>
      <c r="I18" s="28">
        <f>(1-ABS(G18-H18)/G18)*100</f>
        <v/>
      </c>
      <c r="J18" s="26" t="n">
        <v>0.89</v>
      </c>
      <c r="K18" s="27" t="n">
        <v>0.968</v>
      </c>
      <c r="L18" s="28">
        <f>(1-ABS(J18-K18)/J18)*100</f>
        <v/>
      </c>
      <c r="M18" s="26" t="n">
        <v>0.28</v>
      </c>
      <c r="N18" s="27" t="n">
        <v>0.258</v>
      </c>
      <c r="O18" s="28">
        <f>(1-ABS(M18-N18)/M18)*100</f>
        <v/>
      </c>
      <c r="P18" s="29" t="n">
        <v>0.47</v>
      </c>
      <c r="Q18" s="30" t="n">
        <v>0.61</v>
      </c>
      <c r="R18" s="28">
        <f>(1-ABS(P18-Q18)/P18)*100</f>
        <v/>
      </c>
      <c r="S18" s="31" t="n">
        <v>13</v>
      </c>
      <c r="T18" s="29" t="n">
        <v>12.57</v>
      </c>
      <c r="U18" s="28">
        <f>(1-ABS(S18-T18)/S18)*100</f>
        <v/>
      </c>
    </row>
    <row r="19" ht="66" customHeight="1">
      <c r="A19" s="32" t="inlineStr">
        <is>
          <t>Best result closer to 1</t>
        </is>
      </c>
      <c r="B19" s="24" t="inlineStr">
        <is>
          <t>09/6</t>
        </is>
      </c>
      <c r="C19" s="25" t="n">
        <v>5282</v>
      </c>
      <c r="D19" s="26" t="n">
        <v>2.5</v>
      </c>
      <c r="E19" s="27" t="n">
        <v>2.514</v>
      </c>
      <c r="F19" s="28">
        <f>(1-ABS(D19-E19)/D19)*100</f>
        <v/>
      </c>
      <c r="G19" s="27" t="n">
        <v>0.15</v>
      </c>
      <c r="H19" s="27" t="n">
        <v>0.16</v>
      </c>
      <c r="I19" s="28">
        <f>(1-ABS(G19-H19)/G19)*100</f>
        <v/>
      </c>
      <c r="J19" s="26" t="n">
        <v>0.87</v>
      </c>
      <c r="K19" s="27" t="n">
        <v>1.018</v>
      </c>
      <c r="L19" s="28">
        <f>(1-ABS(J19-K19)/J19)*100</f>
        <v/>
      </c>
      <c r="M19" s="26" t="n">
        <v>0.27</v>
      </c>
      <c r="N19" s="27" t="n">
        <v>0.261</v>
      </c>
      <c r="O19" s="28">
        <f>(1-ABS(M19-N19)/M19)*100</f>
        <v/>
      </c>
      <c r="P19" s="29" t="n">
        <v>0.41</v>
      </c>
      <c r="Q19" s="30" t="n">
        <v>0.635</v>
      </c>
      <c r="R19" s="28">
        <f>(1-ABS(P19-Q19)/P19)*100</f>
        <v/>
      </c>
      <c r="S19" s="31" t="n">
        <v>15</v>
      </c>
      <c r="T19" s="29" t="n">
        <v>13.75</v>
      </c>
      <c r="U19" s="28">
        <f>(1-ABS(S19-T19)/S19)*100</f>
        <v/>
      </c>
    </row>
    <row r="20">
      <c r="B20" s="24" t="inlineStr">
        <is>
          <t>09/7</t>
        </is>
      </c>
      <c r="C20" s="25" t="n">
        <v>5209</v>
      </c>
      <c r="D20" s="26" t="n">
        <v>2.54</v>
      </c>
      <c r="E20" s="27" t="n">
        <v>2.53</v>
      </c>
      <c r="F20" s="28">
        <f>(1-ABS(D20-E20)/D20)*100</f>
        <v/>
      </c>
      <c r="G20" s="27" t="n">
        <v>0.155</v>
      </c>
      <c r="H20" s="27" t="n">
        <v>0.162</v>
      </c>
      <c r="I20" s="28">
        <f>(1-ABS(G20-H20)/G20)*100</f>
        <v/>
      </c>
      <c r="J20" s="26" t="n">
        <v>0.97</v>
      </c>
      <c r="K20" s="27" t="n">
        <v>1.034</v>
      </c>
      <c r="L20" s="28">
        <f>(1-ABS(J20-K20)/J20)*100</f>
        <v/>
      </c>
      <c r="M20" s="26" t="n">
        <v>0.28</v>
      </c>
      <c r="N20" s="27" t="n">
        <v>0.257</v>
      </c>
      <c r="O20" s="28">
        <f>(1-ABS(M20-N20)/M20)*100</f>
        <v/>
      </c>
      <c r="P20" s="29" t="n">
        <v>0.4</v>
      </c>
      <c r="Q20" s="30" t="n">
        <v>0.65</v>
      </c>
      <c r="R20" s="28">
        <f>(1-ABS(P20-Q20)/P20)*100</f>
        <v/>
      </c>
      <c r="S20" s="31" t="n">
        <v>13</v>
      </c>
      <c r="T20" s="29" t="n">
        <v>13.24</v>
      </c>
      <c r="U20" s="28">
        <f>(1-ABS(S20-T20)/S20)*100</f>
        <v/>
      </c>
    </row>
    <row r="21">
      <c r="B21" s="24" t="inlineStr">
        <is>
          <t>09/8</t>
        </is>
      </c>
      <c r="C21" s="25" t="n">
        <v>5993</v>
      </c>
      <c r="D21" s="26" t="n">
        <v>2.52</v>
      </c>
      <c r="E21" s="27" t="n">
        <v>2.281</v>
      </c>
      <c r="F21" s="28">
        <f>(1-ABS(D21-E21)/D21)*100</f>
        <v/>
      </c>
      <c r="G21" s="27" t="n">
        <v>0.144</v>
      </c>
      <c r="H21" s="27" t="n">
        <v>0.146</v>
      </c>
      <c r="I21" s="28">
        <f>(1-ABS(G21-H21)/G21)*100</f>
        <v/>
      </c>
      <c r="J21" s="26" t="n">
        <v>0.84</v>
      </c>
      <c r="K21" s="27" t="n">
        <v>0.914</v>
      </c>
      <c r="L21" s="28">
        <f>(1-ABS(J21-K21)/J21)*100</f>
        <v/>
      </c>
      <c r="M21" s="26" t="n">
        <v>0.3</v>
      </c>
      <c r="N21" s="27" t="n">
        <v>0.256</v>
      </c>
      <c r="O21" s="28">
        <f>(1-ABS(M21-N21)/M21)*100</f>
        <v/>
      </c>
      <c r="P21" s="29" t="n">
        <v>0.53</v>
      </c>
      <c r="Q21" s="30" t="n">
        <v>0.603</v>
      </c>
      <c r="R21" s="28">
        <f>(1-ABS(P21-Q21)/P21)*100</f>
        <v/>
      </c>
      <c r="S21" s="31" t="n">
        <v>17</v>
      </c>
      <c r="T21" s="29" t="n">
        <v>11.1</v>
      </c>
      <c r="U21" s="28">
        <f>(1-ABS(S21-T21)/S21)*100</f>
        <v/>
      </c>
    </row>
    <row r="22">
      <c r="B22" s="24" t="inlineStr">
        <is>
          <t>09/9</t>
        </is>
      </c>
      <c r="C22" s="25" t="n">
        <v>5092</v>
      </c>
      <c r="D22" s="26" t="n">
        <v>2.62</v>
      </c>
      <c r="E22" s="27" t="n">
        <v>2.402</v>
      </c>
      <c r="F22" s="28">
        <f>(1-ABS(D22-E22)/D22)*100</f>
        <v/>
      </c>
      <c r="G22" s="27" t="n">
        <v>0.152</v>
      </c>
      <c r="H22" s="27" t="n">
        <v>0.153</v>
      </c>
      <c r="I22" s="28">
        <f>(1-ABS(G22-H22)/G22)*100</f>
        <v/>
      </c>
      <c r="J22" s="26" t="n">
        <v>0.97</v>
      </c>
      <c r="K22" s="27" t="n">
        <v>0.971</v>
      </c>
      <c r="L22" s="28">
        <f>(1-ABS(J22-K22)/J22)*100</f>
        <v/>
      </c>
      <c r="M22" s="26" t="n">
        <v>0.27</v>
      </c>
      <c r="N22" s="27" t="n">
        <v>0.263</v>
      </c>
      <c r="O22" s="28">
        <f>(1-ABS(M22-N22)/M22)*100</f>
        <v/>
      </c>
      <c r="P22" s="29" t="n">
        <v>0.44</v>
      </c>
      <c r="Q22" s="30" t="n">
        <v>0.624</v>
      </c>
      <c r="R22" s="28">
        <f>(1-ABS(P22-Q22)/P22)*100</f>
        <v/>
      </c>
      <c r="S22" s="31" t="n">
        <v>14</v>
      </c>
      <c r="T22" s="29" t="n">
        <v>11.37</v>
      </c>
      <c r="U22" s="28">
        <f>(1-ABS(S22-T22)/S22)*100</f>
        <v/>
      </c>
    </row>
    <row r="23">
      <c r="B23" s="24" t="inlineStr">
        <is>
          <t>09/10</t>
        </is>
      </c>
      <c r="C23" s="25" t="n">
        <v>4668</v>
      </c>
      <c r="D23" s="26" t="n">
        <v>2.66</v>
      </c>
      <c r="E23" s="27" t="n">
        <v>2.434</v>
      </c>
      <c r="F23" s="28">
        <f>(1-ABS(D23-E23)/D23)*100</f>
        <v/>
      </c>
      <c r="G23" s="27" t="n">
        <v>0.159</v>
      </c>
      <c r="H23" s="27" t="n">
        <v>0.157</v>
      </c>
      <c r="I23" s="28">
        <f>(1-ABS(G23-H23)/G23)*100</f>
        <v/>
      </c>
      <c r="J23" s="26" t="n">
        <v>0.91</v>
      </c>
      <c r="K23" s="27" t="n">
        <v>0.975</v>
      </c>
      <c r="L23" s="28">
        <f>(1-ABS(J23-K23)/J23)*100</f>
        <v/>
      </c>
      <c r="M23" s="26" t="n">
        <v>0.29</v>
      </c>
      <c r="N23" s="27" t="n">
        <v>0.27</v>
      </c>
      <c r="O23" s="28">
        <f>(1-ABS(M23-N23)/M23)*100</f>
        <v/>
      </c>
      <c r="P23" s="29" t="n">
        <v>0.5600000000000001</v>
      </c>
      <c r="Q23" s="30" t="n">
        <v>0.636</v>
      </c>
      <c r="R23" s="28">
        <f>(1-ABS(P23-Q23)/P23)*100</f>
        <v/>
      </c>
      <c r="S23" s="31" t="n">
        <v>14</v>
      </c>
      <c r="T23" s="29" t="n">
        <v>12.78</v>
      </c>
      <c r="U23" s="28">
        <f>(1-ABS(S23-T23)/S23)*100</f>
        <v/>
      </c>
    </row>
    <row r="24">
      <c r="B24" s="24" t="inlineStr">
        <is>
          <t>09/11</t>
        </is>
      </c>
      <c r="C24" s="25" t="n">
        <v>5528</v>
      </c>
      <c r="D24" s="26" t="n">
        <v>2.57</v>
      </c>
      <c r="E24" s="27" t="n">
        <v>2.268</v>
      </c>
      <c r="F24" s="28">
        <f>(1-ABS(D24-E24)/D24)*100</f>
        <v/>
      </c>
      <c r="G24" s="27" t="n">
        <v>0.155</v>
      </c>
      <c r="H24" s="27" t="n">
        <v>0.145</v>
      </c>
      <c r="I24" s="28">
        <f>(1-ABS(G24-H24)/G24)*100</f>
        <v/>
      </c>
      <c r="J24" s="26" t="n">
        <v>0.96</v>
      </c>
      <c r="K24" s="27" t="n">
        <v>0.903</v>
      </c>
      <c r="L24" s="28">
        <f>(1-ABS(J24-K24)/J24)*100</f>
        <v/>
      </c>
      <c r="M24" s="26" t="n">
        <v>0.27</v>
      </c>
      <c r="N24" s="27" t="n">
        <v>0.263</v>
      </c>
      <c r="O24" s="28">
        <f>(1-ABS(M24-N24)/M24)*100</f>
        <v/>
      </c>
      <c r="P24" s="29" t="n">
        <v>0.43</v>
      </c>
      <c r="Q24" s="30" t="n">
        <v>0.614</v>
      </c>
      <c r="R24" s="28">
        <f>(1-ABS(P24-Q24)/P24)*100</f>
        <v/>
      </c>
      <c r="S24" s="31" t="n">
        <v>13</v>
      </c>
      <c r="T24" s="29" t="n">
        <v>9.83</v>
      </c>
      <c r="U24" s="28">
        <f>(1-ABS(S24-T24)/S24)*100</f>
        <v/>
      </c>
    </row>
    <row r="25">
      <c r="B25" s="24" t="inlineStr">
        <is>
          <t>09/12</t>
        </is>
      </c>
      <c r="C25" s="25" t="n">
        <v>4382</v>
      </c>
      <c r="D25" s="26" t="n">
        <v>2.53</v>
      </c>
      <c r="E25" s="27" t="n">
        <v>1.955</v>
      </c>
      <c r="F25" s="28">
        <f>(1-ABS(D25-E25)/D25)*100</f>
        <v/>
      </c>
      <c r="G25" s="27" t="n">
        <v>0.174</v>
      </c>
      <c r="H25" s="27" t="n">
        <v>0.121</v>
      </c>
      <c r="I25" s="28">
        <f>(1-ABS(G25-H25)/G25)*100</f>
        <v/>
      </c>
      <c r="J25" s="26" t="n">
        <v>1.07</v>
      </c>
      <c r="K25" s="27" t="n">
        <v>0.76</v>
      </c>
      <c r="L25" s="28">
        <f>(1-ABS(J25-K25)/J25)*100</f>
        <v/>
      </c>
      <c r="M25" s="26" t="n">
        <v>0.31</v>
      </c>
      <c r="N25" s="27" t="n">
        <v>0.23</v>
      </c>
      <c r="O25" s="28">
        <f>(1-ABS(M25-N25)/M25)*100</f>
        <v/>
      </c>
      <c r="P25" s="29" t="n">
        <v>0.46</v>
      </c>
      <c r="Q25" s="30" t="n">
        <v>0.502</v>
      </c>
      <c r="R25" s="28">
        <f>(1-ABS(P25-Q25)/P25)*100</f>
        <v/>
      </c>
      <c r="S25" s="31" t="n">
        <v>15</v>
      </c>
      <c r="T25" s="29" t="n">
        <v>8.83</v>
      </c>
      <c r="U25" s="28">
        <f>(1-ABS(S25-T25)/S25)*100</f>
        <v/>
      </c>
    </row>
    <row r="26">
      <c r="B26" s="24" t="inlineStr">
        <is>
          <t>09/24</t>
        </is>
      </c>
      <c r="C26" s="25" t="n">
        <v>4424</v>
      </c>
      <c r="D26" s="26" t="n">
        <v>2.63</v>
      </c>
      <c r="E26" s="27" t="n">
        <v>2.375</v>
      </c>
      <c r="F26" s="28">
        <f>(1-ABS(D26-E26)/D26)*100</f>
        <v/>
      </c>
      <c r="G26" s="27" t="n">
        <v>0.156</v>
      </c>
      <c r="H26" s="27" t="n">
        <v>0.151</v>
      </c>
      <c r="I26" s="28">
        <f>(1-ABS(G26-H26)/G26)*100</f>
        <v/>
      </c>
      <c r="J26" s="26" t="n">
        <v>0.96</v>
      </c>
      <c r="K26" s="27" t="n">
        <v>0.961</v>
      </c>
      <c r="L26" s="28">
        <f>(1-ABS(J26-K26)/J26)*100</f>
        <v/>
      </c>
      <c r="M26" s="26" t="n">
        <v>0.27</v>
      </c>
      <c r="N26" s="27" t="n">
        <v>0.254</v>
      </c>
      <c r="O26" s="28">
        <f>(1-ABS(M26-N26)/M26)*100</f>
        <v/>
      </c>
      <c r="P26" s="29" t="n">
        <v>0.43</v>
      </c>
      <c r="Q26" s="30" t="n">
        <v>0.621</v>
      </c>
      <c r="R26" s="28">
        <f>(1-ABS(P26-Q26)/P26)*100</f>
        <v/>
      </c>
      <c r="S26" s="31" t="n">
        <v>13</v>
      </c>
      <c r="T26" s="29" t="n">
        <v>12.2</v>
      </c>
      <c r="U26" s="28">
        <f>(1-ABS(S26-T26)/S26)*100</f>
        <v/>
      </c>
    </row>
    <row r="27">
      <c r="B27" s="24" t="inlineStr">
        <is>
          <t>10/1</t>
        </is>
      </c>
      <c r="C27" s="25" t="n">
        <v>5149</v>
      </c>
      <c r="D27" s="26" t="n">
        <v>2.6</v>
      </c>
      <c r="E27" s="27" t="n">
        <v>2.208</v>
      </c>
      <c r="F27" s="28">
        <f>(1-ABS(D27-E27)/D27)*100</f>
        <v/>
      </c>
      <c r="G27" s="27" t="n">
        <v>0.163</v>
      </c>
      <c r="H27" s="27" t="n">
        <v>0.138</v>
      </c>
      <c r="I27" s="28">
        <f>(1-ABS(G27-H27)/G27)*100</f>
        <v/>
      </c>
      <c r="J27" s="26" t="n">
        <v>0.95</v>
      </c>
      <c r="K27" s="27" t="n">
        <v>0.882</v>
      </c>
      <c r="L27" s="28">
        <f>(1-ABS(J27-K27)/J27)*100</f>
        <v/>
      </c>
      <c r="M27" s="26" t="n">
        <v>0.3</v>
      </c>
      <c r="N27" s="27" t="n">
        <v>0.252</v>
      </c>
      <c r="O27" s="28">
        <f>(1-ABS(M27-N27)/M27)*100</f>
        <v/>
      </c>
      <c r="P27" s="29" t="n">
        <v>0.47</v>
      </c>
      <c r="Q27" s="30" t="n">
        <v>0.5639999999999999</v>
      </c>
      <c r="R27" s="28">
        <f>(1-ABS(P27-Q27)/P27)*100</f>
        <v/>
      </c>
      <c r="S27" s="31" t="n">
        <v>14</v>
      </c>
      <c r="T27" s="29" t="n">
        <v>11.34</v>
      </c>
      <c r="U27" s="28">
        <f>(1-ABS(S27-T27)/S27)*100</f>
        <v/>
      </c>
    </row>
    <row r="28">
      <c r="B28" s="24" t="inlineStr">
        <is>
          <t>10/2</t>
        </is>
      </c>
      <c r="C28" s="25" t="n">
        <v>4857</v>
      </c>
      <c r="D28" s="26" t="n">
        <v>2.58</v>
      </c>
      <c r="E28" s="27" t="n">
        <v>2.331</v>
      </c>
      <c r="F28" s="28">
        <f>(1-ABS(D28-E28)/D28)*100</f>
        <v/>
      </c>
      <c r="G28" s="27" t="n">
        <v>0.162</v>
      </c>
      <c r="H28" s="27" t="n">
        <v>0.147</v>
      </c>
      <c r="I28" s="28">
        <f>(1-ABS(G28-H28)/G28)*100</f>
        <v/>
      </c>
      <c r="J28" s="26" t="n">
        <v>0.93</v>
      </c>
      <c r="K28" s="27" t="n">
        <v>0.927</v>
      </c>
      <c r="L28" s="28">
        <f>(1-ABS(J28-K28)/J28)*100</f>
        <v/>
      </c>
      <c r="M28" s="26" t="n">
        <v>0.26</v>
      </c>
      <c r="N28" s="27" t="n">
        <v>0.257</v>
      </c>
      <c r="O28" s="28">
        <f>(1-ABS(M28-N28)/M28)*100</f>
        <v/>
      </c>
      <c r="P28" s="29" t="n">
        <v>0.57</v>
      </c>
      <c r="Q28" s="30" t="n">
        <v>0.604</v>
      </c>
      <c r="R28" s="28">
        <f>(1-ABS(P28-Q28)/P28)*100</f>
        <v/>
      </c>
      <c r="S28" s="31" t="n">
        <v>15</v>
      </c>
      <c r="T28" s="29" t="n">
        <v>12.04</v>
      </c>
      <c r="U28" s="28">
        <f>(1-ABS(S28-T28)/S28)*100</f>
        <v/>
      </c>
    </row>
    <row r="29">
      <c r="B29" s="24" t="inlineStr">
        <is>
          <t>10/3</t>
        </is>
      </c>
      <c r="C29" s="25" t="n">
        <v>4941</v>
      </c>
      <c r="D29" s="26" t="n">
        <v>2.56</v>
      </c>
      <c r="E29" s="27" t="n">
        <v>2.296</v>
      </c>
      <c r="F29" s="28">
        <f>(1-ABS(D29-E29)/D29)*100</f>
        <v/>
      </c>
      <c r="G29" s="27" t="n">
        <v>0.158</v>
      </c>
      <c r="H29" s="27" t="n">
        <v>0.144</v>
      </c>
      <c r="I29" s="28">
        <f>(1-ABS(G29-H29)/G29)*100</f>
        <v/>
      </c>
      <c r="J29" s="26" t="n">
        <v>1</v>
      </c>
      <c r="K29" s="27" t="n">
        <v>0.927</v>
      </c>
      <c r="L29" s="28">
        <f>(1-ABS(J29-K29)/J29)*100</f>
        <v/>
      </c>
      <c r="M29" s="26" t="n">
        <v>0.29</v>
      </c>
      <c r="N29" s="27" t="n">
        <v>0.259</v>
      </c>
      <c r="O29" s="28">
        <f>(1-ABS(M29-N29)/M29)*100</f>
        <v/>
      </c>
      <c r="P29" s="29" t="n">
        <v>0.43</v>
      </c>
      <c r="Q29" s="30" t="n">
        <v>0.593</v>
      </c>
      <c r="R29" s="28">
        <f>(1-ABS(P29-Q29)/P29)*100</f>
        <v/>
      </c>
      <c r="S29" s="31" t="n">
        <v>13</v>
      </c>
      <c r="T29" s="29" t="n">
        <v>11.82</v>
      </c>
      <c r="U29" s="28">
        <f>(1-ABS(S29-T29)/S29)*100</f>
        <v/>
      </c>
    </row>
    <row r="30">
      <c r="B30" s="24" t="inlineStr">
        <is>
          <t>10/4</t>
        </is>
      </c>
      <c r="C30" s="25" t="n">
        <v>4736</v>
      </c>
      <c r="D30" s="26" t="n">
        <v>2.62</v>
      </c>
      <c r="E30" s="27" t="n">
        <v>2.272</v>
      </c>
      <c r="F30" s="28">
        <f>(1-ABS(D30-E30)/D30)*100</f>
        <v/>
      </c>
      <c r="G30" s="27" t="n">
        <v>0.159</v>
      </c>
      <c r="H30" s="27" t="n">
        <v>0.142</v>
      </c>
      <c r="I30" s="28">
        <f>(1-ABS(G30-H30)/G30)*100</f>
        <v/>
      </c>
      <c r="J30" s="26" t="n">
        <v>0.98</v>
      </c>
      <c r="K30" s="27" t="n">
        <v>0.921</v>
      </c>
      <c r="L30" s="28">
        <f>(1-ABS(J30-K30)/J30)*100</f>
        <v/>
      </c>
      <c r="M30" s="26" t="n">
        <v>0.28</v>
      </c>
      <c r="N30" s="27" t="n">
        <v>0.249</v>
      </c>
      <c r="O30" s="28">
        <f>(1-ABS(M30-N30)/M30)*100</f>
        <v/>
      </c>
      <c r="P30" s="29" t="n">
        <v>0.43</v>
      </c>
      <c r="Q30" s="30" t="n">
        <v>0.581</v>
      </c>
      <c r="R30" s="28">
        <f>(1-ABS(P30-Q30)/P30)*100</f>
        <v/>
      </c>
      <c r="S30" s="31" t="n">
        <v>13</v>
      </c>
      <c r="T30" s="29" t="n">
        <v>11.76</v>
      </c>
      <c r="U30" s="28">
        <f>(1-ABS(S30-T30)/S30)*100</f>
        <v/>
      </c>
    </row>
    <row r="31">
      <c r="B31" s="24" t="inlineStr">
        <is>
          <t>10/5</t>
        </is>
      </c>
      <c r="C31" s="25" t="n">
        <v>4994</v>
      </c>
      <c r="D31" s="26" t="n">
        <v>2.61</v>
      </c>
      <c r="E31" s="27" t="n">
        <v>2.478</v>
      </c>
      <c r="F31" s="28">
        <f>(1-ABS(D31-E31)/D31)*100</f>
        <v/>
      </c>
      <c r="G31" s="27" t="n">
        <v>0.155</v>
      </c>
      <c r="H31" s="27" t="n">
        <v>0.156</v>
      </c>
      <c r="I31" s="28">
        <f>(1-ABS(G31-H31)/G31)*100</f>
        <v/>
      </c>
      <c r="J31" s="26" t="n">
        <v>1.02</v>
      </c>
      <c r="K31" s="27" t="n">
        <v>1.008</v>
      </c>
      <c r="L31" s="28">
        <f>(1-ABS(J31-K31)/J31)*100</f>
        <v/>
      </c>
      <c r="M31" s="26" t="n">
        <v>0.29</v>
      </c>
      <c r="N31" s="27" t="n">
        <v>0.276</v>
      </c>
      <c r="O31" s="28">
        <f>(1-ABS(M31-N31)/M31)*100</f>
        <v/>
      </c>
      <c r="P31" s="29" t="n">
        <v>0.5</v>
      </c>
      <c r="Q31" s="30" t="n">
        <v>0.643</v>
      </c>
      <c r="R31" s="28">
        <f>(1-ABS(P31-Q31)/P31)*100</f>
        <v/>
      </c>
      <c r="S31" s="31" t="n">
        <v>12</v>
      </c>
      <c r="T31" s="29" t="n">
        <v>12.64</v>
      </c>
      <c r="U31" s="28">
        <f>(1-ABS(S31-T31)/S31)*100</f>
        <v/>
      </c>
    </row>
    <row r="32">
      <c r="B32" s="24" t="inlineStr">
        <is>
          <t>10/20</t>
        </is>
      </c>
      <c r="C32" s="25" t="n">
        <v>5437</v>
      </c>
      <c r="D32" s="26" t="n">
        <v>2.54</v>
      </c>
      <c r="E32" s="27" t="n">
        <v>2.232</v>
      </c>
      <c r="F32" s="28">
        <f>(1-ABS(D32-E32)/D32)*100</f>
        <v/>
      </c>
      <c r="G32" s="27" t="n">
        <v>0.16</v>
      </c>
      <c r="H32" s="27" t="n">
        <v>0.145</v>
      </c>
      <c r="I32" s="28">
        <f>(1-ABS(G32-H32)/G32)*100</f>
        <v/>
      </c>
      <c r="J32" s="26" t="n">
        <v>0.9</v>
      </c>
      <c r="K32" s="27" t="n">
        <v>0.877</v>
      </c>
      <c r="L32" s="28">
        <f>(1-ABS(J32-K32)/J32)*100</f>
        <v/>
      </c>
      <c r="M32" s="26" t="n">
        <v>0.26</v>
      </c>
      <c r="N32" s="27" t="n">
        <v>0.275</v>
      </c>
      <c r="O32" s="28">
        <f>(1-ABS(M32-N32)/M32)*100</f>
        <v/>
      </c>
      <c r="P32" s="29" t="n">
        <v>0.57</v>
      </c>
      <c r="Q32" s="30" t="n">
        <v>0.631</v>
      </c>
      <c r="R32" s="28">
        <f>(1-ABS(P32-Q32)/P32)*100</f>
        <v/>
      </c>
      <c r="S32" s="31" t="n">
        <v>14</v>
      </c>
      <c r="T32" s="29" t="n">
        <v>9.279999999999999</v>
      </c>
      <c r="U32" s="28">
        <f>(1-ABS(S32-T32)/S32)*100</f>
        <v/>
      </c>
    </row>
    <row r="33">
      <c r="B33" s="24" t="inlineStr">
        <is>
          <t>10/21</t>
        </is>
      </c>
      <c r="C33" s="25" t="n">
        <v>5221</v>
      </c>
      <c r="D33" s="26" t="n">
        <v>2.58</v>
      </c>
      <c r="E33" s="27" t="n">
        <v>2.143</v>
      </c>
      <c r="F33" s="28">
        <f>(1-ABS(D33-E33)/D33)*100</f>
        <v/>
      </c>
      <c r="G33" s="27" t="n">
        <v>0.154</v>
      </c>
      <c r="H33" s="27" t="n">
        <v>0.137</v>
      </c>
      <c r="I33" s="28">
        <f>(1-ABS(G33-H33)/G33)*100</f>
        <v/>
      </c>
      <c r="J33" s="26" t="n">
        <v>0.85</v>
      </c>
      <c r="K33" s="27" t="n">
        <v>0.849</v>
      </c>
      <c r="L33" s="28">
        <f>(1-ABS(J33-K33)/J33)*100</f>
        <v/>
      </c>
      <c r="M33" s="26" t="n">
        <v>0.29</v>
      </c>
      <c r="N33" s="27" t="n">
        <v>0.241</v>
      </c>
      <c r="O33" s="28">
        <f>(1-ABS(M33-N33)/M33)*100</f>
        <v/>
      </c>
      <c r="P33" s="29" t="n">
        <v>0.53</v>
      </c>
      <c r="Q33" s="30" t="n">
        <v>0.582</v>
      </c>
      <c r="R33" s="28">
        <f>(1-ABS(P33-Q33)/P33)*100</f>
        <v/>
      </c>
      <c r="S33" s="31" t="n">
        <v>14</v>
      </c>
      <c r="T33" s="29" t="n">
        <v>9.699999999999999</v>
      </c>
      <c r="U33" s="28">
        <f>(1-ABS(S33-T33)/S33)*100</f>
        <v/>
      </c>
    </row>
    <row r="34">
      <c r="B34" s="24" t="inlineStr">
        <is>
          <t>10/22</t>
        </is>
      </c>
      <c r="C34" s="25" t="n">
        <v>6108</v>
      </c>
      <c r="D34" s="26" t="n">
        <v>2.61</v>
      </c>
      <c r="E34" s="27" t="n">
        <v>2.491</v>
      </c>
      <c r="F34" s="28">
        <f>(1-ABS(D34-E34)/D34)*100</f>
        <v/>
      </c>
      <c r="G34" s="27" t="n">
        <v>0.159</v>
      </c>
      <c r="H34" s="27" t="n">
        <v>0.159</v>
      </c>
      <c r="I34" s="28">
        <f>(1-ABS(G34-H34)/G34)*100</f>
        <v/>
      </c>
      <c r="J34" s="26" t="n">
        <v>0.93</v>
      </c>
      <c r="K34" s="27" t="n">
        <v>1.008</v>
      </c>
      <c r="L34" s="28">
        <f>(1-ABS(J34-K34)/J34)*100</f>
        <v/>
      </c>
      <c r="M34" s="26" t="n">
        <v>0.29</v>
      </c>
      <c r="N34" s="27" t="n">
        <v>0.259</v>
      </c>
      <c r="O34" s="28">
        <f>(1-ABS(M34-N34)/M34)*100</f>
        <v/>
      </c>
      <c r="P34" s="29" t="n">
        <v>0.43</v>
      </c>
      <c r="Q34" s="30" t="n">
        <v>0.665</v>
      </c>
      <c r="R34" s="28">
        <f>(1-ABS(P34-Q34)/P34)*100</f>
        <v/>
      </c>
      <c r="S34" s="31" t="n">
        <v>13</v>
      </c>
      <c r="T34" s="29" t="n">
        <v>12.34</v>
      </c>
      <c r="U34" s="28">
        <f>(1-ABS(S34-T34)/S34)*100</f>
        <v/>
      </c>
    </row>
    <row r="35">
      <c r="B35" s="24" t="inlineStr">
        <is>
          <t>10/23</t>
        </is>
      </c>
      <c r="C35" s="25" t="n">
        <v>5445</v>
      </c>
      <c r="D35" s="26" t="n">
        <v>2.66</v>
      </c>
      <c r="E35" s="27" t="n">
        <v>2.222</v>
      </c>
      <c r="F35" s="28">
        <f>(1-ABS(D35-E35)/D35)*100</f>
        <v/>
      </c>
      <c r="G35" s="27" t="n">
        <v>0.17</v>
      </c>
      <c r="H35" s="27" t="n">
        <v>0.142</v>
      </c>
      <c r="I35" s="28">
        <f>(1-ABS(G35-H35)/G35)*100</f>
        <v/>
      </c>
      <c r="J35" s="26" t="n">
        <v>0.99</v>
      </c>
      <c r="K35" s="27" t="n">
        <v>0.884</v>
      </c>
      <c r="L35" s="28">
        <f>(1-ABS(J35-K35)/J35)*100</f>
        <v/>
      </c>
      <c r="M35" s="26" t="n">
        <v>0.29</v>
      </c>
      <c r="N35" s="27" t="n">
        <v>0.251</v>
      </c>
      <c r="O35" s="28">
        <f>(1-ABS(M35-N35)/M35)*100</f>
        <v/>
      </c>
      <c r="P35" s="29" t="n">
        <v>0.5600000000000001</v>
      </c>
      <c r="Q35" s="30" t="n">
        <v>0.598</v>
      </c>
      <c r="R35" s="28">
        <f>(1-ABS(P35-Q35)/P35)*100</f>
        <v/>
      </c>
      <c r="S35" s="31" t="n">
        <v>15</v>
      </c>
      <c r="T35" s="29" t="n">
        <v>10.4</v>
      </c>
      <c r="U35" s="28">
        <f>(1-ABS(S35-T35)/S35)*100</f>
        <v/>
      </c>
    </row>
    <row r="36">
      <c r="B36" s="24" t="inlineStr">
        <is>
          <t>10/25</t>
        </is>
      </c>
      <c r="C36" s="25" t="n">
        <v>5542</v>
      </c>
      <c r="D36" s="26" t="n">
        <v>2.61</v>
      </c>
      <c r="E36" s="27" t="n">
        <v>2.38</v>
      </c>
      <c r="F36" s="28">
        <f>(1-ABS(D36-E36)/D36)*100</f>
        <v/>
      </c>
      <c r="G36" s="27" t="n">
        <v>0.167</v>
      </c>
      <c r="H36" s="27" t="n">
        <v>0.154</v>
      </c>
      <c r="I36" s="28">
        <f>(1-ABS(G36-H36)/G36)*100</f>
        <v/>
      </c>
      <c r="J36" s="26" t="n">
        <v>1.04</v>
      </c>
      <c r="K36" s="27" t="n">
        <v>0.944</v>
      </c>
      <c r="L36" s="28">
        <f>(1-ABS(J36-K36)/J36)*100</f>
        <v/>
      </c>
      <c r="M36" s="26" t="n">
        <v>0.29</v>
      </c>
      <c r="N36" s="27" t="n">
        <v>0.282</v>
      </c>
      <c r="O36" s="28">
        <f>(1-ABS(M36-N36)/M36)*100</f>
        <v/>
      </c>
      <c r="P36" s="29" t="n">
        <v>0.5600000000000001</v>
      </c>
      <c r="Q36" s="30" t="n">
        <v>0.663</v>
      </c>
      <c r="R36" s="28">
        <f>(1-ABS(P36-Q36)/P36)*100</f>
        <v/>
      </c>
      <c r="S36" s="31" t="n">
        <v>15</v>
      </c>
      <c r="T36" s="29" t="n">
        <v>10.81</v>
      </c>
      <c r="U36" s="28">
        <f>(1-ABS(S36-T36)/S36)*100</f>
        <v/>
      </c>
    </row>
    <row r="37">
      <c r="B37" s="24" t="inlineStr">
        <is>
          <t>10/26</t>
        </is>
      </c>
      <c r="C37" s="25" t="n">
        <v>6644</v>
      </c>
      <c r="D37" s="26" t="n">
        <v>2.72</v>
      </c>
      <c r="E37" s="27" t="n">
        <v>2.427</v>
      </c>
      <c r="F37" s="28">
        <f>(1-ABS(D37-E37)/D37)*100</f>
        <v/>
      </c>
      <c r="G37" s="27" t="n">
        <v>0.158</v>
      </c>
      <c r="H37" s="27" t="n">
        <v>0.158</v>
      </c>
      <c r="I37" s="28">
        <f>(1-ABS(G37-H37)/G37)*100</f>
        <v/>
      </c>
      <c r="J37" s="26" t="n">
        <v>0.82</v>
      </c>
      <c r="K37" s="27" t="n">
        <v>0.964</v>
      </c>
      <c r="L37" s="28">
        <f>(1-ABS(J37-K37)/J37)*100</f>
        <v/>
      </c>
      <c r="M37" s="26" t="n">
        <v>0.3</v>
      </c>
      <c r="N37" s="27" t="n">
        <v>0.272</v>
      </c>
      <c r="O37" s="28">
        <f>(1-ABS(M37-N37)/M37)*100</f>
        <v/>
      </c>
      <c r="P37" s="29" t="n">
        <v>0.46</v>
      </c>
      <c r="Q37" s="30" t="n">
        <v>0.666</v>
      </c>
      <c r="R37" s="28">
        <f>(1-ABS(P37-Q37)/P37)*100</f>
        <v/>
      </c>
      <c r="S37" s="31" t="n">
        <v>15</v>
      </c>
      <c r="T37" s="29" t="n">
        <v>11.61</v>
      </c>
      <c r="U37" s="28">
        <f>(1-ABS(S37-T37)/S37)*100</f>
        <v/>
      </c>
    </row>
    <row r="38">
      <c r="B38" s="24" t="inlineStr">
        <is>
          <t>10/6</t>
        </is>
      </c>
      <c r="C38" s="25" t="n">
        <v>5115</v>
      </c>
      <c r="D38" s="26" t="n">
        <v>2.69</v>
      </c>
      <c r="E38" s="27" t="n">
        <v>2.38</v>
      </c>
      <c r="F38" s="28">
        <f>(1-ABS(D38-E38)/D38)*100</f>
        <v/>
      </c>
      <c r="G38" s="27" t="n">
        <v>0.161</v>
      </c>
      <c r="H38" s="27" t="n">
        <v>0.151</v>
      </c>
      <c r="I38" s="28">
        <f>(1-ABS(G38-H38)/G38)*100</f>
        <v/>
      </c>
      <c r="J38" s="26" t="n">
        <v>0.89</v>
      </c>
      <c r="K38" s="27" t="n">
        <v>0.956</v>
      </c>
      <c r="L38" s="28">
        <f>(1-ABS(J38-K38)/J38)*100</f>
        <v/>
      </c>
      <c r="M38" s="26" t="n">
        <v>0.27</v>
      </c>
      <c r="N38" s="27" t="n">
        <v>0.259</v>
      </c>
      <c r="O38" s="28">
        <f>(1-ABS(M38-N38)/M38)*100</f>
        <v/>
      </c>
      <c r="P38" s="29" t="n">
        <v>0.4</v>
      </c>
      <c r="Q38" s="30" t="n">
        <v>0.624</v>
      </c>
      <c r="R38" s="28">
        <f>(1-ABS(P38-Q38)/P38)*100</f>
        <v/>
      </c>
      <c r="S38" s="31" t="n">
        <v>15</v>
      </c>
      <c r="T38" s="29" t="n">
        <v>12.04</v>
      </c>
      <c r="U38" s="28">
        <f>(1-ABS(S38-T38)/S38)*100</f>
        <v/>
      </c>
    </row>
    <row r="39">
      <c r="B39" s="24" t="inlineStr">
        <is>
          <t>10/7</t>
        </is>
      </c>
      <c r="C39" s="25" t="n">
        <v>5043</v>
      </c>
      <c r="D39" s="26" t="n">
        <v>2.6</v>
      </c>
      <c r="E39" s="27" t="n">
        <v>2.532</v>
      </c>
      <c r="F39" s="28">
        <f>(1-ABS(D39-E39)/D39)*100</f>
        <v/>
      </c>
      <c r="G39" s="27" t="n">
        <v>0.155</v>
      </c>
      <c r="H39" s="27" t="n">
        <v>0.162</v>
      </c>
      <c r="I39" s="28">
        <f>(1-ABS(G39-H39)/G39)*100</f>
        <v/>
      </c>
      <c r="J39" s="26" t="n">
        <v>0.93</v>
      </c>
      <c r="K39" s="27" t="n">
        <v>1.02</v>
      </c>
      <c r="L39" s="28">
        <f>(1-ABS(J39-K39)/J39)*100</f>
        <v/>
      </c>
      <c r="M39" s="26" t="n">
        <v>0.29</v>
      </c>
      <c r="N39" s="27" t="n">
        <v>0.262</v>
      </c>
      <c r="O39" s="28">
        <f>(1-ABS(M39-N39)/M39)*100</f>
        <v/>
      </c>
      <c r="P39" s="29" t="n">
        <v>0.47</v>
      </c>
      <c r="Q39" s="30" t="n">
        <v>0.658</v>
      </c>
      <c r="R39" s="28">
        <f>(1-ABS(P39-Q39)/P39)*100</f>
        <v/>
      </c>
      <c r="S39" s="31" t="n">
        <v>15</v>
      </c>
      <c r="T39" s="29" t="n">
        <v>13.68</v>
      </c>
      <c r="U39" s="28">
        <f>(1-ABS(S39-T39)/S39)*100</f>
        <v/>
      </c>
    </row>
    <row r="40">
      <c r="B40" s="24" t="inlineStr">
        <is>
          <t>10/8</t>
        </is>
      </c>
      <c r="C40" s="25" t="n">
        <v>5171</v>
      </c>
      <c r="D40" s="26" t="n">
        <v>2.56</v>
      </c>
      <c r="E40" s="27" t="n">
        <v>2.51</v>
      </c>
      <c r="F40" s="28">
        <f>(1-ABS(D40-E40)/D40)*100</f>
        <v/>
      </c>
      <c r="G40" s="27" t="n">
        <v>0.159</v>
      </c>
      <c r="H40" s="27" t="n">
        <v>0.16</v>
      </c>
      <c r="I40" s="28">
        <f>(1-ABS(G40-H40)/G40)*100</f>
        <v/>
      </c>
      <c r="J40" s="26" t="n">
        <v>0.91</v>
      </c>
      <c r="K40" s="27" t="n">
        <v>1.013</v>
      </c>
      <c r="L40" s="28">
        <f>(1-ABS(J40-K40)/J40)*100</f>
        <v/>
      </c>
      <c r="M40" s="26" t="n">
        <v>0.3</v>
      </c>
      <c r="N40" s="27" t="n">
        <v>0.271</v>
      </c>
      <c r="O40" s="28">
        <f>(1-ABS(M40-N40)/M40)*100</f>
        <v/>
      </c>
      <c r="P40" s="29" t="n">
        <v>0.5</v>
      </c>
      <c r="Q40" s="30" t="n">
        <v>0.648</v>
      </c>
      <c r="R40" s="28">
        <f>(1-ABS(P40-Q40)/P40)*100</f>
        <v/>
      </c>
      <c r="S40" s="31" t="n">
        <v>16</v>
      </c>
      <c r="T40" s="29" t="n">
        <v>13.34</v>
      </c>
      <c r="U40" s="28">
        <f>(1-ABS(S40-T40)/S40)*100</f>
        <v/>
      </c>
    </row>
    <row r="41">
      <c r="B41" s="24" t="inlineStr">
        <is>
          <t>10/9</t>
        </is>
      </c>
      <c r="C41" s="25" t="n">
        <v>4462</v>
      </c>
      <c r="D41" s="26" t="n">
        <v>2.57</v>
      </c>
      <c r="E41" s="27" t="n">
        <v>2.471</v>
      </c>
      <c r="F41" s="28">
        <f>(1-ABS(D41-E41)/D41)*100</f>
        <v/>
      </c>
      <c r="G41" s="27" t="n">
        <v>0.16</v>
      </c>
      <c r="H41" s="27" t="n">
        <v>0.156</v>
      </c>
      <c r="I41" s="28">
        <f>(1-ABS(G41-H41)/G41)*100</f>
        <v/>
      </c>
      <c r="J41" s="26" t="n">
        <v>0.97</v>
      </c>
      <c r="K41" s="27" t="n">
        <v>1.001</v>
      </c>
      <c r="L41" s="28">
        <f>(1-ABS(J41-K41)/J41)*100</f>
        <v/>
      </c>
      <c r="M41" s="26" t="n">
        <v>0.28</v>
      </c>
      <c r="N41" s="27" t="n">
        <v>0.264</v>
      </c>
      <c r="O41" s="28">
        <f>(1-ABS(M41-N41)/M41)*100</f>
        <v/>
      </c>
      <c r="P41" s="29" t="n">
        <v>0.43</v>
      </c>
      <c r="Q41" s="30" t="n">
        <v>0.633</v>
      </c>
      <c r="R41" s="28">
        <f>(1-ABS(P41-Q41)/P41)*100</f>
        <v/>
      </c>
      <c r="S41" s="31" t="n">
        <v>13</v>
      </c>
      <c r="T41" s="29" t="n">
        <v>12.98</v>
      </c>
      <c r="U41" s="28">
        <f>(1-ABS(S41-T41)/S41)*100</f>
        <v/>
      </c>
    </row>
    <row r="42">
      <c r="B42" s="24" t="inlineStr">
        <is>
          <t>11/10</t>
        </is>
      </c>
      <c r="C42" s="25" t="n">
        <v>6744</v>
      </c>
      <c r="D42" s="26" t="n">
        <v>2.57</v>
      </c>
      <c r="E42" s="27" t="n">
        <v>2.16</v>
      </c>
      <c r="F42" s="28">
        <f>(1-ABS(D42-E42)/D42)*100</f>
        <v/>
      </c>
      <c r="G42" s="27" t="n">
        <v>0.164</v>
      </c>
      <c r="H42" s="27" t="n">
        <v>0.136</v>
      </c>
      <c r="I42" s="28">
        <f>(1-ABS(G42-H42)/G42)*100</f>
        <v/>
      </c>
      <c r="J42" s="26" t="n">
        <v>0.91</v>
      </c>
      <c r="K42" s="27" t="n">
        <v>0.862</v>
      </c>
      <c r="L42" s="28">
        <f>(1-ABS(J42-K42)/J42)*100</f>
        <v/>
      </c>
      <c r="M42" s="26" t="n">
        <v>0.27</v>
      </c>
      <c r="N42" s="27" t="n">
        <v>0.249</v>
      </c>
      <c r="O42" s="28">
        <f>(1-ABS(M42-N42)/M42)*100</f>
        <v/>
      </c>
      <c r="P42" s="29" t="n">
        <v>0.49</v>
      </c>
      <c r="Q42" s="30" t="n">
        <v>0.5649999999999999</v>
      </c>
      <c r="R42" s="28">
        <f>(1-ABS(P42-Q42)/P42)*100</f>
        <v/>
      </c>
      <c r="S42" s="31" t="n">
        <v>15</v>
      </c>
      <c r="T42" s="29" t="n">
        <v>10.39</v>
      </c>
      <c r="U42" s="28">
        <f>(1-ABS(S42-T42)/S42)*100</f>
        <v/>
      </c>
    </row>
    <row r="43">
      <c r="B43" s="24" t="inlineStr">
        <is>
          <t>11/11</t>
        </is>
      </c>
      <c r="C43" s="25" t="n">
        <v>4369</v>
      </c>
      <c r="D43" s="26" t="n">
        <v>2.46</v>
      </c>
      <c r="E43" s="27" t="n">
        <v>2.324</v>
      </c>
      <c r="F43" s="28">
        <f>(1-ABS(D43-E43)/D43)*100</f>
        <v/>
      </c>
      <c r="G43" s="27" t="n">
        <v>0.163</v>
      </c>
      <c r="H43" s="27" t="n">
        <v>0.146</v>
      </c>
      <c r="I43" s="28">
        <f>(1-ABS(G43-H43)/G43)*100</f>
        <v/>
      </c>
      <c r="J43" s="26" t="n">
        <v>0.87</v>
      </c>
      <c r="K43" s="27" t="n">
        <v>0.949</v>
      </c>
      <c r="L43" s="28">
        <f>(1-ABS(J43-K43)/J43)*100</f>
        <v/>
      </c>
      <c r="M43" s="26" t="n">
        <v>0.29</v>
      </c>
      <c r="N43" s="27" t="n">
        <v>0.254</v>
      </c>
      <c r="O43" s="28">
        <f>(1-ABS(M43-N43)/M43)*100</f>
        <v/>
      </c>
      <c r="P43" s="29" t="n">
        <v>0.41</v>
      </c>
      <c r="Q43" s="30" t="n">
        <v>0.602</v>
      </c>
      <c r="R43" s="28">
        <f>(1-ABS(P43-Q43)/P43)*100</f>
        <v/>
      </c>
      <c r="S43" s="31" t="n">
        <v>14</v>
      </c>
      <c r="T43" s="29" t="n">
        <v>11.8</v>
      </c>
      <c r="U43" s="28">
        <f>(1-ABS(S43-T43)/S43)*100</f>
        <v/>
      </c>
    </row>
    <row r="44">
      <c r="B44" s="24" t="inlineStr">
        <is>
          <t>11/12</t>
        </is>
      </c>
      <c r="C44" s="25" t="n">
        <v>3760</v>
      </c>
      <c r="D44" s="26" t="n">
        <v>2.58</v>
      </c>
      <c r="E44" s="27" t="n">
        <v>2.416</v>
      </c>
      <c r="F44" s="28">
        <f>(1-ABS(D44-E44)/D44)*100</f>
        <v/>
      </c>
      <c r="G44" s="27" t="n">
        <v>0.169</v>
      </c>
      <c r="H44" s="27" t="n">
        <v>0.156</v>
      </c>
      <c r="I44" s="28">
        <f>(1-ABS(G44-H44)/G44)*100</f>
        <v/>
      </c>
      <c r="J44" s="26" t="n">
        <v>1.02</v>
      </c>
      <c r="K44" s="27" t="n">
        <v>0.96</v>
      </c>
      <c r="L44" s="28">
        <f>(1-ABS(J44-K44)/J44)*100</f>
        <v/>
      </c>
      <c r="M44" s="26" t="n">
        <v>0.31</v>
      </c>
      <c r="N44" s="27" t="n">
        <v>0.278</v>
      </c>
      <c r="O44" s="28">
        <f>(1-ABS(M44-N44)/M44)*100</f>
        <v/>
      </c>
      <c r="P44" s="29" t="n">
        <v>0.47</v>
      </c>
      <c r="Q44" s="30" t="n">
        <v>0.646</v>
      </c>
      <c r="R44" s="28">
        <f>(1-ABS(P44-Q44)/P44)*100</f>
        <v/>
      </c>
      <c r="S44" s="31" t="n">
        <v>14</v>
      </c>
      <c r="T44" s="29" t="n">
        <v>12.09</v>
      </c>
      <c r="U44" s="28">
        <f>(1-ABS(S44-T44)/S44)*100</f>
        <v/>
      </c>
    </row>
    <row r="45">
      <c r="B45" s="24" t="inlineStr">
        <is>
          <t>11/13</t>
        </is>
      </c>
      <c r="C45" s="25" t="n">
        <v>5434</v>
      </c>
      <c r="D45" s="26" t="n">
        <v>2.53</v>
      </c>
      <c r="E45" s="27" t="n">
        <v>2.542</v>
      </c>
      <c r="F45" s="28">
        <f>(1-ABS(D45-E45)/D45)*100</f>
        <v/>
      </c>
      <c r="G45" s="27" t="n">
        <v>0.177</v>
      </c>
      <c r="H45" s="27" t="n">
        <v>0.164</v>
      </c>
      <c r="I45" s="28">
        <f>(1-ABS(G45-H45)/G45)*100</f>
        <v/>
      </c>
      <c r="J45" s="26" t="n">
        <v>0.97</v>
      </c>
      <c r="K45" s="27" t="n">
        <v>1.023</v>
      </c>
      <c r="L45" s="28">
        <f>(1-ABS(J45-K45)/J45)*100</f>
        <v/>
      </c>
      <c r="M45" s="26" t="n">
        <v>0.32</v>
      </c>
      <c r="N45" s="27" t="n">
        <v>0.28</v>
      </c>
      <c r="O45" s="28">
        <f>(1-ABS(M45-N45)/M45)*100</f>
        <v/>
      </c>
      <c r="P45" s="29" t="n">
        <v>0.4</v>
      </c>
      <c r="Q45" s="30" t="n">
        <v>0.658</v>
      </c>
      <c r="R45" s="28">
        <f>(1-ABS(P45-Q45)/P45)*100</f>
        <v/>
      </c>
      <c r="S45" s="31" t="n">
        <v>15</v>
      </c>
      <c r="T45" s="29" t="n">
        <v>13.98</v>
      </c>
      <c r="U45" s="28">
        <f>(1-ABS(S45-T45)/S45)*100</f>
        <v/>
      </c>
    </row>
    <row r="46">
      <c r="B46" s="24" t="inlineStr">
        <is>
          <t>11/14</t>
        </is>
      </c>
      <c r="C46" s="25" t="n">
        <v>4565</v>
      </c>
      <c r="D46" s="26" t="n">
        <v>2.64</v>
      </c>
      <c r="E46" s="27" t="n">
        <v>2.437</v>
      </c>
      <c r="F46" s="28">
        <f>(1-ABS(D46-E46)/D46)*100</f>
        <v/>
      </c>
      <c r="G46" s="27" t="n">
        <v>0.159</v>
      </c>
      <c r="H46" s="27" t="n">
        <v>0.153</v>
      </c>
      <c r="I46" s="28">
        <f>(1-ABS(G46-H46)/G46)*100</f>
        <v/>
      </c>
      <c r="J46" s="26" t="n">
        <v>0.88</v>
      </c>
      <c r="K46" s="27" t="n">
        <v>0.998</v>
      </c>
      <c r="L46" s="28">
        <f>(1-ABS(J46-K46)/J46)*100</f>
        <v/>
      </c>
      <c r="M46" s="26" t="n">
        <v>0.34</v>
      </c>
      <c r="N46" s="27" t="n">
        <v>0.266</v>
      </c>
      <c r="O46" s="28">
        <f>(1-ABS(M46-N46)/M46)*100</f>
        <v/>
      </c>
      <c r="P46" s="29" t="n">
        <v>0.46</v>
      </c>
      <c r="Q46" s="30" t="n">
        <v>0.623</v>
      </c>
      <c r="R46" s="28">
        <f>(1-ABS(P46-Q46)/P46)*100</f>
        <v/>
      </c>
      <c r="S46" s="31" t="n">
        <v>16</v>
      </c>
      <c r="T46" s="29" t="n">
        <v>12.73</v>
      </c>
      <c r="U46" s="28">
        <f>(1-ABS(S46-T46)/S46)*100</f>
        <v/>
      </c>
    </row>
    <row r="47">
      <c r="B47" s="24" t="inlineStr">
        <is>
          <t>12/15</t>
        </is>
      </c>
      <c r="C47" s="25" t="n">
        <v>5055</v>
      </c>
      <c r="D47" s="26" t="n">
        <v>2.68</v>
      </c>
      <c r="E47" s="27" t="n">
        <v>2.206</v>
      </c>
      <c r="F47" s="28">
        <f>(1-ABS(D47-E47)/D47)*100</f>
        <v/>
      </c>
      <c r="G47" s="27" t="n">
        <v>0.168</v>
      </c>
      <c r="H47" s="27" t="n">
        <v>0.14</v>
      </c>
      <c r="I47" s="28">
        <f>(1-ABS(G47-H47)/G47)*100</f>
        <v/>
      </c>
      <c r="J47" s="26" t="n">
        <v>0.9399999999999999</v>
      </c>
      <c r="K47" s="27" t="n">
        <v>0.881</v>
      </c>
      <c r="L47" s="28">
        <f>(1-ABS(J47-K47)/J47)*100</f>
        <v/>
      </c>
      <c r="M47" s="26" t="n">
        <v>0.28</v>
      </c>
      <c r="N47" s="27" t="n">
        <v>0.268</v>
      </c>
      <c r="O47" s="28">
        <f>(1-ABS(M47-N47)/M47)*100</f>
        <v/>
      </c>
      <c r="P47" s="29" t="n">
        <v>0.4</v>
      </c>
      <c r="Q47" s="30" t="n">
        <v>0.58</v>
      </c>
      <c r="R47" s="28">
        <f>(1-ABS(P47-Q47)/P47)*100</f>
        <v/>
      </c>
      <c r="S47" s="31" t="n">
        <v>15</v>
      </c>
      <c r="T47" s="29" t="n">
        <v>10.5</v>
      </c>
      <c r="U47" s="28">
        <f>(1-ABS(S47-T47)/S47)*100</f>
        <v/>
      </c>
    </row>
    <row r="48">
      <c r="B48" s="24" t="inlineStr">
        <is>
          <t>12/16</t>
        </is>
      </c>
      <c r="C48" s="25" t="n">
        <v>4896</v>
      </c>
      <c r="D48" s="26" t="n">
        <v>2.56</v>
      </c>
      <c r="E48" s="27" t="n">
        <v>2.27</v>
      </c>
      <c r="F48" s="28">
        <f>(1-ABS(D48-E48)/D48)*100</f>
        <v/>
      </c>
      <c r="G48" s="27" t="n">
        <v>0.167</v>
      </c>
      <c r="H48" s="27" t="n">
        <v>0.143</v>
      </c>
      <c r="I48" s="28">
        <f>(1-ABS(G48-H48)/G48)*100</f>
        <v/>
      </c>
      <c r="J48" s="26" t="n">
        <v>0.96</v>
      </c>
      <c r="K48" s="27" t="n">
        <v>0.914</v>
      </c>
      <c r="L48" s="28">
        <f>(1-ABS(J48-K48)/J48)*100</f>
        <v/>
      </c>
      <c r="M48" s="26" t="n">
        <v>0.29</v>
      </c>
      <c r="N48" s="27" t="n">
        <v>0.267</v>
      </c>
      <c r="O48" s="28">
        <f>(1-ABS(M48-N48)/M48)*100</f>
        <v/>
      </c>
      <c r="P48" s="29" t="n">
        <v>0.5</v>
      </c>
      <c r="Q48" s="30" t="n">
        <v>0.598</v>
      </c>
      <c r="R48" s="28">
        <f>(1-ABS(P48-Q48)/P48)*100</f>
        <v/>
      </c>
      <c r="S48" s="31" t="n">
        <v>14</v>
      </c>
      <c r="T48" s="29" t="n">
        <v>10.24</v>
      </c>
      <c r="U48" s="28">
        <f>(1-ABS(S48-T48)/S48)*100</f>
        <v/>
      </c>
    </row>
    <row r="49">
      <c r="B49" s="24" t="inlineStr">
        <is>
          <t>12/17</t>
        </is>
      </c>
      <c r="C49" s="25" t="n">
        <v>5519</v>
      </c>
      <c r="D49" s="26" t="n">
        <v>2.46</v>
      </c>
      <c r="E49" s="27" t="n">
        <v>2.506</v>
      </c>
      <c r="F49" s="28">
        <f>(1-ABS(D49-E49)/D49)*100</f>
        <v/>
      </c>
      <c r="G49" s="27" t="n">
        <v>0.171</v>
      </c>
      <c r="H49" s="27" t="n">
        <v>0.157</v>
      </c>
      <c r="I49" s="28">
        <f>(1-ABS(G49-H49)/G49)*100</f>
        <v/>
      </c>
      <c r="J49" s="26" t="n">
        <v>0.96</v>
      </c>
      <c r="K49" s="27" t="n">
        <v>1.035</v>
      </c>
      <c r="L49" s="28">
        <f>(1-ABS(J49-K49)/J49)*100</f>
        <v/>
      </c>
      <c r="M49" s="26" t="n">
        <v>0.31</v>
      </c>
      <c r="N49" s="27" t="n">
        <v>0.279</v>
      </c>
      <c r="O49" s="28">
        <f>(1-ABS(M49-N49)/M49)*100</f>
        <v/>
      </c>
      <c r="P49" s="29" t="n">
        <v>0.49</v>
      </c>
      <c r="Q49" s="30" t="n">
        <v>0.644</v>
      </c>
      <c r="R49" s="28">
        <f>(1-ABS(P49-Q49)/P49)*100</f>
        <v/>
      </c>
      <c r="S49" s="31" t="n">
        <v>15</v>
      </c>
      <c r="T49" s="29" t="n">
        <v>12.56</v>
      </c>
      <c r="U49" s="28">
        <f>(1-ABS(S49-T49)/S49)*100</f>
        <v/>
      </c>
    </row>
    <row r="50">
      <c r="B50" s="24" t="inlineStr">
        <is>
          <t>12/18A</t>
        </is>
      </c>
      <c r="C50" s="25" t="n">
        <v>5796</v>
      </c>
      <c r="D50" s="26" t="n">
        <v>2.56</v>
      </c>
      <c r="E50" s="27" t="n">
        <v>2.411</v>
      </c>
      <c r="F50" s="28">
        <f>(1-ABS(D50-E50)/D50)*100</f>
        <v/>
      </c>
      <c r="G50" s="27" t="n">
        <v>0.162</v>
      </c>
      <c r="H50" s="27" t="n">
        <v>0.154</v>
      </c>
      <c r="I50" s="28">
        <f>(1-ABS(G50-H50)/G50)*100</f>
        <v/>
      </c>
      <c r="J50" s="26" t="n">
        <v>0.85</v>
      </c>
      <c r="K50" s="27" t="n">
        <v>0.971</v>
      </c>
      <c r="L50" s="28">
        <f>(1-ABS(J50-K50)/J50)*100</f>
        <v/>
      </c>
      <c r="M50" s="26" t="n">
        <v>0.31</v>
      </c>
      <c r="N50" s="27" t="n">
        <v>0.282</v>
      </c>
      <c r="O50" s="28">
        <f>(1-ABS(M50-N50)/M50)*100</f>
        <v/>
      </c>
      <c r="P50" s="29" t="n">
        <v>0.43</v>
      </c>
      <c r="Q50" s="30" t="n">
        <v>0.635</v>
      </c>
      <c r="R50" s="28">
        <f>(1-ABS(P50-Q50)/P50)*100</f>
        <v/>
      </c>
      <c r="S50" s="31" t="n">
        <v>16</v>
      </c>
      <c r="T50" s="29" t="n">
        <v>11.73</v>
      </c>
      <c r="U50" s="28">
        <f>(1-ABS(S50-T50)/S50)*100</f>
        <v/>
      </c>
    </row>
    <row r="51">
      <c r="B51" s="24" t="inlineStr">
        <is>
          <t>12/19A</t>
        </is>
      </c>
      <c r="C51" s="25" t="n">
        <v>7359</v>
      </c>
      <c r="D51" s="26" t="n">
        <v>2.51</v>
      </c>
      <c r="E51" s="27" t="n">
        <v>2.387</v>
      </c>
      <c r="F51" s="28">
        <f>(1-ABS(D51-E51)/D51)*100</f>
        <v/>
      </c>
      <c r="G51" s="27" t="n">
        <v>0.169</v>
      </c>
      <c r="H51" s="27" t="n">
        <v>0.153</v>
      </c>
      <c r="I51" s="28">
        <f>(1-ABS(G51-H51)/G51)*100</f>
        <v/>
      </c>
      <c r="J51" s="26" t="n">
        <v>0.93</v>
      </c>
      <c r="K51" s="27" t="n">
        <v>0.959</v>
      </c>
      <c r="L51" s="28">
        <f>(1-ABS(J51-K51)/J51)*100</f>
        <v/>
      </c>
      <c r="M51" s="26" t="n">
        <v>0.33</v>
      </c>
      <c r="N51" s="27" t="n">
        <v>0.278</v>
      </c>
      <c r="O51" s="28">
        <f>(1-ABS(M51-N51)/M51)*100</f>
        <v/>
      </c>
      <c r="P51" s="29" t="n">
        <v>0.42</v>
      </c>
      <c r="Q51" s="30" t="n">
        <v>0.631</v>
      </c>
      <c r="R51" s="28">
        <f>(1-ABS(P51-Q51)/P51)*100</f>
        <v/>
      </c>
      <c r="S51" s="31" t="n">
        <v>15</v>
      </c>
      <c r="T51" s="29" t="n">
        <v>12.02</v>
      </c>
      <c r="U51" s="28">
        <f>(1-ABS(S51-T51)/S51)*100</f>
        <v/>
      </c>
    </row>
    <row r="52">
      <c r="B52" s="24" t="inlineStr">
        <is>
          <t>12/20</t>
        </is>
      </c>
      <c r="C52" s="25" t="n">
        <v>7137</v>
      </c>
      <c r="D52" s="26" t="n">
        <v>2.53</v>
      </c>
      <c r="E52" s="27" t="n">
        <v>2.239</v>
      </c>
      <c r="F52" s="28">
        <f>(1-ABS(D52-E52)/D52)*100</f>
        <v/>
      </c>
      <c r="G52" s="27" t="n">
        <v>0.167</v>
      </c>
      <c r="H52" s="27" t="n">
        <v>0.143</v>
      </c>
      <c r="I52" s="28">
        <f>(1-ABS(G52-H52)/G52)*100</f>
        <v/>
      </c>
      <c r="J52" s="26" t="n">
        <v>0.88</v>
      </c>
      <c r="K52" s="27" t="n">
        <v>0.887</v>
      </c>
      <c r="L52" s="28">
        <f>(1-ABS(J52-K52)/J52)*100</f>
        <v/>
      </c>
      <c r="M52" s="26" t="n">
        <v>0.3</v>
      </c>
      <c r="N52" s="27" t="n">
        <v>0.269</v>
      </c>
      <c r="O52" s="28">
        <f>(1-ABS(M52-N52)/M52)*100</f>
        <v/>
      </c>
      <c r="P52" s="29" t="n">
        <v>0.53</v>
      </c>
      <c r="Q52" s="30" t="n">
        <v>0.596</v>
      </c>
      <c r="R52" s="28">
        <f>(1-ABS(P52-Q52)/P52)*100</f>
        <v/>
      </c>
      <c r="S52" s="31" t="n">
        <v>16</v>
      </c>
      <c r="T52" s="29" t="n">
        <v>10.72</v>
      </c>
      <c r="U52" s="28">
        <f>(1-ABS(S52-T52)/S52)*100</f>
        <v/>
      </c>
    </row>
    <row r="53">
      <c r="B53" s="24" t="inlineStr">
        <is>
          <t>12/21</t>
        </is>
      </c>
      <c r="C53" s="25" t="n">
        <v>5928</v>
      </c>
      <c r="D53" s="26" t="n">
        <v>2.52</v>
      </c>
      <c r="E53" s="27" t="n">
        <v>2.215</v>
      </c>
      <c r="F53" s="28">
        <f>(1-ABS(D53-E53)/D53)*100</f>
        <v/>
      </c>
      <c r="G53" s="27" t="n">
        <v>0.178</v>
      </c>
      <c r="H53" s="27" t="n">
        <v>0.14</v>
      </c>
      <c r="I53" s="28">
        <f>(1-ABS(G53-H53)/G53)*100</f>
        <v/>
      </c>
      <c r="J53" s="26" t="n">
        <v>1.05</v>
      </c>
      <c r="K53" s="27" t="n">
        <v>0.879</v>
      </c>
      <c r="L53" s="28">
        <f>(1-ABS(J53-K53)/J53)*100</f>
        <v/>
      </c>
      <c r="M53" s="26" t="n">
        <v>0.33</v>
      </c>
      <c r="N53" s="27" t="n">
        <v>0.263</v>
      </c>
      <c r="O53" s="28">
        <f>(1-ABS(M53-N53)/M53)*100</f>
        <v/>
      </c>
      <c r="P53" s="29" t="n">
        <v>0.41</v>
      </c>
      <c r="Q53" s="30" t="n">
        <v>0.581</v>
      </c>
      <c r="R53" s="28">
        <f>(1-ABS(P53-Q53)/P53)*100</f>
        <v/>
      </c>
      <c r="S53" s="31" t="n">
        <v>15</v>
      </c>
      <c r="T53" s="29" t="n">
        <v>10.53</v>
      </c>
      <c r="U53" s="28">
        <f>(1-ABS(S53-T53)/S53)*100</f>
        <v/>
      </c>
    </row>
    <row r="54">
      <c r="B54" s="24" t="inlineStr">
        <is>
          <t>12/22</t>
        </is>
      </c>
      <c r="C54" s="25" t="n">
        <v>4992</v>
      </c>
      <c r="D54" s="26" t="n">
        <v>2.56</v>
      </c>
      <c r="E54" s="27" t="n">
        <v>2.287</v>
      </c>
      <c r="F54" s="28">
        <f>(1-ABS(D54-E54)/D54)*100</f>
        <v/>
      </c>
      <c r="G54" s="27" t="n">
        <v>0.162</v>
      </c>
      <c r="H54" s="27" t="n">
        <v>0.147</v>
      </c>
      <c r="I54" s="28">
        <f>(1-ABS(G54-H54)/G54)*100</f>
        <v/>
      </c>
      <c r="J54" s="26" t="n">
        <v>0.98</v>
      </c>
      <c r="K54" s="27" t="n">
        <v>0.899</v>
      </c>
      <c r="L54" s="28">
        <f>(1-ABS(J54-K54)/J54)*100</f>
        <v/>
      </c>
      <c r="M54" s="26" t="n">
        <v>0.29</v>
      </c>
      <c r="N54" s="27" t="n">
        <v>0.283</v>
      </c>
      <c r="O54" s="28">
        <f>(1-ABS(M54-N54)/M54)*100</f>
        <v/>
      </c>
      <c r="P54" s="29" t="n">
        <v>0.43</v>
      </c>
      <c r="Q54" s="30" t="n">
        <v>0.622</v>
      </c>
      <c r="R54" s="28">
        <f>(1-ABS(P54-Q54)/P54)*100</f>
        <v/>
      </c>
      <c r="S54" s="31" t="n">
        <v>13</v>
      </c>
      <c r="T54" s="29" t="n">
        <v>10.77</v>
      </c>
      <c r="U54" s="28">
        <f>(1-ABS(S54-T54)/S54)*100</f>
        <v/>
      </c>
    </row>
    <row r="55">
      <c r="B55" s="24" t="inlineStr">
        <is>
          <t>12/23A</t>
        </is>
      </c>
      <c r="C55" s="25" t="n">
        <v>8090</v>
      </c>
      <c r="D55" s="26" t="n">
        <v>2.65</v>
      </c>
      <c r="E55" s="27" t="n">
        <v>2.359</v>
      </c>
      <c r="F55" s="28">
        <f>(1-ABS(D55-E55)/D55)*100</f>
        <v/>
      </c>
      <c r="G55" s="27" t="n">
        <v>0.174</v>
      </c>
      <c r="H55" s="27" t="n">
        <v>0.148</v>
      </c>
      <c r="I55" s="28">
        <f>(1-ABS(G55-H55)/G55)*100</f>
        <v/>
      </c>
      <c r="J55" s="26" t="n">
        <v>1.02</v>
      </c>
      <c r="K55" s="27" t="n">
        <v>0.945</v>
      </c>
      <c r="L55" s="28">
        <f>(1-ABS(J55-K55)/J55)*100</f>
        <v/>
      </c>
      <c r="M55" s="26" t="n">
        <v>0.27</v>
      </c>
      <c r="N55" s="27" t="n">
        <v>0.263</v>
      </c>
      <c r="O55" s="28">
        <f>(1-ABS(M55-N55)/M55)*100</f>
        <v/>
      </c>
      <c r="P55" s="29" t="n">
        <v>0.4</v>
      </c>
      <c r="Q55" s="30" t="n">
        <v>0.605</v>
      </c>
      <c r="R55" s="28">
        <f>(1-ABS(P55-Q55)/P55)*100</f>
        <v/>
      </c>
      <c r="S55" s="31" t="n">
        <v>14</v>
      </c>
      <c r="T55" s="29" t="n">
        <v>11.88</v>
      </c>
      <c r="U55" s="28">
        <f>(1-ABS(S55-T55)/S55)*100</f>
        <v/>
      </c>
    </row>
    <row r="56">
      <c r="B56" s="24" t="inlineStr">
        <is>
          <t>12/24</t>
        </is>
      </c>
      <c r="C56" s="25" t="n">
        <v>4867</v>
      </c>
      <c r="D56" s="26" t="n">
        <v>2.55</v>
      </c>
      <c r="E56" s="27" t="n">
        <v>2.023</v>
      </c>
      <c r="F56" s="28">
        <f>(1-ABS(D56-E56)/D56)*100</f>
        <v/>
      </c>
      <c r="G56" s="27" t="n">
        <v>0.156</v>
      </c>
      <c r="H56" s="27" t="n">
        <v>0.126</v>
      </c>
      <c r="I56" s="28">
        <f>(1-ABS(G56-H56)/G56)*100</f>
        <v/>
      </c>
      <c r="J56" s="26" t="n">
        <v>0.87</v>
      </c>
      <c r="K56" s="27" t="n">
        <v>0.8090000000000001</v>
      </c>
      <c r="L56" s="28">
        <f>(1-ABS(J56-K56)/J56)*100</f>
        <v/>
      </c>
      <c r="M56" s="26" t="n">
        <v>0.32</v>
      </c>
      <c r="N56" s="27" t="n">
        <v>0.249</v>
      </c>
      <c r="O56" s="28">
        <f>(1-ABS(M56-N56)/M56)*100</f>
        <v/>
      </c>
      <c r="P56" s="29" t="n">
        <v>0.51</v>
      </c>
      <c r="Q56" s="30" t="n">
        <v>0.514</v>
      </c>
      <c r="R56" s="28">
        <f>(1-ABS(P56-Q56)/P56)*100</f>
        <v/>
      </c>
      <c r="S56" s="31" t="n">
        <v>17</v>
      </c>
      <c r="T56" s="29" t="n">
        <v>9.83</v>
      </c>
      <c r="U56" s="28">
        <f>(1-ABS(S56-T56)/S56)*100</f>
        <v/>
      </c>
    </row>
    <row r="57">
      <c r="B57" s="24" t="inlineStr">
        <is>
          <t>12/25A</t>
        </is>
      </c>
      <c r="C57" s="25" t="n">
        <v>5969</v>
      </c>
      <c r="D57" s="26" t="n">
        <v>2.51</v>
      </c>
      <c r="E57" s="27" t="n">
        <v>2.424</v>
      </c>
      <c r="F57" s="28">
        <f>(1-ABS(D57-E57)/D57)*100</f>
        <v/>
      </c>
      <c r="G57" s="27" t="n">
        <v>0.171</v>
      </c>
      <c r="H57" s="27" t="n">
        <v>0.154</v>
      </c>
      <c r="I57" s="28">
        <f>(1-ABS(G57-H57)/G57)*100</f>
        <v/>
      </c>
      <c r="J57" s="26" t="n">
        <v>0.99</v>
      </c>
      <c r="K57" s="27" t="n">
        <v>0.974</v>
      </c>
      <c r="L57" s="28">
        <f>(1-ABS(J57-K57)/J57)*100</f>
        <v/>
      </c>
      <c r="M57" s="26" t="n">
        <v>0.27</v>
      </c>
      <c r="N57" s="27" t="n">
        <v>0.271</v>
      </c>
      <c r="O57" s="28">
        <f>(1-ABS(M57-N57)/M57)*100</f>
        <v/>
      </c>
      <c r="P57" s="29" t="n">
        <v>0.49</v>
      </c>
      <c r="Q57" s="30" t="n">
        <v>0.629</v>
      </c>
      <c r="R57" s="28">
        <f>(1-ABS(P57-Q57)/P57)*100</f>
        <v/>
      </c>
      <c r="S57" s="31" t="n">
        <v>14</v>
      </c>
      <c r="T57" s="29" t="n">
        <v>12.3</v>
      </c>
      <c r="U57" s="28">
        <f>(1-ABS(S57-T57)/S57)*100</f>
        <v/>
      </c>
    </row>
    <row r="58">
      <c r="B58" s="24" t="inlineStr">
        <is>
          <t>12/26</t>
        </is>
      </c>
      <c r="C58" s="25" t="n">
        <v>5516</v>
      </c>
      <c r="D58" s="26" t="n">
        <v>2.53</v>
      </c>
      <c r="E58" s="27" t="n">
        <v>2.499</v>
      </c>
      <c r="F58" s="28">
        <f>(1-ABS(D58-E58)/D58)*100</f>
        <v/>
      </c>
      <c r="G58" s="27" t="n">
        <v>0.172</v>
      </c>
      <c r="H58" s="27" t="n">
        <v>0.161</v>
      </c>
      <c r="I58" s="28">
        <f>(1-ABS(G58-H58)/G58)*100</f>
        <v/>
      </c>
      <c r="J58" s="26" t="n">
        <v>0.95</v>
      </c>
      <c r="K58" s="27" t="n">
        <v>1.01</v>
      </c>
      <c r="L58" s="28">
        <f>(1-ABS(J58-K58)/J58)*100</f>
        <v/>
      </c>
      <c r="M58" s="26" t="n">
        <v>0.3</v>
      </c>
      <c r="N58" s="27" t="n">
        <v>0.276</v>
      </c>
      <c r="O58" s="28">
        <f>(1-ABS(M58-N58)/M58)*100</f>
        <v/>
      </c>
      <c r="P58" s="29" t="n">
        <v>0.41</v>
      </c>
      <c r="Q58" s="30" t="n">
        <v>0.648</v>
      </c>
      <c r="R58" s="28">
        <f>(1-ABS(P58-Q58)/P58)*100</f>
        <v/>
      </c>
      <c r="S58" s="31" t="n">
        <v>15</v>
      </c>
      <c r="T58" s="29" t="n">
        <v>12.94</v>
      </c>
      <c r="U58" s="28">
        <f>(1-ABS(S58-T58)/S58)*100</f>
        <v/>
      </c>
    </row>
    <row r="59">
      <c r="B59" s="24" t="inlineStr">
        <is>
          <t>12/27A</t>
        </is>
      </c>
      <c r="C59" s="25" t="n">
        <v>5352</v>
      </c>
      <c r="D59" s="26" t="n">
        <v>2.53</v>
      </c>
      <c r="E59" s="27" t="n">
        <v>2.465</v>
      </c>
      <c r="F59" s="28">
        <f>(1-ABS(D59-E59)/D59)*100</f>
        <v/>
      </c>
      <c r="G59" s="27" t="n">
        <v>0.173</v>
      </c>
      <c r="H59" s="27" t="n">
        <v>0.158</v>
      </c>
      <c r="I59" s="28">
        <f>(1-ABS(G59-H59)/G59)*100</f>
        <v/>
      </c>
      <c r="J59" s="26" t="n">
        <v>1.01</v>
      </c>
      <c r="K59" s="27" t="n">
        <v>0.988</v>
      </c>
      <c r="L59" s="28">
        <f>(1-ABS(J59-K59)/J59)*100</f>
        <v/>
      </c>
      <c r="M59" s="26" t="n">
        <v>0.31</v>
      </c>
      <c r="N59" s="27" t="n">
        <v>0.272</v>
      </c>
      <c r="O59" s="28">
        <f>(1-ABS(M59-N59)/M59)*100</f>
        <v/>
      </c>
      <c r="P59" s="29" t="n">
        <v>0.48</v>
      </c>
      <c r="Q59" s="30" t="n">
        <v>0.639</v>
      </c>
      <c r="R59" s="28">
        <f>(1-ABS(P59-Q59)/P59)*100</f>
        <v/>
      </c>
      <c r="S59" s="31" t="n">
        <v>15</v>
      </c>
      <c r="T59" s="29" t="n">
        <v>12.78</v>
      </c>
      <c r="U59" s="28">
        <f>(1-ABS(S59-T59)/S59)*100</f>
        <v/>
      </c>
    </row>
    <row r="60">
      <c r="B60" s="24" t="inlineStr">
        <is>
          <t>12/28</t>
        </is>
      </c>
      <c r="C60" s="25" t="n">
        <v>4632</v>
      </c>
      <c r="D60" s="26" t="n">
        <v>2.52</v>
      </c>
      <c r="E60" s="27" t="n">
        <v>2.453</v>
      </c>
      <c r="F60" s="28">
        <f>(1-ABS(D60-E60)/D60)*100</f>
        <v/>
      </c>
      <c r="G60" s="27" t="n">
        <v>0.171</v>
      </c>
      <c r="H60" s="27" t="n">
        <v>0.156</v>
      </c>
      <c r="I60" s="28">
        <f>(1-ABS(G60-H60)/G60)*100</f>
        <v/>
      </c>
      <c r="J60" s="26" t="n">
        <v>0.98</v>
      </c>
      <c r="K60" s="27" t="n">
        <v>0.989</v>
      </c>
      <c r="L60" s="28">
        <f>(1-ABS(J60-K60)/J60)*100</f>
        <v/>
      </c>
      <c r="M60" s="26" t="n">
        <v>0.31</v>
      </c>
      <c r="N60" s="27" t="n">
        <v>0.273</v>
      </c>
      <c r="O60" s="28">
        <f>(1-ABS(M60-N60)/M60)*100</f>
        <v/>
      </c>
      <c r="P60" s="29" t="n">
        <v>0.59</v>
      </c>
      <c r="Q60" s="30" t="n">
        <v>0.638</v>
      </c>
      <c r="R60" s="28">
        <f>(1-ABS(P60-Q60)/P60)*100</f>
        <v/>
      </c>
      <c r="S60" s="31" t="n">
        <v>14</v>
      </c>
      <c r="T60" s="29" t="n">
        <v>12.59</v>
      </c>
      <c r="U60" s="28">
        <f>(1-ABS(S60-T60)/S60)*100</f>
        <v/>
      </c>
    </row>
    <row r="61">
      <c r="B61" s="24" t="inlineStr">
        <is>
          <t>12/29</t>
        </is>
      </c>
      <c r="C61" s="25" t="n">
        <v>4417</v>
      </c>
      <c r="D61" s="26" t="n">
        <v>2.59</v>
      </c>
      <c r="E61" s="27" t="n">
        <v>2.44</v>
      </c>
      <c r="F61" s="28">
        <f>(1-ABS(D61-E61)/D61)*100</f>
        <v/>
      </c>
      <c r="G61" s="27" t="n">
        <v>0.169</v>
      </c>
      <c r="H61" s="27" t="n">
        <v>0.155</v>
      </c>
      <c r="I61" s="28">
        <f>(1-ABS(G61-H61)/G61)*100</f>
        <v/>
      </c>
      <c r="J61" s="26" t="n">
        <v>0.95</v>
      </c>
      <c r="K61" s="27" t="n">
        <v>0.99</v>
      </c>
      <c r="L61" s="28">
        <f>(1-ABS(J61-K61)/J61)*100</f>
        <v/>
      </c>
      <c r="M61" s="26" t="n">
        <v>0.3</v>
      </c>
      <c r="N61" s="27" t="n">
        <v>0.258</v>
      </c>
      <c r="O61" s="28">
        <f>(1-ABS(M61-N61)/M61)*100</f>
        <v/>
      </c>
      <c r="P61" s="29" t="n">
        <v>0.43</v>
      </c>
      <c r="Q61" s="30" t="n">
        <v>0.616</v>
      </c>
      <c r="R61" s="28">
        <f>(1-ABS(P61-Q61)/P61)*100</f>
        <v/>
      </c>
      <c r="S61" s="31" t="n">
        <v>14</v>
      </c>
      <c r="T61" s="29" t="n">
        <v>13.06</v>
      </c>
      <c r="U61" s="28">
        <f>(1-ABS(S61-T61)/S61)*100</f>
        <v/>
      </c>
    </row>
    <row r="62">
      <c r="B62" s="24" t="inlineStr">
        <is>
          <t>12/30A</t>
        </is>
      </c>
      <c r="C62" s="25" t="n">
        <v>3783</v>
      </c>
      <c r="D62" s="26" t="n">
        <v>2.61</v>
      </c>
      <c r="E62" s="27" t="n">
        <v>2.539</v>
      </c>
      <c r="F62" s="28">
        <f>(1-ABS(D62-E62)/D62)*100</f>
        <v/>
      </c>
      <c r="G62" s="27" t="n">
        <v>0.171</v>
      </c>
      <c r="H62" s="27" t="n">
        <v>0.16</v>
      </c>
      <c r="I62" s="28">
        <f>(1-ABS(G62-H62)/G62)*100</f>
        <v/>
      </c>
      <c r="J62" s="26" t="n">
        <v>0.98</v>
      </c>
      <c r="K62" s="27" t="n">
        <v>1.013</v>
      </c>
      <c r="L62" s="28">
        <f>(1-ABS(J62-K62)/J62)*100</f>
        <v/>
      </c>
      <c r="M62" s="26" t="n">
        <v>0.27</v>
      </c>
      <c r="N62" s="27" t="n">
        <v>0.264</v>
      </c>
      <c r="O62" s="28">
        <f>(1-ABS(M62-N62)/M62)*100</f>
        <v/>
      </c>
      <c r="P62" s="29" t="n">
        <v>0.49</v>
      </c>
      <c r="Q62" s="30" t="n">
        <v>0.643</v>
      </c>
      <c r="R62" s="28">
        <f>(1-ABS(P62-Q62)/P62)*100</f>
        <v/>
      </c>
      <c r="S62" s="31" t="n">
        <v>14</v>
      </c>
      <c r="T62" s="29" t="n">
        <v>13.33</v>
      </c>
      <c r="U62" s="28">
        <f>(1-ABS(S62-T62)/S62)*100</f>
        <v/>
      </c>
    </row>
    <row r="63">
      <c r="B63" s="24" t="inlineStr">
        <is>
          <t>12/31A</t>
        </is>
      </c>
      <c r="C63" s="25" t="n">
        <v>5201</v>
      </c>
      <c r="D63" s="26" t="n">
        <v>2.6</v>
      </c>
      <c r="E63" s="27" t="n">
        <v>2.356</v>
      </c>
      <c r="F63" s="28">
        <f>(1-ABS(D63-E63)/D63)*100</f>
        <v/>
      </c>
      <c r="G63" s="27" t="n">
        <v>0.154</v>
      </c>
      <c r="H63" s="27" t="n">
        <v>0.15</v>
      </c>
      <c r="I63" s="28">
        <f>(1-ABS(G63-H63)/G63)*100</f>
        <v/>
      </c>
      <c r="J63" s="26" t="n">
        <v>0.99</v>
      </c>
      <c r="K63" s="27" t="n">
        <v>0.9399999999999999</v>
      </c>
      <c r="L63" s="28">
        <f>(1-ABS(J63-K63)/J63)*100</f>
        <v/>
      </c>
      <c r="M63" s="26" t="n">
        <v>0.3</v>
      </c>
      <c r="N63" s="27" t="n">
        <v>0.274</v>
      </c>
      <c r="O63" s="28">
        <f>(1-ABS(M63-N63)/M63)*100</f>
        <v/>
      </c>
      <c r="P63" s="29" t="n">
        <v>0.46</v>
      </c>
      <c r="Q63" s="30" t="n">
        <v>0.611</v>
      </c>
      <c r="R63" s="28">
        <f>(1-ABS(P63-Q63)/P63)*100</f>
        <v/>
      </c>
      <c r="S63" s="31" t="n">
        <v>16</v>
      </c>
      <c r="T63" s="29" t="n">
        <v>12.08</v>
      </c>
      <c r="U63" s="28">
        <f>(1-ABS(S63-T63)/S63)*100</f>
        <v/>
      </c>
    </row>
    <row r="64">
      <c r="B64" s="24" t="inlineStr">
        <is>
          <t>12/32</t>
        </is>
      </c>
      <c r="C64" s="25" t="n">
        <v>6049</v>
      </c>
      <c r="D64" s="26" t="n">
        <v>2.63</v>
      </c>
      <c r="E64" s="27" t="n">
        <v>2.388</v>
      </c>
      <c r="F64" s="28">
        <f>(1-ABS(D64-E64)/D64)*100</f>
        <v/>
      </c>
      <c r="G64" s="27" t="n">
        <v>0.17</v>
      </c>
      <c r="H64" s="27" t="n">
        <v>0.151</v>
      </c>
      <c r="I64" s="28">
        <f>(1-ABS(G64-H64)/G64)*100</f>
        <v/>
      </c>
      <c r="J64" s="26" t="n">
        <v>1.03</v>
      </c>
      <c r="K64" s="27" t="n">
        <v>0.963</v>
      </c>
      <c r="L64" s="28">
        <f>(1-ABS(J64-K64)/J64)*100</f>
        <v/>
      </c>
      <c r="M64" s="26" t="n">
        <v>0.29</v>
      </c>
      <c r="N64" s="27" t="n">
        <v>0.267</v>
      </c>
      <c r="O64" s="28">
        <f>(1-ABS(M64-N64)/M64)*100</f>
        <v/>
      </c>
      <c r="P64" s="29" t="n">
        <v>0.47</v>
      </c>
      <c r="Q64" s="30" t="n">
        <v>0.618</v>
      </c>
      <c r="R64" s="28">
        <f>(1-ABS(P64-Q64)/P64)*100</f>
        <v/>
      </c>
      <c r="S64" s="31" t="n">
        <v>14</v>
      </c>
      <c r="T64" s="29" t="n">
        <v>12.08</v>
      </c>
      <c r="U64" s="28">
        <f>(1-ABS(S64-T64)/S64)*100</f>
        <v/>
      </c>
    </row>
    <row r="65">
      <c r="B65" s="24" t="inlineStr">
        <is>
          <t>12/33</t>
        </is>
      </c>
      <c r="C65" s="25" t="n">
        <v>5844</v>
      </c>
      <c r="D65" s="26" t="n">
        <v>2.6</v>
      </c>
      <c r="E65" s="27" t="n">
        <v>2.176</v>
      </c>
      <c r="F65" s="28">
        <f>(1-ABS(D65-E65)/D65)*100</f>
        <v/>
      </c>
      <c r="G65" s="27" t="n">
        <v>0.171</v>
      </c>
      <c r="H65" s="27" t="n">
        <v>0.138</v>
      </c>
      <c r="I65" s="28">
        <f>(1-ABS(G65-H65)/G65)*100</f>
        <v/>
      </c>
      <c r="J65" s="26" t="n">
        <v>1</v>
      </c>
      <c r="K65" s="27" t="n">
        <v>0.858</v>
      </c>
      <c r="L65" s="28">
        <f>(1-ABS(J65-K65)/J65)*100</f>
        <v/>
      </c>
      <c r="M65" s="26" t="n">
        <v>0.32</v>
      </c>
      <c r="N65" s="27" t="n">
        <v>0.257</v>
      </c>
      <c r="O65" s="28">
        <f>(1-ABS(M65-N65)/M65)*100</f>
        <v/>
      </c>
      <c r="P65" s="29" t="n">
        <v>0.43</v>
      </c>
      <c r="Q65" s="30" t="n">
        <v>0.581</v>
      </c>
      <c r="R65" s="28">
        <f>(1-ABS(P65-Q65)/P65)*100</f>
        <v/>
      </c>
      <c r="S65" s="31" t="n">
        <v>14</v>
      </c>
      <c r="T65" s="29" t="n">
        <v>10.41</v>
      </c>
      <c r="U65" s="28">
        <f>(1-ABS(S65-T65)/S65)*100</f>
        <v/>
      </c>
    </row>
    <row r="66">
      <c r="B66" s="24" t="inlineStr">
        <is>
          <t>12/34</t>
        </is>
      </c>
      <c r="C66" s="25" t="n">
        <v>4073</v>
      </c>
      <c r="D66" s="26" t="n">
        <v>2.52</v>
      </c>
      <c r="E66" s="27" t="n">
        <v>2.205</v>
      </c>
      <c r="F66" s="28">
        <f>(1-ABS(D66-E66)/D66)*100</f>
        <v/>
      </c>
      <c r="G66" s="27" t="n">
        <v>0.166</v>
      </c>
      <c r="H66" s="27" t="n">
        <v>0.137</v>
      </c>
      <c r="I66" s="28">
        <f>(1-ABS(G66-H66)/G66)*100</f>
        <v/>
      </c>
      <c r="J66" s="26" t="n">
        <v>0.93</v>
      </c>
      <c r="K66" s="27" t="n">
        <v>0.882</v>
      </c>
      <c r="L66" s="28">
        <f>(1-ABS(J66-K66)/J66)*100</f>
        <v/>
      </c>
      <c r="M66" s="26" t="n">
        <v>0.27</v>
      </c>
      <c r="N66" s="27" t="n">
        <v>0.255</v>
      </c>
      <c r="O66" s="28">
        <f>(1-ABS(M66-N66)/M66)*100</f>
        <v/>
      </c>
      <c r="P66" s="29" t="n">
        <v>0.4</v>
      </c>
      <c r="Q66" s="30" t="n">
        <v>0.5590000000000001</v>
      </c>
      <c r="R66" s="28">
        <f>(1-ABS(P66-Q66)/P66)*100</f>
        <v/>
      </c>
      <c r="S66" s="31" t="n">
        <v>15</v>
      </c>
      <c r="T66" s="29" t="n">
        <v>11.53</v>
      </c>
      <c r="U66" s="28">
        <f>(1-ABS(S66-T66)/S66)*100</f>
        <v/>
      </c>
    </row>
    <row r="67">
      <c r="B67" s="24" t="inlineStr">
        <is>
          <t>12/35</t>
        </is>
      </c>
      <c r="C67" s="25" t="n">
        <v>4179</v>
      </c>
      <c r="D67" s="26" t="n">
        <v>2.65</v>
      </c>
      <c r="E67" s="27" t="n">
        <v>1.941</v>
      </c>
      <c r="F67" s="28">
        <f>(1-ABS(D67-E67)/D67)*100</f>
        <v/>
      </c>
      <c r="G67" s="27" t="n">
        <v>0.167</v>
      </c>
      <c r="H67" s="27" t="n">
        <v>0.12</v>
      </c>
      <c r="I67" s="28">
        <f>(1-ABS(G67-H67)/G67)*100</f>
        <v/>
      </c>
      <c r="J67" s="26" t="n">
        <v>0.92</v>
      </c>
      <c r="K67" s="27" t="n">
        <v>0.778</v>
      </c>
      <c r="L67" s="28">
        <f>(1-ABS(J67-K67)/J67)*100</f>
        <v/>
      </c>
      <c r="M67" s="26" t="n">
        <v>0.27</v>
      </c>
      <c r="N67" s="27" t="n">
        <v>0.24</v>
      </c>
      <c r="O67" s="28">
        <f>(1-ABS(M67-N67)/M67)*100</f>
        <v/>
      </c>
      <c r="P67" s="29" t="n">
        <v>0.41</v>
      </c>
      <c r="Q67" s="30" t="n">
        <v>0.501</v>
      </c>
      <c r="R67" s="28">
        <f>(1-ABS(P67-Q67)/P67)*100</f>
        <v/>
      </c>
      <c r="S67" s="31" t="n">
        <v>15</v>
      </c>
      <c r="T67" s="29" t="n">
        <v>9.15</v>
      </c>
      <c r="U67" s="28">
        <f>(1-ABS(S67-T67)/S67)*100</f>
        <v/>
      </c>
    </row>
    <row r="68">
      <c r="B68" s="24" t="inlineStr">
        <is>
          <t>12/36</t>
        </is>
      </c>
      <c r="C68" s="25" t="n">
        <v>6184</v>
      </c>
      <c r="D68" s="26" t="n">
        <v>2.56</v>
      </c>
      <c r="E68" s="27" t="n">
        <v>2.277</v>
      </c>
      <c r="F68" s="28">
        <f>(1-ABS(D68-E68)/D68)*100</f>
        <v/>
      </c>
      <c r="G68" s="27" t="n">
        <v>0.162</v>
      </c>
      <c r="H68" s="27" t="n">
        <v>0.144</v>
      </c>
      <c r="I68" s="28">
        <f>(1-ABS(G68-H68)/G68)*100</f>
        <v/>
      </c>
      <c r="J68" s="26" t="n">
        <v>0.8100000000000001</v>
      </c>
      <c r="K68" s="27" t="n">
        <v>0.925</v>
      </c>
      <c r="L68" s="28">
        <f>(1-ABS(J68-K68)/J68)*100</f>
        <v/>
      </c>
      <c r="M68" s="26" t="n">
        <v>0.31</v>
      </c>
      <c r="N68" s="27" t="n">
        <v>0.272</v>
      </c>
      <c r="O68" s="28">
        <f>(1-ABS(M68-N68)/M68)*100</f>
        <v/>
      </c>
      <c r="P68" s="29" t="n">
        <v>0.42</v>
      </c>
      <c r="Q68" s="30" t="n">
        <v>0.599</v>
      </c>
      <c r="R68" s="28">
        <f>(1-ABS(P68-Q68)/P68)*100</f>
        <v/>
      </c>
      <c r="S68" s="31" t="n">
        <v>17</v>
      </c>
      <c r="T68" s="29" t="n">
        <v>11.16</v>
      </c>
      <c r="U68" s="28">
        <f>(1-ABS(S68-T68)/S68)*100</f>
        <v/>
      </c>
    </row>
    <row r="69" ht="35" customHeight="1">
      <c r="A69" s="33" t="inlineStr">
        <is>
          <t>AVG ACCURACY</t>
        </is>
      </c>
      <c r="F69" s="34">
        <f>AVERAGE(F7:F68)</f>
        <v/>
      </c>
      <c r="I69" s="34">
        <f>AVERAGE(I7:I68)</f>
        <v/>
      </c>
      <c r="L69" s="34">
        <f>AVERAGE(L7:L68)</f>
        <v/>
      </c>
      <c r="O69" s="34">
        <f>AVERAGE(O7:O68)</f>
        <v/>
      </c>
      <c r="R69" s="35">
        <f>AVERAGE(R7:R68)</f>
        <v/>
      </c>
      <c r="U69" s="35">
        <f>AVERAGE(U7:U68)</f>
        <v/>
      </c>
    </row>
    <row r="70" ht="40" customHeight="1">
      <c r="A70" s="36" t="inlineStr">
        <is>
          <t>Best result closer to 0</t>
        </is>
      </c>
      <c r="B70" s="24" t="inlineStr">
        <is>
          <t>R^2 (Coefficient of determination)</t>
        </is>
      </c>
      <c r="C70" s="37" t="n"/>
      <c r="D70" s="38">
        <f>RSQ(E7:E68, D7:D68)</f>
        <v/>
      </c>
      <c r="E70" s="39" t="n"/>
      <c r="F70" s="37" t="n"/>
      <c r="G70" s="38">
        <f>RSQ(H7:H68, G7:G68)</f>
        <v/>
      </c>
      <c r="H70" s="39" t="n"/>
      <c r="I70" s="37" t="n"/>
      <c r="J70" s="38">
        <f>RSQ(K7:K68, J7:J68)</f>
        <v/>
      </c>
      <c r="K70" s="39" t="n"/>
      <c r="L70" s="37" t="n"/>
      <c r="M70" s="38">
        <f>RSQ(N7:N68, M7:M68)</f>
        <v/>
      </c>
      <c r="N70" s="39" t="n"/>
      <c r="O70" s="37" t="n"/>
      <c r="P70" s="40">
        <f>RSQ(Q7:Q68, P7:P68)</f>
        <v/>
      </c>
      <c r="Q70" s="39" t="n"/>
      <c r="R70" s="37" t="n"/>
      <c r="S70" s="40">
        <f>RSQ(T7:T68, S7:S68)</f>
        <v/>
      </c>
      <c r="T70" s="39" t="n"/>
      <c r="U70" s="37" t="n"/>
    </row>
    <row r="71" ht="39" customHeight="1">
      <c r="A71" s="36" t="inlineStr">
        <is>
          <t>Best result closer to 1</t>
        </is>
      </c>
      <c r="B71" s="24" t="inlineStr">
        <is>
          <t>MAE (Average size of prediction errors)</t>
        </is>
      </c>
      <c r="C71" s="37" t="n"/>
      <c r="D71" s="38">
        <f>SUMPRODUCT(ABS(D7:D68-E7:E68))/COUNT(D7:D68)</f>
        <v/>
      </c>
      <c r="E71" s="39" t="n"/>
      <c r="F71" s="37" t="n"/>
      <c r="G71" s="38">
        <f>SUMPRODUCT(ABS(G7:G68-H7:H68))/COUNT(G7:G68)</f>
        <v/>
      </c>
      <c r="H71" s="39" t="n"/>
      <c r="I71" s="37" t="n"/>
      <c r="J71" s="38">
        <f>SUMPRODUCT(ABS(J7:J68-K7:K68))/COUNT(J7:J68)</f>
        <v/>
      </c>
      <c r="K71" s="39" t="n"/>
      <c r="L71" s="37" t="n"/>
      <c r="M71" s="38">
        <f>SUMPRODUCT(ABS(M7:M68-N7:N68))/COUNT(M7:M68)</f>
        <v/>
      </c>
      <c r="N71" s="39" t="n"/>
      <c r="O71" s="37" t="n"/>
      <c r="P71" s="40">
        <f>SUMPRODUCT(ABS(P7:P68-Q7:Q68))/COUNT(P7:P68)</f>
        <v/>
      </c>
      <c r="Q71" s="39" t="n"/>
      <c r="R71" s="37" t="n"/>
      <c r="S71" s="40">
        <f>SUMPRODUCT(ABS(S7:S68-T7:T68))/COUNT(S7:S68)</f>
        <v/>
      </c>
      <c r="T71" s="39" t="n"/>
      <c r="U71" s="37" t="n"/>
    </row>
    <row r="72" ht="66" customHeight="1">
      <c r="A72" s="36" t="inlineStr">
        <is>
          <t>Best result closer to 1</t>
        </is>
      </c>
      <c r="B72" s="24" t="inlineStr">
        <is>
          <t>RMSE (Prediction error, with larger mistakes penalised more)</t>
        </is>
      </c>
      <c r="C72" s="37" t="n"/>
      <c r="D72" s="38">
        <f>SQRT(SUMXMY2(D7:D68, E7:E68)/COUNT(D7:D68))</f>
        <v/>
      </c>
      <c r="E72" s="39" t="n"/>
      <c r="F72" s="37" t="n"/>
      <c r="G72" s="38">
        <f>SQRT(SUMXMY2(G7:G68, H7:H68)/COUNT(G7:G68))</f>
        <v/>
      </c>
      <c r="H72" s="39" t="n"/>
      <c r="I72" s="37" t="n"/>
      <c r="J72" s="38">
        <f>SQRT(SUMXMY2(J7:J68, K7:K68)/COUNT(J7:J68))</f>
        <v/>
      </c>
      <c r="K72" s="39" t="n"/>
      <c r="L72" s="37" t="n"/>
      <c r="M72" s="38">
        <f>SQRT(SUMXMY2(M7:M68, N7:N68)/COUNT(M7:M68))</f>
        <v/>
      </c>
      <c r="N72" s="39" t="n"/>
      <c r="O72" s="37" t="n"/>
      <c r="P72" s="40">
        <f>SQRT(SUMXMY2(P7:P68, Q7:Q68)/COUNT(P7:P68))</f>
        <v/>
      </c>
      <c r="Q72" s="39" t="n"/>
      <c r="R72" s="37" t="n"/>
      <c r="S72" s="40">
        <f>SQRT(SUMXMY2(S7:S68, T7:T68)/COUNT(S7:S68))</f>
        <v/>
      </c>
      <c r="T72" s="39" t="n"/>
      <c r="U72" s="37" t="n"/>
    </row>
  </sheetData>
  <mergeCells count="31">
    <mergeCell ref="B4:O4"/>
    <mergeCell ref="B72:C72"/>
    <mergeCell ref="D70:F70"/>
    <mergeCell ref="J70:L70"/>
    <mergeCell ref="P70:R70"/>
    <mergeCell ref="B71:C71"/>
    <mergeCell ref="D72:F72"/>
    <mergeCell ref="B70:C70"/>
    <mergeCell ref="G5:I5"/>
    <mergeCell ref="D71:F71"/>
    <mergeCell ref="M72:O72"/>
    <mergeCell ref="S5:U5"/>
    <mergeCell ref="J71:L71"/>
    <mergeCell ref="P71:R71"/>
    <mergeCell ref="D5:F5"/>
    <mergeCell ref="P5:R5"/>
    <mergeCell ref="M71:O71"/>
    <mergeCell ref="G72:I72"/>
    <mergeCell ref="B5:B6"/>
    <mergeCell ref="P4:U4"/>
    <mergeCell ref="J72:L72"/>
    <mergeCell ref="J5:L5"/>
    <mergeCell ref="G71:I71"/>
    <mergeCell ref="S72:U72"/>
    <mergeCell ref="G70:I70"/>
    <mergeCell ref="S71:U71"/>
    <mergeCell ref="M5:O5"/>
    <mergeCell ref="M70:O70"/>
    <mergeCell ref="S70:U70"/>
    <mergeCell ref="C5:C6"/>
    <mergeCell ref="P72:R72"/>
  </mergeCells>
  <conditionalFormatting sqref="F7:F68 I7:I68 L7:L68 O7:O68 R7:R68 U7:U68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8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10/01</t>
        </is>
      </c>
      <c r="C7" s="25" t="n">
        <v>5220</v>
      </c>
      <c r="D7" s="26" t="n">
        <v>2.49</v>
      </c>
      <c r="E7" s="27" t="n">
        <v>2.54</v>
      </c>
      <c r="F7" s="28">
        <f>(1-ABS(D7-E7)/D7)*100</f>
        <v/>
      </c>
      <c r="G7" s="27" t="n">
        <v>0.166</v>
      </c>
      <c r="H7" s="27" t="n">
        <v>0.163</v>
      </c>
      <c r="I7" s="28">
        <f>(1-ABS(G7-H7)/G7)*100</f>
        <v/>
      </c>
      <c r="J7" s="26" t="n">
        <v>0.8</v>
      </c>
      <c r="K7" s="27" t="n">
        <v>1.025</v>
      </c>
      <c r="L7" s="28">
        <f>(1-ABS(J7-K7)/J7)*100</f>
        <v/>
      </c>
      <c r="M7" s="26" t="n">
        <v>0.29</v>
      </c>
      <c r="N7" s="27" t="n">
        <v>0.275</v>
      </c>
      <c r="O7" s="28">
        <f>(1-ABS(M7-N7)/M7)*100</f>
        <v/>
      </c>
      <c r="P7" s="29" t="n">
        <v>0.49</v>
      </c>
      <c r="Q7" s="30" t="n">
        <v>0.669</v>
      </c>
      <c r="R7" s="28">
        <f>(1-ABS(P7-Q7)/P7)*100</f>
        <v/>
      </c>
      <c r="S7" s="31" t="n">
        <v>18</v>
      </c>
      <c r="T7" s="29" t="n">
        <v>13.43</v>
      </c>
      <c r="U7" s="28">
        <f>(1-ABS(S7-T7)/S7)*100</f>
        <v/>
      </c>
    </row>
    <row r="8">
      <c r="B8" s="24" t="inlineStr">
        <is>
          <t>10/02</t>
        </is>
      </c>
      <c r="C8" s="25" t="n">
        <v>3475</v>
      </c>
      <c r="D8" s="26" t="n">
        <v>2.7</v>
      </c>
      <c r="E8" s="27" t="n">
        <v>2.513</v>
      </c>
      <c r="F8" s="28">
        <f>(1-ABS(D8-E8)/D8)*100</f>
        <v/>
      </c>
      <c r="G8" s="27" t="n">
        <v>0.166</v>
      </c>
      <c r="H8" s="27" t="n">
        <v>0.163</v>
      </c>
      <c r="I8" s="28">
        <f>(1-ABS(G8-H8)/G8)*100</f>
        <v/>
      </c>
      <c r="J8" s="26" t="n">
        <v>0.8100000000000001</v>
      </c>
      <c r="K8" s="27" t="n">
        <v>1.011</v>
      </c>
      <c r="L8" s="28">
        <f>(1-ABS(J8-K8)/J8)*100</f>
        <v/>
      </c>
      <c r="M8" s="26" t="n">
        <v>0.25</v>
      </c>
      <c r="N8" s="27" t="n">
        <v>0.281</v>
      </c>
      <c r="O8" s="28">
        <f>(1-ABS(M8-N8)/M8)*100</f>
        <v/>
      </c>
      <c r="P8" s="29" t="n">
        <v>0.52</v>
      </c>
      <c r="Q8" s="30" t="n">
        <v>0.647</v>
      </c>
      <c r="R8" s="28">
        <f>(1-ABS(P8-Q8)/P8)*100</f>
        <v/>
      </c>
      <c r="S8" s="31" t="n">
        <v>18</v>
      </c>
      <c r="T8" s="29" t="n">
        <v>13.65</v>
      </c>
      <c r="U8" s="28">
        <f>(1-ABS(S8-T8)/S8)*100</f>
        <v/>
      </c>
    </row>
    <row r="9">
      <c r="B9" s="24" t="inlineStr">
        <is>
          <t>10/03</t>
        </is>
      </c>
      <c r="C9" s="25" t="n">
        <v>4877</v>
      </c>
      <c r="D9" s="26" t="n">
        <v>2.6</v>
      </c>
      <c r="E9" s="27" t="n">
        <v>2.572</v>
      </c>
      <c r="F9" s="28">
        <f>(1-ABS(D9-E9)/D9)*100</f>
        <v/>
      </c>
      <c r="G9" s="27" t="n">
        <v>0.156</v>
      </c>
      <c r="H9" s="27" t="n">
        <v>0.164</v>
      </c>
      <c r="I9" s="28">
        <f>(1-ABS(G9-H9)/G9)*100</f>
        <v/>
      </c>
      <c r="J9" s="26" t="n">
        <v>0.9</v>
      </c>
      <c r="K9" s="27" t="n">
        <v>1.063</v>
      </c>
      <c r="L9" s="28">
        <f>(1-ABS(J9-K9)/J9)*100</f>
        <v/>
      </c>
      <c r="M9" s="26" t="n">
        <v>0.24</v>
      </c>
      <c r="N9" s="27" t="n">
        <v>0.26</v>
      </c>
      <c r="O9" s="28">
        <f>(1-ABS(M9-N9)/M9)*100</f>
        <v/>
      </c>
      <c r="P9" s="29" t="n">
        <v>0.63</v>
      </c>
      <c r="Q9" s="30" t="n">
        <v>0.641</v>
      </c>
      <c r="R9" s="28">
        <f>(1-ABS(P9-Q9)/P9)*100</f>
        <v/>
      </c>
      <c r="S9" s="31" t="n">
        <v>14</v>
      </c>
      <c r="T9" s="29" t="n">
        <v>14.1</v>
      </c>
      <c r="U9" s="28">
        <f>(1-ABS(S9-T9)/S9)*100</f>
        <v/>
      </c>
    </row>
    <row r="10">
      <c r="B10" s="24" t="inlineStr">
        <is>
          <t>10/04</t>
        </is>
      </c>
      <c r="C10" s="25" t="n">
        <v>3991</v>
      </c>
      <c r="D10" s="26" t="n">
        <v>2.55</v>
      </c>
      <c r="E10" s="27" t="n">
        <v>2.527</v>
      </c>
      <c r="F10" s="28">
        <f>(1-ABS(D10-E10)/D10)*100</f>
        <v/>
      </c>
      <c r="G10" s="27" t="n">
        <v>0.164</v>
      </c>
      <c r="H10" s="27" t="n">
        <v>0.163</v>
      </c>
      <c r="I10" s="28">
        <f>(1-ABS(G10-H10)/G10)*100</f>
        <v/>
      </c>
      <c r="J10" s="26" t="n">
        <v>0.88</v>
      </c>
      <c r="K10" s="27" t="n">
        <v>1.028</v>
      </c>
      <c r="L10" s="28">
        <f>(1-ABS(J10-K10)/J10)*100</f>
        <v/>
      </c>
      <c r="M10" s="26" t="n">
        <v>0.31</v>
      </c>
      <c r="N10" s="27" t="n">
        <v>0.267</v>
      </c>
      <c r="O10" s="28">
        <f>(1-ABS(M10-N10)/M10)*100</f>
        <v/>
      </c>
      <c r="P10" s="29" t="n">
        <v>0.47</v>
      </c>
      <c r="Q10" s="30" t="n">
        <v>0.643</v>
      </c>
      <c r="R10" s="28">
        <f>(1-ABS(P10-Q10)/P10)*100</f>
        <v/>
      </c>
      <c r="S10" s="31" t="n">
        <v>17</v>
      </c>
      <c r="T10" s="29" t="n">
        <v>13.23</v>
      </c>
      <c r="U10" s="28">
        <f>(1-ABS(S10-T10)/S10)*100</f>
        <v/>
      </c>
    </row>
    <row r="11">
      <c r="B11" s="24" t="inlineStr">
        <is>
          <t>10/05</t>
        </is>
      </c>
      <c r="C11" s="25" t="n">
        <v>6011</v>
      </c>
      <c r="D11" s="26" t="n">
        <v>2.56</v>
      </c>
      <c r="E11" s="27" t="n">
        <v>2.567</v>
      </c>
      <c r="F11" s="28">
        <f>(1-ABS(D11-E11)/D11)*100</f>
        <v/>
      </c>
      <c r="G11" s="27" t="n">
        <v>0.165</v>
      </c>
      <c r="H11" s="27" t="n">
        <v>0.165</v>
      </c>
      <c r="I11" s="28">
        <f>(1-ABS(G11-H11)/G11)*100</f>
        <v/>
      </c>
      <c r="J11" s="26" t="n">
        <v>0.82</v>
      </c>
      <c r="K11" s="27" t="n">
        <v>1.038</v>
      </c>
      <c r="L11" s="28">
        <f>(1-ABS(J11-K11)/J11)*100</f>
        <v/>
      </c>
      <c r="M11" s="26" t="n">
        <v>0.28</v>
      </c>
      <c r="N11" s="27" t="n">
        <v>0.262</v>
      </c>
      <c r="O11" s="28">
        <f>(1-ABS(M11-N11)/M11)*100</f>
        <v/>
      </c>
      <c r="P11" s="29" t="n">
        <v>0.5</v>
      </c>
      <c r="Q11" s="30" t="n">
        <v>0.647</v>
      </c>
      <c r="R11" s="28">
        <f>(1-ABS(P11-Q11)/P11)*100</f>
        <v/>
      </c>
      <c r="S11" s="31" t="n">
        <v>18</v>
      </c>
      <c r="T11" s="29" t="n">
        <v>14.36</v>
      </c>
      <c r="U11" s="28">
        <f>(1-ABS(S11-T11)/S11)*100</f>
        <v/>
      </c>
    </row>
    <row r="12">
      <c r="B12" s="24" t="inlineStr">
        <is>
          <t>10/06</t>
        </is>
      </c>
      <c r="C12" s="25" t="n">
        <v>5397</v>
      </c>
      <c r="D12" s="26" t="n">
        <v>2.58</v>
      </c>
      <c r="E12" s="27" t="n">
        <v>2.131</v>
      </c>
      <c r="F12" s="28">
        <f>(1-ABS(D12-E12)/D12)*100</f>
        <v/>
      </c>
      <c r="G12" s="27" t="n">
        <v>0.176</v>
      </c>
      <c r="H12" s="27" t="n">
        <v>0.134</v>
      </c>
      <c r="I12" s="28">
        <f>(1-ABS(G12-H12)/G12)*100</f>
        <v/>
      </c>
      <c r="J12" s="26" t="n">
        <v>1.02</v>
      </c>
      <c r="K12" s="27" t="n">
        <v>0.849</v>
      </c>
      <c r="L12" s="28">
        <f>(1-ABS(J12-K12)/J12)*100</f>
        <v/>
      </c>
      <c r="M12" s="26" t="n">
        <v>0.29</v>
      </c>
      <c r="N12" s="27" t="n">
        <v>0.254</v>
      </c>
      <c r="O12" s="28">
        <f>(1-ABS(M12-N12)/M12)*100</f>
        <v/>
      </c>
      <c r="P12" s="29" t="n">
        <v>0.79</v>
      </c>
      <c r="Q12" s="30" t="n">
        <v>0.556</v>
      </c>
      <c r="R12" s="28">
        <f>(1-ABS(P12-Q12)/P12)*100</f>
        <v/>
      </c>
      <c r="S12" s="31" t="n">
        <v>16</v>
      </c>
      <c r="T12" s="29" t="n">
        <v>10.32</v>
      </c>
      <c r="U12" s="28">
        <f>(1-ABS(S12-T12)/S12)*100</f>
        <v/>
      </c>
    </row>
    <row r="13">
      <c r="B13" s="24" t="inlineStr">
        <is>
          <t>11/01</t>
        </is>
      </c>
      <c r="C13" s="25" t="n">
        <v>5452</v>
      </c>
      <c r="D13" s="26" t="n">
        <v>2.6</v>
      </c>
      <c r="E13" s="27" t="n">
        <v>2.294</v>
      </c>
      <c r="F13" s="28">
        <f>(1-ABS(D13-E13)/D13)*100</f>
        <v/>
      </c>
      <c r="G13" s="27" t="n">
        <v>0.157</v>
      </c>
      <c r="H13" s="27" t="n">
        <v>0.146</v>
      </c>
      <c r="I13" s="28">
        <f>(1-ABS(G13-H13)/G13)*100</f>
        <v/>
      </c>
      <c r="J13" s="26" t="n">
        <v>0.89</v>
      </c>
      <c r="K13" s="27" t="n">
        <v>0.914</v>
      </c>
      <c r="L13" s="28">
        <f>(1-ABS(J13-K13)/J13)*100</f>
        <v/>
      </c>
      <c r="M13" s="26" t="n">
        <v>0.27</v>
      </c>
      <c r="N13" s="27" t="n">
        <v>0.274</v>
      </c>
      <c r="O13" s="28">
        <f>(1-ABS(M13-N13)/M13)*100</f>
        <v/>
      </c>
      <c r="P13" s="29" t="n">
        <v>0.48</v>
      </c>
      <c r="Q13" s="30" t="n">
        <v>0.619</v>
      </c>
      <c r="R13" s="28">
        <f>(1-ABS(P13-Q13)/P13)*100</f>
        <v/>
      </c>
      <c r="S13" s="31" t="n">
        <v>17</v>
      </c>
      <c r="T13" s="29" t="n">
        <v>10.84</v>
      </c>
      <c r="U13" s="28">
        <f>(1-ABS(S13-T13)/S13)*100</f>
        <v/>
      </c>
    </row>
    <row r="14">
      <c r="B14" s="24" t="inlineStr">
        <is>
          <t>11/02</t>
        </is>
      </c>
      <c r="C14" s="25" t="n">
        <v>4210</v>
      </c>
      <c r="D14" s="26" t="n">
        <v>2.54</v>
      </c>
      <c r="E14" s="27" t="n">
        <v>2.256</v>
      </c>
      <c r="F14" s="28">
        <f>(1-ABS(D14-E14)/D14)*100</f>
        <v/>
      </c>
      <c r="G14" s="27" t="n">
        <v>0.153</v>
      </c>
      <c r="H14" s="27" t="n">
        <v>0.143</v>
      </c>
      <c r="I14" s="28">
        <f>(1-ABS(G14-H14)/G14)*100</f>
        <v/>
      </c>
      <c r="J14" s="26" t="n">
        <v>0.8</v>
      </c>
      <c r="K14" s="27" t="n">
        <v>0.905</v>
      </c>
      <c r="L14" s="28">
        <f>(1-ABS(J14-K14)/J14)*100</f>
        <v/>
      </c>
      <c r="M14" s="26" t="n">
        <v>0.26</v>
      </c>
      <c r="N14" s="27" t="n">
        <v>0.265</v>
      </c>
      <c r="O14" s="28">
        <f>(1-ABS(M14-N14)/M14)*100</f>
        <v/>
      </c>
      <c r="P14" s="29" t="n">
        <v>0.51</v>
      </c>
      <c r="Q14" s="30" t="n">
        <v>0.592</v>
      </c>
      <c r="R14" s="28">
        <f>(1-ABS(P14-Q14)/P14)*100</f>
        <v/>
      </c>
      <c r="S14" s="31" t="n">
        <v>16</v>
      </c>
      <c r="T14" s="29" t="n">
        <v>10.93</v>
      </c>
      <c r="U14" s="28">
        <f>(1-ABS(S14-T14)/S14)*100</f>
        <v/>
      </c>
    </row>
    <row r="15">
      <c r="B15" s="24" t="inlineStr">
        <is>
          <t>11/03</t>
        </is>
      </c>
      <c r="C15" s="25" t="n">
        <v>5148</v>
      </c>
      <c r="D15" s="26" t="n">
        <v>2.62</v>
      </c>
      <c r="E15" s="27" t="n">
        <v>2.099</v>
      </c>
      <c r="F15" s="28">
        <f>(1-ABS(D15-E15)/D15)*100</f>
        <v/>
      </c>
      <c r="G15" s="27" t="n">
        <v>0.159</v>
      </c>
      <c r="H15" s="27" t="n">
        <v>0.131</v>
      </c>
      <c r="I15" s="28">
        <f>(1-ABS(G15-H15)/G15)*100</f>
        <v/>
      </c>
      <c r="J15" s="26" t="n">
        <v>0.88</v>
      </c>
      <c r="K15" s="27" t="n">
        <v>0.842</v>
      </c>
      <c r="L15" s="28">
        <f>(1-ABS(J15-K15)/J15)*100</f>
        <v/>
      </c>
      <c r="M15" s="26" t="n">
        <v>0.27</v>
      </c>
      <c r="N15" s="27" t="n">
        <v>0.234</v>
      </c>
      <c r="O15" s="28">
        <f>(1-ABS(M15-N15)/M15)*100</f>
        <v/>
      </c>
      <c r="P15" s="29" t="n">
        <v>0.49</v>
      </c>
      <c r="Q15" s="30" t="n">
        <v>0.532</v>
      </c>
      <c r="R15" s="28">
        <f>(1-ABS(P15-Q15)/P15)*100</f>
        <v/>
      </c>
      <c r="S15" s="31" t="n">
        <v>17</v>
      </c>
      <c r="T15" s="29" t="n">
        <v>10.8</v>
      </c>
      <c r="U15" s="28">
        <f>(1-ABS(S15-T15)/S15)*100</f>
        <v/>
      </c>
    </row>
    <row r="16">
      <c r="B16" s="24" t="inlineStr">
        <is>
          <t>11/04</t>
        </is>
      </c>
      <c r="C16" s="25" t="n">
        <v>7771</v>
      </c>
      <c r="D16" s="26" t="n">
        <v>2.56</v>
      </c>
      <c r="E16" s="27" t="n">
        <v>2.348</v>
      </c>
      <c r="F16" s="28">
        <f>(1-ABS(D16-E16)/D16)*100</f>
        <v/>
      </c>
      <c r="G16" s="27" t="n">
        <v>0.162</v>
      </c>
      <c r="H16" s="27" t="n">
        <v>0.149</v>
      </c>
      <c r="I16" s="28">
        <f>(1-ABS(G16-H16)/G16)*100</f>
        <v/>
      </c>
      <c r="J16" s="26" t="n">
        <v>0.88</v>
      </c>
      <c r="K16" s="27" t="n">
        <v>0.947</v>
      </c>
      <c r="L16" s="28">
        <f>(1-ABS(J16-K16)/J16)*100</f>
        <v/>
      </c>
      <c r="M16" s="26" t="n">
        <v>0.26</v>
      </c>
      <c r="N16" s="27" t="n">
        <v>0.263</v>
      </c>
      <c r="O16" s="28">
        <f>(1-ABS(M16-N16)/M16)*100</f>
        <v/>
      </c>
      <c r="P16" s="29" t="n">
        <v>0.49</v>
      </c>
      <c r="Q16" s="30" t="n">
        <v>0.613</v>
      </c>
      <c r="R16" s="28">
        <f>(1-ABS(P16-Q16)/P16)*100</f>
        <v/>
      </c>
      <c r="S16" s="31" t="n">
        <v>17</v>
      </c>
      <c r="T16" s="29" t="n">
        <v>12.06</v>
      </c>
      <c r="U16" s="28">
        <f>(1-ABS(S16-T16)/S16)*100</f>
        <v/>
      </c>
    </row>
    <row r="17" ht="40" customHeight="1">
      <c r="A17" s="32" t="inlineStr">
        <is>
          <t>Best result closer to 1</t>
        </is>
      </c>
      <c r="B17" s="24" t="inlineStr">
        <is>
          <t>11/05</t>
        </is>
      </c>
      <c r="C17" s="25" t="n">
        <v>4378</v>
      </c>
      <c r="D17" s="26" t="n">
        <v>2.54</v>
      </c>
      <c r="E17" s="27" t="n">
        <v>2.539</v>
      </c>
      <c r="F17" s="28">
        <f>(1-ABS(D17-E17)/D17)*100</f>
        <v/>
      </c>
      <c r="G17" s="27" t="n">
        <v>0.153</v>
      </c>
      <c r="H17" s="27" t="n">
        <v>0.164</v>
      </c>
      <c r="I17" s="28">
        <f>(1-ABS(G17-H17)/G17)*100</f>
        <v/>
      </c>
      <c r="J17" s="26" t="n">
        <v>0.8100000000000001</v>
      </c>
      <c r="K17" s="27" t="n">
        <v>1.021</v>
      </c>
      <c r="L17" s="28">
        <f>(1-ABS(J17-K17)/J17)*100</f>
        <v/>
      </c>
      <c r="M17" s="26" t="n">
        <v>0.27</v>
      </c>
      <c r="N17" s="27" t="n">
        <v>0.277</v>
      </c>
      <c r="O17" s="28">
        <f>(1-ABS(M17-N17)/M17)*100</f>
        <v/>
      </c>
      <c r="P17" s="29" t="n">
        <v>0.55</v>
      </c>
      <c r="Q17" s="30" t="n">
        <v>0.657</v>
      </c>
      <c r="R17" s="28">
        <f>(1-ABS(P17-Q17)/P17)*100</f>
        <v/>
      </c>
      <c r="S17" s="31" t="n">
        <v>17</v>
      </c>
      <c r="T17" s="29" t="n">
        <v>13.84</v>
      </c>
      <c r="U17" s="28">
        <f>(1-ABS(S17-T17)/S17)*100</f>
        <v/>
      </c>
    </row>
    <row r="18" ht="39" customHeight="1">
      <c r="A18" s="32" t="inlineStr">
        <is>
          <t>Best result closer to 0</t>
        </is>
      </c>
      <c r="B18" s="24" t="inlineStr">
        <is>
          <t>11/06</t>
        </is>
      </c>
      <c r="C18" s="25" t="n">
        <v>6214</v>
      </c>
      <c r="D18" s="26" t="n">
        <v>2.56</v>
      </c>
      <c r="E18" s="27" t="n">
        <v>2.392</v>
      </c>
      <c r="F18" s="28">
        <f>(1-ABS(D18-E18)/D18)*100</f>
        <v/>
      </c>
      <c r="G18" s="27" t="n">
        <v>0.164</v>
      </c>
      <c r="H18" s="27" t="n">
        <v>0.154</v>
      </c>
      <c r="I18" s="28">
        <f>(1-ABS(G18-H18)/G18)*100</f>
        <v/>
      </c>
      <c r="J18" s="26" t="n">
        <v>0.87</v>
      </c>
      <c r="K18" s="27" t="n">
        <v>0.96</v>
      </c>
      <c r="L18" s="28">
        <f>(1-ABS(J18-K18)/J18)*100</f>
        <v/>
      </c>
      <c r="M18" s="26" t="n">
        <v>0.26</v>
      </c>
      <c r="N18" s="27" t="n">
        <v>0.277</v>
      </c>
      <c r="O18" s="28">
        <f>(1-ABS(M18-N18)/M18)*100</f>
        <v/>
      </c>
      <c r="P18" s="29" t="n">
        <v>0.49</v>
      </c>
      <c r="Q18" s="30" t="n">
        <v>0.624</v>
      </c>
      <c r="R18" s="28">
        <f>(1-ABS(P18-Q18)/P18)*100</f>
        <v/>
      </c>
      <c r="S18" s="31" t="n">
        <v>18</v>
      </c>
      <c r="T18" s="29" t="n">
        <v>12.67</v>
      </c>
      <c r="U18" s="28">
        <f>(1-ABS(S18-T18)/S18)*100</f>
        <v/>
      </c>
    </row>
    <row r="19" ht="66" customHeight="1">
      <c r="A19" s="32" t="inlineStr">
        <is>
          <t>Best result closer to 1</t>
        </is>
      </c>
      <c r="B19" s="24" t="inlineStr">
        <is>
          <t>11/07</t>
        </is>
      </c>
      <c r="C19" s="25" t="n">
        <v>3082</v>
      </c>
      <c r="D19" s="26" t="n">
        <v>2.61</v>
      </c>
      <c r="E19" s="27" t="n">
        <v>2.492</v>
      </c>
      <c r="F19" s="28">
        <f>(1-ABS(D19-E19)/D19)*100</f>
        <v/>
      </c>
      <c r="G19" s="27" t="n">
        <v>0.157</v>
      </c>
      <c r="H19" s="27" t="n">
        <v>0.162</v>
      </c>
      <c r="I19" s="28">
        <f>(1-ABS(G19-H19)/G19)*100</f>
        <v/>
      </c>
      <c r="J19" s="26" t="n">
        <v>0.8</v>
      </c>
      <c r="K19" s="27" t="n">
        <v>1.001</v>
      </c>
      <c r="L19" s="28">
        <f>(1-ABS(J19-K19)/J19)*100</f>
        <v/>
      </c>
      <c r="M19" s="26" t="n">
        <v>0.26</v>
      </c>
      <c r="N19" s="27" t="n">
        <v>0.292</v>
      </c>
      <c r="O19" s="28">
        <f>(1-ABS(M19-N19)/M19)*100</f>
        <v/>
      </c>
      <c r="P19" s="29" t="n">
        <v>0.52</v>
      </c>
      <c r="Q19" s="30" t="n">
        <v>0.639</v>
      </c>
      <c r="R19" s="28">
        <f>(1-ABS(P19-Q19)/P19)*100</f>
        <v/>
      </c>
      <c r="S19" s="31" t="n">
        <v>19</v>
      </c>
      <c r="T19" s="29" t="n">
        <v>13.83</v>
      </c>
      <c r="U19" s="28">
        <f>(1-ABS(S19-T19)/S19)*100</f>
        <v/>
      </c>
    </row>
    <row r="20">
      <c r="B20" s="24" t="inlineStr">
        <is>
          <t>11/08</t>
        </is>
      </c>
      <c r="C20" s="25" t="n">
        <v>4157</v>
      </c>
      <c r="D20" s="26" t="n">
        <v>2.66</v>
      </c>
      <c r="E20" s="27" t="n">
        <v>2.49</v>
      </c>
      <c r="F20" s="28">
        <f>(1-ABS(D20-E20)/D20)*100</f>
        <v/>
      </c>
      <c r="G20" s="27" t="n">
        <v>0.153</v>
      </c>
      <c r="H20" s="27" t="n">
        <v>0.162</v>
      </c>
      <c r="I20" s="28">
        <f>(1-ABS(G20-H20)/G20)*100</f>
        <v/>
      </c>
      <c r="J20" s="26" t="n">
        <v>0.8</v>
      </c>
      <c r="K20" s="27" t="n">
        <v>1.003</v>
      </c>
      <c r="L20" s="28">
        <f>(1-ABS(J20-K20)/J20)*100</f>
        <v/>
      </c>
      <c r="M20" s="26" t="n">
        <v>0.26</v>
      </c>
      <c r="N20" s="27" t="n">
        <v>0.287</v>
      </c>
      <c r="O20" s="28">
        <f>(1-ABS(M20-N20)/M20)*100</f>
        <v/>
      </c>
      <c r="P20" s="29" t="n">
        <v>0.55</v>
      </c>
      <c r="Q20" s="30" t="n">
        <v>0.651</v>
      </c>
      <c r="R20" s="28">
        <f>(1-ABS(P20-Q20)/P20)*100</f>
        <v/>
      </c>
      <c r="S20" s="31" t="n">
        <v>17</v>
      </c>
      <c r="T20" s="29" t="n">
        <v>13.11</v>
      </c>
      <c r="U20" s="28">
        <f>(1-ABS(S20-T20)/S20)*100</f>
        <v/>
      </c>
    </row>
    <row r="21">
      <c r="B21" s="24" t="inlineStr">
        <is>
          <t>11/09</t>
        </is>
      </c>
      <c r="C21" s="25" t="n">
        <v>7684</v>
      </c>
      <c r="D21" s="26" t="n">
        <v>2.59</v>
      </c>
      <c r="E21" s="27" t="n">
        <v>2.511</v>
      </c>
      <c r="F21" s="28">
        <f>(1-ABS(D21-E21)/D21)*100</f>
        <v/>
      </c>
      <c r="G21" s="27" t="n">
        <v>0.152</v>
      </c>
      <c r="H21" s="27" t="n">
        <v>0.163</v>
      </c>
      <c r="I21" s="28">
        <f>(1-ABS(G21-H21)/G21)*100</f>
        <v/>
      </c>
      <c r="J21" s="26" t="n">
        <v>0.8100000000000001</v>
      </c>
      <c r="K21" s="27" t="n">
        <v>1.022</v>
      </c>
      <c r="L21" s="28">
        <f>(1-ABS(J21-K21)/J21)*100</f>
        <v/>
      </c>
      <c r="M21" s="26" t="n">
        <v>0.28</v>
      </c>
      <c r="N21" s="27" t="n">
        <v>0.287</v>
      </c>
      <c r="O21" s="28">
        <f>(1-ABS(M21-N21)/M21)*100</f>
        <v/>
      </c>
      <c r="P21" s="29" t="n">
        <v>0.55</v>
      </c>
      <c r="Q21" s="30" t="n">
        <v>0.641</v>
      </c>
      <c r="R21" s="28">
        <f>(1-ABS(P21-Q21)/P21)*100</f>
        <v/>
      </c>
      <c r="S21" s="31" t="n">
        <v>16</v>
      </c>
      <c r="T21" s="29" t="n">
        <v>13.6</v>
      </c>
      <c r="U21" s="28">
        <f>(1-ABS(S21-T21)/S21)*100</f>
        <v/>
      </c>
    </row>
    <row r="22">
      <c r="B22" s="24" t="inlineStr">
        <is>
          <t>11/10</t>
        </is>
      </c>
      <c r="C22" s="25" t="n">
        <v>5308</v>
      </c>
      <c r="D22" s="26" t="n">
        <v>2.6</v>
      </c>
      <c r="E22" s="27" t="n">
        <v>2.521</v>
      </c>
      <c r="F22" s="28">
        <f>(1-ABS(D22-E22)/D22)*100</f>
        <v/>
      </c>
      <c r="G22" s="27" t="n">
        <v>0.155</v>
      </c>
      <c r="H22" s="27" t="n">
        <v>0.164</v>
      </c>
      <c r="I22" s="28">
        <f>(1-ABS(G22-H22)/G22)*100</f>
        <v/>
      </c>
      <c r="J22" s="26" t="n">
        <v>0.82</v>
      </c>
      <c r="K22" s="27" t="n">
        <v>1.004</v>
      </c>
      <c r="L22" s="28">
        <f>(1-ABS(J22-K22)/J22)*100</f>
        <v/>
      </c>
      <c r="M22" s="26" t="n">
        <v>0.26</v>
      </c>
      <c r="N22" s="27" t="n">
        <v>0.268</v>
      </c>
      <c r="O22" s="28">
        <f>(1-ABS(M22-N22)/M22)*100</f>
        <v/>
      </c>
      <c r="P22" s="29" t="n">
        <v>0.54</v>
      </c>
      <c r="Q22" s="30" t="n">
        <v>0.652</v>
      </c>
      <c r="R22" s="28">
        <f>(1-ABS(P22-Q22)/P22)*100</f>
        <v/>
      </c>
      <c r="S22" s="31" t="n">
        <v>17</v>
      </c>
      <c r="T22" s="29" t="n">
        <v>14.34</v>
      </c>
      <c r="U22" s="28">
        <f>(1-ABS(S22-T22)/S22)*100</f>
        <v/>
      </c>
    </row>
    <row r="23">
      <c r="B23" s="24" t="inlineStr">
        <is>
          <t>11/11</t>
        </is>
      </c>
      <c r="C23" s="25" t="n">
        <v>4669</v>
      </c>
      <c r="D23" s="26" t="n">
        <v>2.54</v>
      </c>
      <c r="E23" s="27" t="n">
        <v>2.459</v>
      </c>
      <c r="F23" s="28">
        <f>(1-ABS(D23-E23)/D23)*100</f>
        <v/>
      </c>
      <c r="G23" s="27" t="n">
        <v>0.16</v>
      </c>
      <c r="H23" s="27" t="n">
        <v>0.158</v>
      </c>
      <c r="I23" s="28">
        <f>(1-ABS(G23-H23)/G23)*100</f>
        <v/>
      </c>
      <c r="J23" s="26" t="n">
        <v>0.82</v>
      </c>
      <c r="K23" s="27" t="n">
        <v>0.986</v>
      </c>
      <c r="L23" s="28">
        <f>(1-ABS(J23-K23)/J23)*100</f>
        <v/>
      </c>
      <c r="M23" s="26" t="n">
        <v>0.27</v>
      </c>
      <c r="N23" s="27" t="n">
        <v>0.267</v>
      </c>
      <c r="O23" s="28">
        <f>(1-ABS(M23-N23)/M23)*100</f>
        <v/>
      </c>
      <c r="P23" s="29" t="n">
        <v>0.59</v>
      </c>
      <c r="Q23" s="30" t="n">
        <v>0.642</v>
      </c>
      <c r="R23" s="28">
        <f>(1-ABS(P23-Q23)/P23)*100</f>
        <v/>
      </c>
      <c r="S23" s="31" t="n">
        <v>18</v>
      </c>
      <c r="T23" s="29" t="n">
        <v>13.22</v>
      </c>
      <c r="U23" s="28">
        <f>(1-ABS(S23-T23)/S23)*100</f>
        <v/>
      </c>
    </row>
    <row r="24">
      <c r="B24" s="24" t="inlineStr">
        <is>
          <t>11/12</t>
        </is>
      </c>
      <c r="C24" s="25" t="n">
        <v>7452</v>
      </c>
      <c r="D24" s="26" t="n">
        <v>2.76</v>
      </c>
      <c r="E24" s="27" t="n">
        <v>2.389</v>
      </c>
      <c r="F24" s="28">
        <f>(1-ABS(D24-E24)/D24)*100</f>
        <v/>
      </c>
      <c r="G24" s="27" t="n">
        <v>0.157</v>
      </c>
      <c r="H24" s="27" t="n">
        <v>0.153</v>
      </c>
      <c r="I24" s="28">
        <f>(1-ABS(G24-H24)/G24)*100</f>
        <v/>
      </c>
      <c r="J24" s="26" t="n">
        <v>0.89</v>
      </c>
      <c r="K24" s="27" t="n">
        <v>0.965</v>
      </c>
      <c r="L24" s="28">
        <f>(1-ABS(J24-K24)/J24)*100</f>
        <v/>
      </c>
      <c r="M24" s="26" t="n">
        <v>0.27</v>
      </c>
      <c r="N24" s="27" t="n">
        <v>0.273</v>
      </c>
      <c r="O24" s="28">
        <f>(1-ABS(M24-N24)/M24)*100</f>
        <v/>
      </c>
      <c r="P24" s="29" t="n">
        <v>0.5</v>
      </c>
      <c r="Q24" s="30" t="n">
        <v>0.621</v>
      </c>
      <c r="R24" s="28">
        <f>(1-ABS(P24-Q24)/P24)*100</f>
        <v/>
      </c>
      <c r="S24" s="31" t="n">
        <v>18</v>
      </c>
      <c r="T24" s="29" t="n">
        <v>12.04</v>
      </c>
      <c r="U24" s="28">
        <f>(1-ABS(S24-T24)/S24)*100</f>
        <v/>
      </c>
    </row>
    <row r="25">
      <c r="B25" s="24" t="inlineStr">
        <is>
          <t>11/13</t>
        </is>
      </c>
      <c r="C25" s="25" t="n">
        <v>4320</v>
      </c>
      <c r="D25" s="26" t="n">
        <v>2.64</v>
      </c>
      <c r="E25" s="27" t="n">
        <v>2.24</v>
      </c>
      <c r="F25" s="28">
        <f>(1-ABS(D25-E25)/D25)*100</f>
        <v/>
      </c>
      <c r="G25" s="27" t="n">
        <v>0.152</v>
      </c>
      <c r="H25" s="27" t="n">
        <v>0.141</v>
      </c>
      <c r="I25" s="28">
        <f>(1-ABS(G25-H25)/G25)*100</f>
        <v/>
      </c>
      <c r="J25" s="26" t="n">
        <v>0.8</v>
      </c>
      <c r="K25" s="27" t="n">
        <v>0.896</v>
      </c>
      <c r="L25" s="28">
        <f>(1-ABS(J25-K25)/J25)*100</f>
        <v/>
      </c>
      <c r="M25" s="26" t="n">
        <v>0.27</v>
      </c>
      <c r="N25" s="27" t="n">
        <v>0.255</v>
      </c>
      <c r="O25" s="28">
        <f>(1-ABS(M25-N25)/M25)*100</f>
        <v/>
      </c>
      <c r="P25" s="29" t="n">
        <v>0.54</v>
      </c>
      <c r="Q25" s="30" t="n">
        <v>0.571</v>
      </c>
      <c r="R25" s="28">
        <f>(1-ABS(P25-Q25)/P25)*100</f>
        <v/>
      </c>
      <c r="S25" s="31" t="n">
        <v>17</v>
      </c>
      <c r="T25" s="29" t="n">
        <v>11.89</v>
      </c>
      <c r="U25" s="28">
        <f>(1-ABS(S25-T25)/S25)*100</f>
        <v/>
      </c>
    </row>
    <row r="26">
      <c r="B26" s="24" t="inlineStr">
        <is>
          <t>11/14</t>
        </is>
      </c>
      <c r="C26" s="25" t="n">
        <v>5214</v>
      </c>
      <c r="D26" s="26" t="n">
        <v>2.59</v>
      </c>
      <c r="E26" s="27" t="n">
        <v>2.095</v>
      </c>
      <c r="F26" s="28">
        <f>(1-ABS(D26-E26)/D26)*100</f>
        <v/>
      </c>
      <c r="G26" s="27" t="n">
        <v>0.156</v>
      </c>
      <c r="H26" s="27" t="n">
        <v>0.131</v>
      </c>
      <c r="I26" s="28">
        <f>(1-ABS(G26-H26)/G26)*100</f>
        <v/>
      </c>
      <c r="J26" s="26" t="n">
        <v>0.8100000000000001</v>
      </c>
      <c r="K26" s="27" t="n">
        <v>0.841</v>
      </c>
      <c r="L26" s="28">
        <f>(1-ABS(J26-K26)/J26)*100</f>
        <v/>
      </c>
      <c r="M26" s="26" t="n">
        <v>0.27</v>
      </c>
      <c r="N26" s="27" t="n">
        <v>0.25</v>
      </c>
      <c r="O26" s="28">
        <f>(1-ABS(M26-N26)/M26)*100</f>
        <v/>
      </c>
      <c r="P26" s="29" t="n">
        <v>0.58</v>
      </c>
      <c r="Q26" s="30" t="n">
        <v>0.543</v>
      </c>
      <c r="R26" s="28">
        <f>(1-ABS(P26-Q26)/P26)*100</f>
        <v/>
      </c>
      <c r="S26" s="31" t="n">
        <v>18</v>
      </c>
      <c r="T26" s="29" t="n">
        <v>10.31</v>
      </c>
      <c r="U26" s="28">
        <f>(1-ABS(S26-T26)/S26)*100</f>
        <v/>
      </c>
    </row>
    <row r="27">
      <c r="B27" s="24" t="inlineStr">
        <is>
          <t>11/19</t>
        </is>
      </c>
      <c r="C27" s="25" t="n">
        <v>4332</v>
      </c>
      <c r="D27" s="26" t="n">
        <v>2.53</v>
      </c>
      <c r="E27" s="27" t="n">
        <v>1.934</v>
      </c>
      <c r="F27" s="28">
        <f>(1-ABS(D27-E27)/D27)*100</f>
        <v/>
      </c>
      <c r="G27" s="27" t="n">
        <v>0.155</v>
      </c>
      <c r="H27" s="27" t="n">
        <v>0.119</v>
      </c>
      <c r="I27" s="28">
        <f>(1-ABS(G27-H27)/G27)*100</f>
        <v/>
      </c>
      <c r="J27" s="26" t="n">
        <v>0.9</v>
      </c>
      <c r="K27" s="27" t="n">
        <v>0.777</v>
      </c>
      <c r="L27" s="28">
        <f>(1-ABS(J27-K27)/J27)*100</f>
        <v/>
      </c>
      <c r="M27" s="26" t="n">
        <v>0.25</v>
      </c>
      <c r="N27" s="27" t="n">
        <v>0.237</v>
      </c>
      <c r="O27" s="28">
        <f>(1-ABS(M27-N27)/M27)*100</f>
        <v/>
      </c>
      <c r="P27" s="29" t="n">
        <v>0.52</v>
      </c>
      <c r="Q27" s="30" t="n">
        <v>0.483</v>
      </c>
      <c r="R27" s="28">
        <f>(1-ABS(P27-Q27)/P27)*100</f>
        <v/>
      </c>
      <c r="S27" s="31" t="n">
        <v>16</v>
      </c>
      <c r="T27" s="29" t="n">
        <v>9.279999999999999</v>
      </c>
      <c r="U27" s="28">
        <f>(1-ABS(S27-T27)/S27)*100</f>
        <v/>
      </c>
    </row>
    <row r="28">
      <c r="B28" s="24" t="inlineStr">
        <is>
          <t>11/20</t>
        </is>
      </c>
      <c r="C28" s="25" t="n">
        <v>4353</v>
      </c>
      <c r="D28" s="26" t="n">
        <v>2.64</v>
      </c>
      <c r="E28" s="27" t="n">
        <v>2.071</v>
      </c>
      <c r="F28" s="28">
        <f>(1-ABS(D28-E28)/D28)*100</f>
        <v/>
      </c>
      <c r="G28" s="27" t="n">
        <v>0.168</v>
      </c>
      <c r="H28" s="27" t="n">
        <v>0.129</v>
      </c>
      <c r="I28" s="28">
        <f>(1-ABS(G28-H28)/G28)*100</f>
        <v/>
      </c>
      <c r="J28" s="26" t="n">
        <v>0.93</v>
      </c>
      <c r="K28" s="27" t="n">
        <v>0.833</v>
      </c>
      <c r="L28" s="28">
        <f>(1-ABS(J28-K28)/J28)*100</f>
        <v/>
      </c>
      <c r="M28" s="26" t="n">
        <v>0.25</v>
      </c>
      <c r="N28" s="27" t="n">
        <v>0.247</v>
      </c>
      <c r="O28" s="28">
        <f>(1-ABS(M28-N28)/M28)*100</f>
        <v/>
      </c>
      <c r="P28" s="29" t="n">
        <v>0.52</v>
      </c>
      <c r="Q28" s="30" t="n">
        <v>0.526</v>
      </c>
      <c r="R28" s="28">
        <f>(1-ABS(P28-Q28)/P28)*100</f>
        <v/>
      </c>
      <c r="S28" s="31" t="n">
        <v>19</v>
      </c>
      <c r="T28" s="29" t="n">
        <v>10.21</v>
      </c>
      <c r="U28" s="28">
        <f>(1-ABS(S28-T28)/S28)*100</f>
        <v/>
      </c>
    </row>
    <row r="29">
      <c r="B29" s="24" t="inlineStr">
        <is>
          <t>11/21</t>
        </is>
      </c>
      <c r="C29" s="25" t="n">
        <v>3395</v>
      </c>
      <c r="D29" s="26" t="n">
        <v>2.61</v>
      </c>
      <c r="E29" s="27" t="n">
        <v>1.582</v>
      </c>
      <c r="F29" s="28">
        <f>(1-ABS(D29-E29)/D29)*100</f>
        <v/>
      </c>
      <c r="G29" s="27" t="n">
        <v>0.151</v>
      </c>
      <c r="H29" s="27" t="n">
        <v>0.095</v>
      </c>
      <c r="I29" s="28">
        <f>(1-ABS(G29-H29)/G29)*100</f>
        <v/>
      </c>
      <c r="J29" s="26" t="n">
        <v>0.95</v>
      </c>
      <c r="K29" s="27" t="n">
        <v>0.626</v>
      </c>
      <c r="L29" s="28">
        <f>(1-ABS(J29-K29)/J29)*100</f>
        <v/>
      </c>
      <c r="M29" s="26" t="n">
        <v>0.24</v>
      </c>
      <c r="N29" s="27" t="n">
        <v>0.201</v>
      </c>
      <c r="O29" s="28">
        <f>(1-ABS(M29-N29)/M29)*100</f>
        <v/>
      </c>
      <c r="P29" s="29" t="n">
        <v>0.42</v>
      </c>
      <c r="Q29" s="30" t="n">
        <v>0.376</v>
      </c>
      <c r="R29" s="28">
        <f>(1-ABS(P29-Q29)/P29)*100</f>
        <v/>
      </c>
      <c r="S29" s="31" t="n">
        <v>14</v>
      </c>
      <c r="T29" s="29" t="n">
        <v>7.97</v>
      </c>
      <c r="U29" s="28">
        <f>(1-ABS(S29-T29)/S29)*100</f>
        <v/>
      </c>
    </row>
    <row r="30">
      <c r="B30" s="24" t="inlineStr">
        <is>
          <t>11/22</t>
        </is>
      </c>
      <c r="C30" s="25" t="n">
        <v>4562</v>
      </c>
      <c r="D30" s="26" t="n">
        <v>2.59</v>
      </c>
      <c r="E30" s="27" t="n">
        <v>1.823</v>
      </c>
      <c r="F30" s="28">
        <f>(1-ABS(D30-E30)/D30)*100</f>
        <v/>
      </c>
      <c r="G30" s="27" t="n">
        <v>0.158</v>
      </c>
      <c r="H30" s="27" t="n">
        <v>0.111</v>
      </c>
      <c r="I30" s="28">
        <f>(1-ABS(G30-H30)/G30)*100</f>
        <v/>
      </c>
      <c r="J30" s="26" t="n">
        <v>0.98</v>
      </c>
      <c r="K30" s="27" t="n">
        <v>0.736</v>
      </c>
      <c r="L30" s="28">
        <f>(1-ABS(J30-K30)/J30)*100</f>
        <v/>
      </c>
      <c r="M30" s="26" t="n">
        <v>0.29</v>
      </c>
      <c r="N30" s="27" t="n">
        <v>0.215</v>
      </c>
      <c r="O30" s="28">
        <f>(1-ABS(M30-N30)/M30)*100</f>
        <v/>
      </c>
      <c r="P30" s="29" t="n">
        <v>0.45</v>
      </c>
      <c r="Q30" s="30" t="n">
        <v>0.433</v>
      </c>
      <c r="R30" s="28">
        <f>(1-ABS(P30-Q30)/P30)*100</f>
        <v/>
      </c>
      <c r="S30" s="31" t="n">
        <v>15</v>
      </c>
      <c r="T30" s="29" t="n">
        <v>9.720000000000001</v>
      </c>
      <c r="U30" s="28">
        <f>(1-ABS(S30-T30)/S30)*100</f>
        <v/>
      </c>
    </row>
    <row r="31">
      <c r="B31" s="24" t="inlineStr">
        <is>
          <t>11/15</t>
        </is>
      </c>
      <c r="C31" s="25" t="n">
        <v>4042</v>
      </c>
      <c r="D31" s="26" t="n">
        <v>2.57</v>
      </c>
      <c r="E31" s="27" t="n">
        <v>1.986</v>
      </c>
      <c r="F31" s="28">
        <f>(1-ABS(D31-E31)/D31)*100</f>
        <v/>
      </c>
      <c r="G31" s="27" t="n">
        <v>0.153</v>
      </c>
      <c r="H31" s="27" t="n">
        <v>0.123</v>
      </c>
      <c r="I31" s="28">
        <f>(1-ABS(G31-H31)/G31)*100</f>
        <v/>
      </c>
      <c r="J31" s="26" t="n">
        <v>0.91</v>
      </c>
      <c r="K31" s="27" t="n">
        <v>0.785</v>
      </c>
      <c r="L31" s="28">
        <f>(1-ABS(J31-K31)/J31)*100</f>
        <v/>
      </c>
      <c r="M31" s="26" t="n">
        <v>0.26</v>
      </c>
      <c r="N31" s="27" t="n">
        <v>0.239</v>
      </c>
      <c r="O31" s="28">
        <f>(1-ABS(M31-N31)/M31)*100</f>
        <v/>
      </c>
      <c r="P31" s="29" t="n">
        <v>0.54</v>
      </c>
      <c r="Q31" s="30" t="n">
        <v>0.505</v>
      </c>
      <c r="R31" s="28">
        <f>(1-ABS(P31-Q31)/P31)*100</f>
        <v/>
      </c>
      <c r="S31" s="31" t="n">
        <v>16</v>
      </c>
      <c r="T31" s="29" t="n">
        <v>9.66</v>
      </c>
      <c r="U31" s="28">
        <f>(1-ABS(S31-T31)/S31)*100</f>
        <v/>
      </c>
    </row>
    <row r="32">
      <c r="B32" s="24" t="inlineStr">
        <is>
          <t>11/16</t>
        </is>
      </c>
      <c r="C32" s="25" t="n">
        <v>6010</v>
      </c>
      <c r="D32" s="26" t="n">
        <v>2.52</v>
      </c>
      <c r="E32" s="27" t="n">
        <v>1.981</v>
      </c>
      <c r="F32" s="28">
        <f>(1-ABS(D32-E32)/D32)*100</f>
        <v/>
      </c>
      <c r="G32" s="27" t="n">
        <v>0.159</v>
      </c>
      <c r="H32" s="27" t="n">
        <v>0.123</v>
      </c>
      <c r="I32" s="28">
        <f>(1-ABS(G32-H32)/G32)*100</f>
        <v/>
      </c>
      <c r="J32" s="26" t="n">
        <v>0.9399999999999999</v>
      </c>
      <c r="K32" s="27" t="n">
        <v>0.795</v>
      </c>
      <c r="L32" s="28">
        <f>(1-ABS(J32-K32)/J32)*100</f>
        <v/>
      </c>
      <c r="M32" s="26" t="n">
        <v>0.26</v>
      </c>
      <c r="N32" s="27" t="n">
        <v>0.239</v>
      </c>
      <c r="O32" s="28">
        <f>(1-ABS(M32-N32)/M32)*100</f>
        <v/>
      </c>
      <c r="P32" s="29" t="n">
        <v>0.51</v>
      </c>
      <c r="Q32" s="30" t="n">
        <v>0.495</v>
      </c>
      <c r="R32" s="28">
        <f>(1-ABS(P32-Q32)/P32)*100</f>
        <v/>
      </c>
      <c r="S32" s="31" t="n">
        <v>19</v>
      </c>
      <c r="T32" s="29" t="n">
        <v>10.03</v>
      </c>
      <c r="U32" s="28">
        <f>(1-ABS(S32-T32)/S32)*100</f>
        <v/>
      </c>
    </row>
    <row r="33">
      <c r="B33" s="24" t="inlineStr">
        <is>
          <t>11/17</t>
        </is>
      </c>
      <c r="C33" s="25" t="n">
        <v>4717</v>
      </c>
      <c r="D33" s="26" t="n">
        <v>2.47</v>
      </c>
      <c r="E33" s="27" t="n">
        <v>2.295</v>
      </c>
      <c r="F33" s="28">
        <f>(1-ABS(D33-E33)/D33)*100</f>
        <v/>
      </c>
      <c r="G33" s="27" t="n">
        <v>0.156</v>
      </c>
      <c r="H33" s="27" t="n">
        <v>0.145</v>
      </c>
      <c r="I33" s="28">
        <f>(1-ABS(G33-H33)/G33)*100</f>
        <v/>
      </c>
      <c r="J33" s="26" t="n">
        <v>0.9</v>
      </c>
      <c r="K33" s="27" t="n">
        <v>0.927</v>
      </c>
      <c r="L33" s="28">
        <f>(1-ABS(J33-K33)/J33)*100</f>
        <v/>
      </c>
      <c r="M33" s="26" t="n">
        <v>0.26</v>
      </c>
      <c r="N33" s="27" t="n">
        <v>0.263</v>
      </c>
      <c r="O33" s="28">
        <f>(1-ABS(M33-N33)/M33)*100</f>
        <v/>
      </c>
      <c r="P33" s="29" t="n">
        <v>0.54</v>
      </c>
      <c r="Q33" s="30" t="n">
        <v>0.601</v>
      </c>
      <c r="R33" s="28">
        <f>(1-ABS(P33-Q33)/P33)*100</f>
        <v/>
      </c>
      <c r="S33" s="31" t="n">
        <v>19</v>
      </c>
      <c r="T33" s="29" t="n">
        <v>11.51</v>
      </c>
      <c r="U33" s="28">
        <f>(1-ABS(S33-T33)/S33)*100</f>
        <v/>
      </c>
    </row>
    <row r="34">
      <c r="B34" s="24" t="inlineStr">
        <is>
          <t>11/18</t>
        </is>
      </c>
      <c r="C34" s="25" t="n">
        <v>6640</v>
      </c>
      <c r="D34" s="26" t="n">
        <v>2.59</v>
      </c>
      <c r="E34" s="27" t="n">
        <v>2.306</v>
      </c>
      <c r="F34" s="28">
        <f>(1-ABS(D34-E34)/D34)*100</f>
        <v/>
      </c>
      <c r="G34" s="27" t="n">
        <v>0.176</v>
      </c>
      <c r="H34" s="27" t="n">
        <v>0.147</v>
      </c>
      <c r="I34" s="28">
        <f>(1-ABS(G34-H34)/G34)*100</f>
        <v/>
      </c>
      <c r="J34" s="26" t="n">
        <v>1.15</v>
      </c>
      <c r="K34" s="27" t="n">
        <v>0.9320000000000001</v>
      </c>
      <c r="L34" s="28">
        <f>(1-ABS(J34-K34)/J34)*100</f>
        <v/>
      </c>
      <c r="M34" s="26" t="n">
        <v>0.32</v>
      </c>
      <c r="N34" s="27" t="n">
        <v>0.269</v>
      </c>
      <c r="O34" s="28">
        <f>(1-ABS(M34-N34)/M34)*100</f>
        <v/>
      </c>
      <c r="P34" s="29" t="n">
        <v>0.78</v>
      </c>
      <c r="Q34" s="30" t="n">
        <v>0.595</v>
      </c>
      <c r="R34" s="28">
        <f>(1-ABS(P34-Q34)/P34)*100</f>
        <v/>
      </c>
      <c r="S34" s="31" t="n">
        <v>18</v>
      </c>
      <c r="T34" s="29" t="n">
        <v>11.92</v>
      </c>
      <c r="U34" s="28">
        <f>(1-ABS(S34-T34)/S34)*100</f>
        <v/>
      </c>
    </row>
    <row r="35">
      <c r="B35" s="24" t="inlineStr">
        <is>
          <t>12/01</t>
        </is>
      </c>
      <c r="C35" s="25" t="n">
        <v>5148</v>
      </c>
      <c r="D35" s="26" t="n">
        <v>2.62</v>
      </c>
      <c r="E35" s="27" t="n">
        <v>2.422</v>
      </c>
      <c r="F35" s="28">
        <f>(1-ABS(D35-E35)/D35)*100</f>
        <v/>
      </c>
      <c r="G35" s="27" t="n">
        <v>0.141</v>
      </c>
      <c r="H35" s="27" t="n">
        <v>0.154</v>
      </c>
      <c r="I35" s="28">
        <f>(1-ABS(G35-H35)/G35)*100</f>
        <v/>
      </c>
      <c r="J35" s="26" t="n">
        <v>0.84</v>
      </c>
      <c r="K35" s="27" t="n">
        <v>0.997</v>
      </c>
      <c r="L35" s="28">
        <f>(1-ABS(J35-K35)/J35)*100</f>
        <v/>
      </c>
      <c r="M35" s="26" t="n">
        <v>0.23</v>
      </c>
      <c r="N35" s="27" t="n">
        <v>0.267</v>
      </c>
      <c r="O35" s="28">
        <f>(1-ABS(M35-N35)/M35)*100</f>
        <v/>
      </c>
      <c r="P35" s="29" t="n">
        <v>0.49</v>
      </c>
      <c r="Q35" s="30" t="n">
        <v>0.606</v>
      </c>
      <c r="R35" s="28">
        <f>(1-ABS(P35-Q35)/P35)*100</f>
        <v/>
      </c>
      <c r="S35" s="31" t="n">
        <v>15</v>
      </c>
      <c r="T35" s="29" t="n">
        <v>12.49</v>
      </c>
      <c r="U35" s="28">
        <f>(1-ABS(S35-T35)/S35)*100</f>
        <v/>
      </c>
    </row>
    <row r="36">
      <c r="B36" s="24" t="inlineStr">
        <is>
          <t>12/02</t>
        </is>
      </c>
      <c r="C36" s="25" t="n">
        <v>5530</v>
      </c>
      <c r="D36" s="26" t="n">
        <v>2.57</v>
      </c>
      <c r="E36" s="27" t="n">
        <v>2.145</v>
      </c>
      <c r="F36" s="28">
        <f>(1-ABS(D36-E36)/D36)*100</f>
        <v/>
      </c>
      <c r="G36" s="27" t="n">
        <v>0.167</v>
      </c>
      <c r="H36" s="27" t="n">
        <v>0.133</v>
      </c>
      <c r="I36" s="28">
        <f>(1-ABS(G36-H36)/G36)*100</f>
        <v/>
      </c>
      <c r="J36" s="26" t="n">
        <v>0.97</v>
      </c>
      <c r="K36" s="27" t="n">
        <v>0.88</v>
      </c>
      <c r="L36" s="28">
        <f>(1-ABS(J36-K36)/J36)*100</f>
        <v/>
      </c>
      <c r="M36" s="26" t="n">
        <v>0.26</v>
      </c>
      <c r="N36" s="27" t="n">
        <v>0.253</v>
      </c>
      <c r="O36" s="28">
        <f>(1-ABS(M36-N36)/M36)*100</f>
        <v/>
      </c>
      <c r="P36" s="29" t="n">
        <v>0.53</v>
      </c>
      <c r="Q36" s="30" t="n">
        <v>0.53</v>
      </c>
      <c r="R36" s="28">
        <f>(1-ABS(P36-Q36)/P36)*100</f>
        <v/>
      </c>
      <c r="S36" s="31" t="n">
        <v>19</v>
      </c>
      <c r="T36" s="29" t="n">
        <v>10.52</v>
      </c>
      <c r="U36" s="28">
        <f>(1-ABS(S36-T36)/S36)*100</f>
        <v/>
      </c>
    </row>
    <row r="37">
      <c r="B37" s="24" t="inlineStr">
        <is>
          <t>12/16</t>
        </is>
      </c>
      <c r="C37" s="25" t="n">
        <v>3823</v>
      </c>
      <c r="D37" s="26" t="n">
        <v>2.51</v>
      </c>
      <c r="E37" s="27" t="n">
        <v>2.407</v>
      </c>
      <c r="F37" s="28">
        <f>(1-ABS(D37-E37)/D37)*100</f>
        <v/>
      </c>
      <c r="G37" s="27" t="n">
        <v>0.163</v>
      </c>
      <c r="H37" s="27" t="n">
        <v>0.15</v>
      </c>
      <c r="I37" s="28">
        <f>(1-ABS(G37-H37)/G37)*100</f>
        <v/>
      </c>
      <c r="J37" s="26" t="n">
        <v>0.86</v>
      </c>
      <c r="K37" s="27" t="n">
        <v>0.982</v>
      </c>
      <c r="L37" s="28">
        <f>(1-ABS(J37-K37)/J37)*100</f>
        <v/>
      </c>
      <c r="M37" s="26" t="n">
        <v>0.28</v>
      </c>
      <c r="N37" s="27" t="n">
        <v>0.269</v>
      </c>
      <c r="O37" s="28">
        <f>(1-ABS(M37-N37)/M37)*100</f>
        <v/>
      </c>
      <c r="P37" s="29" t="n">
        <v>0.4</v>
      </c>
      <c r="Q37" s="30" t="n">
        <v>0.604</v>
      </c>
      <c r="R37" s="28">
        <f>(1-ABS(P37-Q37)/P37)*100</f>
        <v/>
      </c>
      <c r="S37" s="31" t="n">
        <v>17</v>
      </c>
      <c r="T37" s="29" t="n">
        <v>12.34</v>
      </c>
      <c r="U37" s="28">
        <f>(1-ABS(S37-T37)/S37)*100</f>
        <v/>
      </c>
    </row>
    <row r="38">
      <c r="B38" s="24" t="inlineStr">
        <is>
          <t>12/17</t>
        </is>
      </c>
      <c r="C38" s="25" t="n">
        <v>2419</v>
      </c>
      <c r="D38" s="26" t="n">
        <v>2.45</v>
      </c>
      <c r="E38" s="27" t="n">
        <v>2.454</v>
      </c>
      <c r="F38" s="28">
        <f>(1-ABS(D38-E38)/D38)*100</f>
        <v/>
      </c>
      <c r="G38" s="27" t="n">
        <v>0.167</v>
      </c>
      <c r="H38" s="27" t="n">
        <v>0.154</v>
      </c>
      <c r="I38" s="28">
        <f>(1-ABS(G38-H38)/G38)*100</f>
        <v/>
      </c>
      <c r="J38" s="26" t="n">
        <v>0.84</v>
      </c>
      <c r="K38" s="27" t="n">
        <v>1.004</v>
      </c>
      <c r="L38" s="28">
        <f>(1-ABS(J38-K38)/J38)*100</f>
        <v/>
      </c>
      <c r="M38" s="26" t="n">
        <v>0.29</v>
      </c>
      <c r="N38" s="27" t="n">
        <v>0.279</v>
      </c>
      <c r="O38" s="28">
        <f>(1-ABS(M38-N38)/M38)*100</f>
        <v/>
      </c>
      <c r="P38" s="29" t="n">
        <v>0.53</v>
      </c>
      <c r="Q38" s="30" t="n">
        <v>0.614</v>
      </c>
      <c r="R38" s="28">
        <f>(1-ABS(P38-Q38)/P38)*100</f>
        <v/>
      </c>
      <c r="S38" s="31" t="n">
        <v>18</v>
      </c>
      <c r="T38" s="29" t="n">
        <v>13</v>
      </c>
      <c r="U38" s="28">
        <f>(1-ABS(S38-T38)/S38)*100</f>
        <v/>
      </c>
    </row>
    <row r="39">
      <c r="B39" s="24" t="inlineStr">
        <is>
          <t>12/18</t>
        </is>
      </c>
      <c r="C39" s="25" t="n">
        <v>2197</v>
      </c>
      <c r="D39" s="26" t="n">
        <v>2.59</v>
      </c>
      <c r="E39" s="27" t="n">
        <v>2.507</v>
      </c>
      <c r="F39" s="28">
        <f>(1-ABS(D39-E39)/D39)*100</f>
        <v/>
      </c>
      <c r="G39" s="27" t="n">
        <v>0.169</v>
      </c>
      <c r="H39" s="27" t="n">
        <v>0.16</v>
      </c>
      <c r="I39" s="28">
        <f>(1-ABS(G39-H39)/G39)*100</f>
        <v/>
      </c>
      <c r="J39" s="26" t="n">
        <v>0.86</v>
      </c>
      <c r="K39" s="27" t="n">
        <v>1.008</v>
      </c>
      <c r="L39" s="28">
        <f>(1-ABS(J39-K39)/J39)*100</f>
        <v/>
      </c>
      <c r="M39" s="26" t="n">
        <v>0.27</v>
      </c>
      <c r="N39" s="27" t="n">
        <v>0.282</v>
      </c>
      <c r="O39" s="28">
        <f>(1-ABS(M39-N39)/M39)*100</f>
        <v/>
      </c>
      <c r="P39" s="29" t="n">
        <v>0.57</v>
      </c>
      <c r="Q39" s="30" t="n">
        <v>0.65</v>
      </c>
      <c r="R39" s="28">
        <f>(1-ABS(P39-Q39)/P39)*100</f>
        <v/>
      </c>
      <c r="S39" s="31" t="n">
        <v>19</v>
      </c>
      <c r="T39" s="29" t="n">
        <v>13.39</v>
      </c>
      <c r="U39" s="28">
        <f>(1-ABS(S39-T39)/S39)*100</f>
        <v/>
      </c>
    </row>
    <row r="40">
      <c r="B40" s="24" t="inlineStr">
        <is>
          <t>12/19</t>
        </is>
      </c>
      <c r="C40" s="25" t="n">
        <v>2341</v>
      </c>
      <c r="D40" s="26" t="n">
        <v>2.64</v>
      </c>
      <c r="E40" s="27" t="n">
        <v>2.301</v>
      </c>
      <c r="F40" s="28">
        <f>(1-ABS(D40-E40)/D40)*100</f>
        <v/>
      </c>
      <c r="G40" s="27" t="n">
        <v>0.166</v>
      </c>
      <c r="H40" s="27" t="n">
        <v>0.144</v>
      </c>
      <c r="I40" s="28">
        <f>(1-ABS(G40-H40)/G40)*100</f>
        <v/>
      </c>
      <c r="J40" s="26" t="n">
        <v>0.83</v>
      </c>
      <c r="K40" s="27" t="n">
        <v>0.9399999999999999</v>
      </c>
      <c r="L40" s="28">
        <f>(1-ABS(J40-K40)/J40)*100</f>
        <v/>
      </c>
      <c r="M40" s="26" t="n">
        <v>0.29</v>
      </c>
      <c r="N40" s="27" t="n">
        <v>0.269</v>
      </c>
      <c r="O40" s="28">
        <f>(1-ABS(M40-N40)/M40)*100</f>
        <v/>
      </c>
      <c r="P40" s="29" t="n">
        <v>0.53</v>
      </c>
      <c r="Q40" s="30" t="n">
        <v>0.596</v>
      </c>
      <c r="R40" s="28">
        <f>(1-ABS(P40-Q40)/P40)*100</f>
        <v/>
      </c>
      <c r="S40" s="31" t="n">
        <v>19</v>
      </c>
      <c r="T40" s="29" t="n">
        <v>11.4</v>
      </c>
      <c r="U40" s="28">
        <f>(1-ABS(S40-T40)/S40)*100</f>
        <v/>
      </c>
    </row>
    <row r="41">
      <c r="B41" s="24" t="inlineStr">
        <is>
          <t>12/20A</t>
        </is>
      </c>
      <c r="C41" s="25" t="n">
        <v>2057</v>
      </c>
      <c r="D41" s="26" t="n">
        <v>2.63</v>
      </c>
      <c r="E41" s="27" t="n">
        <v>2.553</v>
      </c>
      <c r="F41" s="28">
        <f>(1-ABS(D41-E41)/D41)*100</f>
        <v/>
      </c>
      <c r="G41" s="27" t="n">
        <v>0.161</v>
      </c>
      <c r="H41" s="27" t="n">
        <v>0.163</v>
      </c>
      <c r="I41" s="28">
        <f>(1-ABS(G41-H41)/G41)*100</f>
        <v/>
      </c>
      <c r="J41" s="26" t="n">
        <v>0.8100000000000001</v>
      </c>
      <c r="K41" s="27" t="n">
        <v>1.03</v>
      </c>
      <c r="L41" s="28">
        <f>(1-ABS(J41-K41)/J41)*100</f>
        <v/>
      </c>
      <c r="M41" s="26" t="n">
        <v>0.24</v>
      </c>
      <c r="N41" s="27" t="n">
        <v>0.285</v>
      </c>
      <c r="O41" s="28">
        <f>(1-ABS(M41-N41)/M41)*100</f>
        <v/>
      </c>
      <c r="P41" s="29" t="n">
        <v>0.5</v>
      </c>
      <c r="Q41" s="30" t="n">
        <v>0.659</v>
      </c>
      <c r="R41" s="28">
        <f>(1-ABS(P41-Q41)/P41)*100</f>
        <v/>
      </c>
      <c r="S41" s="31" t="n">
        <v>17</v>
      </c>
      <c r="T41" s="29" t="n">
        <v>13.65</v>
      </c>
      <c r="U41" s="28">
        <f>(1-ABS(S41-T41)/S41)*100</f>
        <v/>
      </c>
    </row>
    <row r="42">
      <c r="B42" s="24" t="inlineStr">
        <is>
          <t>12/21</t>
        </is>
      </c>
      <c r="C42" s="25" t="n">
        <v>4015</v>
      </c>
      <c r="D42" s="26" t="n">
        <v>2.58</v>
      </c>
      <c r="E42" s="27" t="n">
        <v>2.461</v>
      </c>
      <c r="F42" s="28">
        <f>(1-ABS(D42-E42)/D42)*100</f>
        <v/>
      </c>
      <c r="G42" s="27" t="n">
        <v>0.161</v>
      </c>
      <c r="H42" s="27" t="n">
        <v>0.157</v>
      </c>
      <c r="I42" s="28">
        <f>(1-ABS(G42-H42)/G42)*100</f>
        <v/>
      </c>
      <c r="J42" s="26" t="n">
        <v>0.82</v>
      </c>
      <c r="K42" s="27" t="n">
        <v>0.992</v>
      </c>
      <c r="L42" s="28">
        <f>(1-ABS(J42-K42)/J42)*100</f>
        <v/>
      </c>
      <c r="M42" s="26" t="n">
        <v>0.27</v>
      </c>
      <c r="N42" s="27" t="n">
        <v>0.28</v>
      </c>
      <c r="O42" s="28">
        <f>(1-ABS(M42-N42)/M42)*100</f>
        <v/>
      </c>
      <c r="P42" s="29" t="n">
        <v>0.41</v>
      </c>
      <c r="Q42" s="30" t="n">
        <v>0.655</v>
      </c>
      <c r="R42" s="28">
        <f>(1-ABS(P42-Q42)/P42)*100</f>
        <v/>
      </c>
      <c r="S42" s="31" t="n">
        <v>16</v>
      </c>
      <c r="T42" s="29" t="n">
        <v>11.98</v>
      </c>
      <c r="U42" s="28">
        <f>(1-ABS(S42-T42)/S42)*100</f>
        <v/>
      </c>
    </row>
    <row r="43">
      <c r="B43" s="24" t="inlineStr">
        <is>
          <t>12/22A</t>
        </is>
      </c>
      <c r="C43" s="25" t="n">
        <v>4305</v>
      </c>
      <c r="D43" s="26" t="n">
        <v>2.51</v>
      </c>
      <c r="E43" s="27" t="n">
        <v>2.437</v>
      </c>
      <c r="F43" s="28">
        <f>(1-ABS(D43-E43)/D43)*100</f>
        <v/>
      </c>
      <c r="G43" s="27" t="n">
        <v>0.16</v>
      </c>
      <c r="H43" s="27" t="n">
        <v>0.157</v>
      </c>
      <c r="I43" s="28">
        <f>(1-ABS(G43-H43)/G43)*100</f>
        <v/>
      </c>
      <c r="J43" s="26" t="n">
        <v>0.85</v>
      </c>
      <c r="K43" s="27" t="n">
        <v>0.981</v>
      </c>
      <c r="L43" s="28">
        <f>(1-ABS(J43-K43)/J43)*100</f>
        <v/>
      </c>
      <c r="M43" s="26" t="n">
        <v>0.25</v>
      </c>
      <c r="N43" s="27" t="n">
        <v>0.281</v>
      </c>
      <c r="O43" s="28">
        <f>(1-ABS(M43-N43)/M43)*100</f>
        <v/>
      </c>
      <c r="P43" s="29" t="n">
        <v>0.51</v>
      </c>
      <c r="Q43" s="30" t="n">
        <v>0.654</v>
      </c>
      <c r="R43" s="28">
        <f>(1-ABS(P43-Q43)/P43)*100</f>
        <v/>
      </c>
      <c r="S43" s="31" t="n">
        <v>15</v>
      </c>
      <c r="T43" s="29" t="n">
        <v>11.69</v>
      </c>
      <c r="U43" s="28">
        <f>(1-ABS(S43-T43)/S43)*100</f>
        <v/>
      </c>
    </row>
    <row r="44">
      <c r="B44" s="24" t="inlineStr">
        <is>
          <t>12/23</t>
        </is>
      </c>
      <c r="C44" s="25" t="n">
        <v>3872</v>
      </c>
      <c r="D44" s="26" t="n">
        <v>2.63</v>
      </c>
      <c r="E44" s="27" t="n">
        <v>2.176</v>
      </c>
      <c r="F44" s="28">
        <f>(1-ABS(D44-E44)/D44)*100</f>
        <v/>
      </c>
      <c r="G44" s="27" t="n">
        <v>0.17</v>
      </c>
      <c r="H44" s="27" t="n">
        <v>0.134</v>
      </c>
      <c r="I44" s="28">
        <f>(1-ABS(G44-H44)/G44)*100</f>
        <v/>
      </c>
      <c r="J44" s="26" t="n">
        <v>0.84</v>
      </c>
      <c r="K44" s="27" t="n">
        <v>0.886</v>
      </c>
      <c r="L44" s="28">
        <f>(1-ABS(J44-K44)/J44)*100</f>
        <v/>
      </c>
      <c r="M44" s="26" t="n">
        <v>0.3</v>
      </c>
      <c r="N44" s="27" t="n">
        <v>0.25</v>
      </c>
      <c r="O44" s="28">
        <f>(1-ABS(M44-N44)/M44)*100</f>
        <v/>
      </c>
      <c r="P44" s="29" t="n">
        <v>0.54</v>
      </c>
      <c r="Q44" s="30" t="n">
        <v>0.539</v>
      </c>
      <c r="R44" s="28">
        <f>(1-ABS(P44-Q44)/P44)*100</f>
        <v/>
      </c>
      <c r="S44" s="31" t="n">
        <v>18</v>
      </c>
      <c r="T44" s="29" t="n">
        <v>11.32</v>
      </c>
      <c r="U44" s="28">
        <f>(1-ABS(S44-T44)/S44)*100</f>
        <v/>
      </c>
    </row>
    <row r="45">
      <c r="B45" s="24" t="inlineStr">
        <is>
          <t>12/24</t>
        </is>
      </c>
      <c r="C45" s="25" t="n">
        <v>3648</v>
      </c>
      <c r="D45" s="26" t="n">
        <v>2.49</v>
      </c>
      <c r="E45" s="27" t="n">
        <v>2.255</v>
      </c>
      <c r="F45" s="28">
        <f>(1-ABS(D45-E45)/D45)*100</f>
        <v/>
      </c>
      <c r="G45" s="27" t="n">
        <v>0.179</v>
      </c>
      <c r="H45" s="27" t="n">
        <v>0.141</v>
      </c>
      <c r="I45" s="28">
        <f>(1-ABS(G45-H45)/G45)*100</f>
        <v/>
      </c>
      <c r="J45" s="26" t="n">
        <v>0.89</v>
      </c>
      <c r="K45" s="27" t="n">
        <v>0.911</v>
      </c>
      <c r="L45" s="28">
        <f>(1-ABS(J45-K45)/J45)*100</f>
        <v/>
      </c>
      <c r="M45" s="26" t="n">
        <v>0.31</v>
      </c>
      <c r="N45" s="27" t="n">
        <v>0.26</v>
      </c>
      <c r="O45" s="28">
        <f>(1-ABS(M45-N45)/M45)*100</f>
        <v/>
      </c>
      <c r="P45" s="29" t="n">
        <v>0.57</v>
      </c>
      <c r="Q45" s="30" t="n">
        <v>0.578</v>
      </c>
      <c r="R45" s="28">
        <f>(1-ABS(P45-Q45)/P45)*100</f>
        <v/>
      </c>
      <c r="S45" s="31" t="n">
        <v>19</v>
      </c>
      <c r="T45" s="29" t="n">
        <v>11.52</v>
      </c>
      <c r="U45" s="28">
        <f>(1-ABS(S45-T45)/S45)*100</f>
        <v/>
      </c>
    </row>
    <row r="46">
      <c r="B46" s="24" t="inlineStr">
        <is>
          <t>12/25</t>
        </is>
      </c>
      <c r="C46" s="25" t="n">
        <v>4320</v>
      </c>
      <c r="D46" s="26" t="n">
        <v>2.64</v>
      </c>
      <c r="E46" s="27" t="n">
        <v>2.342</v>
      </c>
      <c r="F46" s="28">
        <f>(1-ABS(D46-E46)/D46)*100</f>
        <v/>
      </c>
      <c r="G46" s="27" t="n">
        <v>0.162</v>
      </c>
      <c r="H46" s="27" t="n">
        <v>0.15</v>
      </c>
      <c r="I46" s="28">
        <f>(1-ABS(G46-H46)/G46)*100</f>
        <v/>
      </c>
      <c r="J46" s="26" t="n">
        <v>0.84</v>
      </c>
      <c r="K46" s="27" t="n">
        <v>0.9330000000000001</v>
      </c>
      <c r="L46" s="28">
        <f>(1-ABS(J46-K46)/J46)*100</f>
        <v/>
      </c>
      <c r="M46" s="26" t="n">
        <v>0.29</v>
      </c>
      <c r="N46" s="27" t="n">
        <v>0.27</v>
      </c>
      <c r="O46" s="28">
        <f>(1-ABS(M46-N46)/M46)*100</f>
        <v/>
      </c>
      <c r="P46" s="29" t="n">
        <v>0.51</v>
      </c>
      <c r="Q46" s="30" t="n">
        <v>0.618</v>
      </c>
      <c r="R46" s="28">
        <f>(1-ABS(P46-Q46)/P46)*100</f>
        <v/>
      </c>
      <c r="S46" s="31" t="n">
        <v>18</v>
      </c>
      <c r="T46" s="29" t="n">
        <v>11.44</v>
      </c>
      <c r="U46" s="28">
        <f>(1-ABS(S46-T46)/S46)*100</f>
        <v/>
      </c>
    </row>
    <row r="47">
      <c r="B47" s="24" t="inlineStr">
        <is>
          <t>12/26</t>
        </is>
      </c>
      <c r="C47" s="25" t="n">
        <v>4595</v>
      </c>
      <c r="D47" s="26" t="n">
        <v>2.55</v>
      </c>
      <c r="E47" s="27" t="n">
        <v>2.248</v>
      </c>
      <c r="F47" s="28">
        <f>(1-ABS(D47-E47)/D47)*100</f>
        <v/>
      </c>
      <c r="G47" s="27" t="n">
        <v>0.163</v>
      </c>
      <c r="H47" s="27" t="n">
        <v>0.145</v>
      </c>
      <c r="I47" s="28">
        <f>(1-ABS(G47-H47)/G47)*100</f>
        <v/>
      </c>
      <c r="J47" s="26" t="n">
        <v>0.83</v>
      </c>
      <c r="K47" s="27" t="n">
        <v>0.887</v>
      </c>
      <c r="L47" s="28">
        <f>(1-ABS(J47-K47)/J47)*100</f>
        <v/>
      </c>
      <c r="M47" s="26" t="n">
        <v>0.25</v>
      </c>
      <c r="N47" s="27" t="n">
        <v>0.276</v>
      </c>
      <c r="O47" s="28">
        <f>(1-ABS(M47-N47)/M47)*100</f>
        <v/>
      </c>
      <c r="P47" s="29" t="n">
        <v>0.53</v>
      </c>
      <c r="Q47" s="30" t="n">
        <v>0.626</v>
      </c>
      <c r="R47" s="28">
        <f>(1-ABS(P47-Q47)/P47)*100</f>
        <v/>
      </c>
      <c r="S47" s="31" t="n">
        <v>18</v>
      </c>
      <c r="T47" s="29" t="n">
        <v>9.92</v>
      </c>
      <c r="U47" s="28">
        <f>(1-ABS(S47-T47)/S47)*100</f>
        <v/>
      </c>
    </row>
    <row r="48">
      <c r="B48" s="24" t="inlineStr">
        <is>
          <t>12/27</t>
        </is>
      </c>
      <c r="C48" s="25" t="n">
        <v>3996</v>
      </c>
      <c r="D48" s="26" t="n">
        <v>2.7</v>
      </c>
      <c r="E48" s="27" t="n">
        <v>2.103</v>
      </c>
      <c r="F48" s="28">
        <f>(1-ABS(D48-E48)/D48)*100</f>
        <v/>
      </c>
      <c r="G48" s="27" t="n">
        <v>0.171</v>
      </c>
      <c r="H48" s="27" t="n">
        <v>0.132</v>
      </c>
      <c r="I48" s="28">
        <f>(1-ABS(G48-H48)/G48)*100</f>
        <v/>
      </c>
      <c r="J48" s="26" t="n">
        <v>0.85</v>
      </c>
      <c r="K48" s="27" t="n">
        <v>0.845</v>
      </c>
      <c r="L48" s="28">
        <f>(1-ABS(J48-K48)/J48)*100</f>
        <v/>
      </c>
      <c r="M48" s="26" t="n">
        <v>0.3</v>
      </c>
      <c r="N48" s="27" t="n">
        <v>0.25</v>
      </c>
      <c r="O48" s="28">
        <f>(1-ABS(M48-N48)/M48)*100</f>
        <v/>
      </c>
      <c r="P48" s="29" t="n">
        <v>0.53</v>
      </c>
      <c r="Q48" s="30" t="n">
        <v>0.549</v>
      </c>
      <c r="R48" s="28">
        <f>(1-ABS(P48-Q48)/P48)*100</f>
        <v/>
      </c>
      <c r="S48" s="31" t="n">
        <v>18</v>
      </c>
      <c r="T48" s="29" t="n">
        <v>10.11</v>
      </c>
      <c r="U48" s="28">
        <f>(1-ABS(S48-T48)/S48)*100</f>
        <v/>
      </c>
    </row>
    <row r="49">
      <c r="B49" s="24" t="inlineStr">
        <is>
          <t>12/28A</t>
        </is>
      </c>
      <c r="C49" s="25" t="n">
        <v>4532</v>
      </c>
      <c r="D49" s="26" t="n">
        <v>2.62</v>
      </c>
      <c r="E49" s="27" t="n">
        <v>2.554</v>
      </c>
      <c r="F49" s="28">
        <f>(1-ABS(D49-E49)/D49)*100</f>
        <v/>
      </c>
      <c r="G49" s="27" t="n">
        <v>0.167</v>
      </c>
      <c r="H49" s="27" t="n">
        <v>0.161</v>
      </c>
      <c r="I49" s="28">
        <f>(1-ABS(G49-H49)/G49)*100</f>
        <v/>
      </c>
      <c r="J49" s="26" t="n">
        <v>0.84</v>
      </c>
      <c r="K49" s="27" t="n">
        <v>1.045</v>
      </c>
      <c r="L49" s="28">
        <f>(1-ABS(J49-K49)/J49)*100</f>
        <v/>
      </c>
      <c r="M49" s="26" t="n">
        <v>0.3</v>
      </c>
      <c r="N49" s="27" t="n">
        <v>0.271</v>
      </c>
      <c r="O49" s="28">
        <f>(1-ABS(M49-N49)/M49)*100</f>
        <v/>
      </c>
      <c r="P49" s="29" t="n">
        <v>0.52</v>
      </c>
      <c r="Q49" s="30" t="n">
        <v>0.665</v>
      </c>
      <c r="R49" s="28">
        <f>(1-ABS(P49-Q49)/P49)*100</f>
        <v/>
      </c>
      <c r="S49" s="31" t="n">
        <v>19</v>
      </c>
      <c r="T49" s="29" t="n">
        <v>13.41</v>
      </c>
      <c r="U49" s="28">
        <f>(1-ABS(S49-T49)/S49)*100</f>
        <v/>
      </c>
    </row>
    <row r="50">
      <c r="B50" s="24" t="inlineStr">
        <is>
          <t>12/29A</t>
        </is>
      </c>
      <c r="C50" s="25" t="n">
        <v>4726</v>
      </c>
      <c r="D50" s="26" t="n">
        <v>2.51</v>
      </c>
      <c r="E50" s="27" t="n">
        <v>1.93</v>
      </c>
      <c r="F50" s="28">
        <f>(1-ABS(D50-E50)/D50)*100</f>
        <v/>
      </c>
      <c r="G50" s="27" t="n">
        <v>0.168</v>
      </c>
      <c r="H50" s="27" t="n">
        <v>0.12</v>
      </c>
      <c r="I50" s="28">
        <f>(1-ABS(G50-H50)/G50)*100</f>
        <v/>
      </c>
      <c r="J50" s="26" t="n">
        <v>0.9</v>
      </c>
      <c r="K50" s="27" t="n">
        <v>0.768</v>
      </c>
      <c r="L50" s="28">
        <f>(1-ABS(J50-K50)/J50)*100</f>
        <v/>
      </c>
      <c r="M50" s="26" t="n">
        <v>0.3</v>
      </c>
      <c r="N50" s="27" t="n">
        <v>0.236</v>
      </c>
      <c r="O50" s="28">
        <f>(1-ABS(M50-N50)/M50)*100</f>
        <v/>
      </c>
      <c r="P50" s="29" t="n">
        <v>0.53</v>
      </c>
      <c r="Q50" s="30" t="n">
        <v>0.498</v>
      </c>
      <c r="R50" s="28">
        <f>(1-ABS(P50-Q50)/P50)*100</f>
        <v/>
      </c>
      <c r="S50" s="31" t="n">
        <v>18</v>
      </c>
      <c r="T50" s="29" t="n">
        <v>9.130000000000001</v>
      </c>
      <c r="U50" s="28">
        <f>(1-ABS(S50-T50)/S50)*100</f>
        <v/>
      </c>
    </row>
    <row r="51">
      <c r="B51" s="24" t="inlineStr">
        <is>
          <t>12/30A</t>
        </is>
      </c>
      <c r="C51" s="25" t="n">
        <v>4617</v>
      </c>
      <c r="D51" s="26" t="n">
        <v>2.6</v>
      </c>
      <c r="E51" s="27" t="n">
        <v>2.077</v>
      </c>
      <c r="F51" s="28">
        <f>(1-ABS(D51-E51)/D51)*100</f>
        <v/>
      </c>
      <c r="G51" s="27" t="n">
        <v>0.175</v>
      </c>
      <c r="H51" s="27" t="n">
        <v>0.13</v>
      </c>
      <c r="I51" s="28">
        <f>(1-ABS(G51-H51)/G51)*100</f>
        <v/>
      </c>
      <c r="J51" s="26" t="n">
        <v>0.83</v>
      </c>
      <c r="K51" s="27" t="n">
        <v>0.824</v>
      </c>
      <c r="L51" s="28">
        <f>(1-ABS(J51-K51)/J51)*100</f>
        <v/>
      </c>
      <c r="M51" s="26" t="n">
        <v>0.29</v>
      </c>
      <c r="N51" s="27" t="n">
        <v>0.25</v>
      </c>
      <c r="O51" s="28">
        <f>(1-ABS(M51-N51)/M51)*100</f>
        <v/>
      </c>
      <c r="P51" s="29" t="n">
        <v>0.53</v>
      </c>
      <c r="Q51" s="30" t="n">
        <v>0.536</v>
      </c>
      <c r="R51" s="28">
        <f>(1-ABS(P51-Q51)/P51)*100</f>
        <v/>
      </c>
      <c r="S51" s="31" t="n">
        <v>19</v>
      </c>
      <c r="T51" s="29" t="n">
        <v>10.14</v>
      </c>
      <c r="U51" s="28">
        <f>(1-ABS(S51-T51)/S51)*100</f>
        <v/>
      </c>
    </row>
    <row r="52">
      <c r="B52" s="24" t="inlineStr">
        <is>
          <t>12/31</t>
        </is>
      </c>
      <c r="C52" s="25" t="n">
        <v>4457</v>
      </c>
      <c r="D52" s="26" t="n">
        <v>2.54</v>
      </c>
      <c r="E52" s="27" t="n">
        <v>2.108</v>
      </c>
      <c r="F52" s="28">
        <f>(1-ABS(D52-E52)/D52)*100</f>
        <v/>
      </c>
      <c r="G52" s="27" t="n">
        <v>0.167</v>
      </c>
      <c r="H52" s="27" t="n">
        <v>0.132</v>
      </c>
      <c r="I52" s="28">
        <f>(1-ABS(G52-H52)/G52)*100</f>
        <v/>
      </c>
      <c r="J52" s="26" t="n">
        <v>0.86</v>
      </c>
      <c r="K52" s="27" t="n">
        <v>0.839</v>
      </c>
      <c r="L52" s="28">
        <f>(1-ABS(J52-K52)/J52)*100</f>
        <v/>
      </c>
      <c r="M52" s="26" t="n">
        <v>0.26</v>
      </c>
      <c r="N52" s="27" t="n">
        <v>0.244</v>
      </c>
      <c r="O52" s="28">
        <f>(1-ABS(M52-N52)/M52)*100</f>
        <v/>
      </c>
      <c r="P52" s="29" t="n">
        <v>0.57</v>
      </c>
      <c r="Q52" s="30" t="n">
        <v>0.534</v>
      </c>
      <c r="R52" s="28">
        <f>(1-ABS(P52-Q52)/P52)*100</f>
        <v/>
      </c>
      <c r="S52" s="31" t="n">
        <v>18</v>
      </c>
      <c r="T52" s="29" t="n">
        <v>10.7</v>
      </c>
      <c r="U52" s="28">
        <f>(1-ABS(S52-T52)/S52)*100</f>
        <v/>
      </c>
    </row>
    <row r="53">
      <c r="B53" s="24" t="inlineStr">
        <is>
          <t>12/32</t>
        </is>
      </c>
      <c r="C53" s="25" t="n">
        <v>4181</v>
      </c>
      <c r="D53" s="26" t="n">
        <v>2.5</v>
      </c>
      <c r="E53" s="27" t="n">
        <v>2.495</v>
      </c>
      <c r="F53" s="28">
        <f>(1-ABS(D53-E53)/D53)*100</f>
        <v/>
      </c>
      <c r="G53" s="27" t="n">
        <v>0.168</v>
      </c>
      <c r="H53" s="27" t="n">
        <v>0.157</v>
      </c>
      <c r="I53" s="28">
        <f>(1-ABS(G53-H53)/G53)*100</f>
        <v/>
      </c>
      <c r="J53" s="26" t="n">
        <v>0.86</v>
      </c>
      <c r="K53" s="27" t="n">
        <v>1.021</v>
      </c>
      <c r="L53" s="28">
        <f>(1-ABS(J53-K53)/J53)*100</f>
        <v/>
      </c>
      <c r="M53" s="26" t="n">
        <v>0.26</v>
      </c>
      <c r="N53" s="27" t="n">
        <v>0.263</v>
      </c>
      <c r="O53" s="28">
        <f>(1-ABS(M53-N53)/M53)*100</f>
        <v/>
      </c>
      <c r="P53" s="29" t="n">
        <v>0.54</v>
      </c>
      <c r="Q53" s="30" t="n">
        <v>0.644</v>
      </c>
      <c r="R53" s="28">
        <f>(1-ABS(P53-Q53)/P53)*100</f>
        <v/>
      </c>
      <c r="S53" s="31" t="n">
        <v>18</v>
      </c>
      <c r="T53" s="29" t="n">
        <v>13.28</v>
      </c>
      <c r="U53" s="28">
        <f>(1-ABS(S53-T53)/S53)*100</f>
        <v/>
      </c>
    </row>
    <row r="54">
      <c r="B54" s="24" t="inlineStr">
        <is>
          <t>12/03</t>
        </is>
      </c>
      <c r="C54" s="25" t="n">
        <v>4208</v>
      </c>
      <c r="D54" s="26" t="n">
        <v>2.54</v>
      </c>
      <c r="E54" s="27" t="n">
        <v>1.97</v>
      </c>
      <c r="F54" s="28">
        <f>(1-ABS(D54-E54)/D54)*100</f>
        <v/>
      </c>
      <c r="G54" s="27" t="n">
        <v>0.173</v>
      </c>
      <c r="H54" s="27" t="n">
        <v>0.121</v>
      </c>
      <c r="I54" s="28">
        <f>(1-ABS(G54-H54)/G54)*100</f>
        <v/>
      </c>
      <c r="J54" s="26" t="n">
        <v>0.9</v>
      </c>
      <c r="K54" s="27" t="n">
        <v>0.8070000000000001</v>
      </c>
      <c r="L54" s="28">
        <f>(1-ABS(J54-K54)/J54)*100</f>
        <v/>
      </c>
      <c r="M54" s="26" t="n">
        <v>0.31</v>
      </c>
      <c r="N54" s="27" t="n">
        <v>0.231</v>
      </c>
      <c r="O54" s="28">
        <f>(1-ABS(M54-N54)/M54)*100</f>
        <v/>
      </c>
      <c r="P54" s="29" t="n">
        <v>0.55</v>
      </c>
      <c r="Q54" s="30" t="n">
        <v>0.469</v>
      </c>
      <c r="R54" s="28">
        <f>(1-ABS(P54-Q54)/P54)*100</f>
        <v/>
      </c>
      <c r="S54" s="31" t="n">
        <v>19</v>
      </c>
      <c r="T54" s="29" t="n">
        <v>10.09</v>
      </c>
      <c r="U54" s="28">
        <f>(1-ABS(S54-T54)/S54)*100</f>
        <v/>
      </c>
    </row>
    <row r="55">
      <c r="B55" s="24" t="inlineStr">
        <is>
          <t>12/04</t>
        </is>
      </c>
      <c r="C55" s="25" t="n">
        <v>3439</v>
      </c>
      <c r="D55" s="26" t="n">
        <v>2.59</v>
      </c>
      <c r="E55" s="27" t="n">
        <v>2.445</v>
      </c>
      <c r="F55" s="28">
        <f>(1-ABS(D55-E55)/D55)*100</f>
        <v/>
      </c>
      <c r="G55" s="27" t="n">
        <v>0.171</v>
      </c>
      <c r="H55" s="27" t="n">
        <v>0.155</v>
      </c>
      <c r="I55" s="28">
        <f>(1-ABS(G55-H55)/G55)*100</f>
        <v/>
      </c>
      <c r="J55" s="26" t="n">
        <v>0.86</v>
      </c>
      <c r="K55" s="27" t="n">
        <v>1.021</v>
      </c>
      <c r="L55" s="28">
        <f>(1-ABS(J55-K55)/J55)*100</f>
        <v/>
      </c>
      <c r="M55" s="26" t="n">
        <v>0.3</v>
      </c>
      <c r="N55" s="27" t="n">
        <v>0.27</v>
      </c>
      <c r="O55" s="28">
        <f>(1-ABS(M55-N55)/M55)*100</f>
        <v/>
      </c>
      <c r="P55" s="29" t="n">
        <v>0.46</v>
      </c>
      <c r="Q55" s="30" t="n">
        <v>0.596</v>
      </c>
      <c r="R55" s="28">
        <f>(1-ABS(P55-Q55)/P55)*100</f>
        <v/>
      </c>
      <c r="S55" s="31" t="n">
        <v>17</v>
      </c>
      <c r="T55" s="29" t="n">
        <v>13.36</v>
      </c>
      <c r="U55" s="28">
        <f>(1-ABS(S55-T55)/S55)*100</f>
        <v/>
      </c>
    </row>
    <row r="56">
      <c r="B56" s="24" t="inlineStr">
        <is>
          <t>12/05</t>
        </is>
      </c>
      <c r="C56" s="25" t="n">
        <v>4421</v>
      </c>
      <c r="D56" s="26" t="n">
        <v>2.57</v>
      </c>
      <c r="E56" s="27" t="n">
        <v>2.512</v>
      </c>
      <c r="F56" s="28">
        <f>(1-ABS(D56-E56)/D56)*100</f>
        <v/>
      </c>
      <c r="G56" s="27" t="n">
        <v>0.153</v>
      </c>
      <c r="H56" s="27" t="n">
        <v>0.161</v>
      </c>
      <c r="I56" s="28">
        <f>(1-ABS(G56-H56)/G56)*100</f>
        <v/>
      </c>
      <c r="J56" s="26" t="n">
        <v>0.85</v>
      </c>
      <c r="K56" s="27" t="n">
        <v>1.039</v>
      </c>
      <c r="L56" s="28">
        <f>(1-ABS(J56-K56)/J56)*100</f>
        <v/>
      </c>
      <c r="M56" s="26" t="n">
        <v>0.24</v>
      </c>
      <c r="N56" s="27" t="n">
        <v>0.28</v>
      </c>
      <c r="O56" s="28">
        <f>(1-ABS(M56-N56)/M56)*100</f>
        <v/>
      </c>
      <c r="P56" s="29" t="n">
        <v>0.62</v>
      </c>
      <c r="Q56" s="30" t="n">
        <v>0.62</v>
      </c>
      <c r="R56" s="28">
        <f>(1-ABS(P56-Q56)/P56)*100</f>
        <v/>
      </c>
      <c r="S56" s="31" t="n">
        <v>14</v>
      </c>
      <c r="T56" s="29" t="n">
        <v>13.72</v>
      </c>
      <c r="U56" s="28">
        <f>(1-ABS(S56-T56)/S56)*100</f>
        <v/>
      </c>
    </row>
    <row r="57">
      <c r="B57" s="24" t="inlineStr">
        <is>
          <t>12/06</t>
        </is>
      </c>
      <c r="C57" s="25" t="n">
        <v>4112</v>
      </c>
      <c r="D57" s="26" t="n">
        <v>2.64</v>
      </c>
      <c r="E57" s="27" t="n">
        <v>2.35</v>
      </c>
      <c r="F57" s="28">
        <f>(1-ABS(D57-E57)/D57)*100</f>
        <v/>
      </c>
      <c r="G57" s="27" t="n">
        <v>0.173</v>
      </c>
      <c r="H57" s="27" t="n">
        <v>0.151</v>
      </c>
      <c r="I57" s="28">
        <f>(1-ABS(G57-H57)/G57)*100</f>
        <v/>
      </c>
      <c r="J57" s="26" t="n">
        <v>0.93</v>
      </c>
      <c r="K57" s="27" t="n">
        <v>0.9429999999999999</v>
      </c>
      <c r="L57" s="28">
        <f>(1-ABS(J57-K57)/J57)*100</f>
        <v/>
      </c>
      <c r="M57" s="26" t="n">
        <v>0.27</v>
      </c>
      <c r="N57" s="27" t="n">
        <v>0.283</v>
      </c>
      <c r="O57" s="28">
        <f>(1-ABS(M57-N57)/M57)*100</f>
        <v/>
      </c>
      <c r="P57" s="29" t="n">
        <v>0.53</v>
      </c>
      <c r="Q57" s="30" t="n">
        <v>0.615</v>
      </c>
      <c r="R57" s="28">
        <f>(1-ABS(P57-Q57)/P57)*100</f>
        <v/>
      </c>
      <c r="S57" s="31" t="n">
        <v>19</v>
      </c>
      <c r="T57" s="29" t="n">
        <v>11.82</v>
      </c>
      <c r="U57" s="28">
        <f>(1-ABS(S57-T57)/S57)*100</f>
        <v/>
      </c>
    </row>
    <row r="58">
      <c r="B58" s="24" t="inlineStr">
        <is>
          <t>12/07</t>
        </is>
      </c>
      <c r="C58" s="25" t="n">
        <v>4353</v>
      </c>
      <c r="D58" s="26" t="n">
        <v>2.51</v>
      </c>
      <c r="E58" s="27" t="n">
        <v>2.354</v>
      </c>
      <c r="F58" s="28">
        <f>(1-ABS(D58-E58)/D58)*100</f>
        <v/>
      </c>
      <c r="G58" s="27" t="n">
        <v>0.169</v>
      </c>
      <c r="H58" s="27" t="n">
        <v>0.152</v>
      </c>
      <c r="I58" s="28">
        <f>(1-ABS(G58-H58)/G58)*100</f>
        <v/>
      </c>
      <c r="J58" s="26" t="n">
        <v>0.83</v>
      </c>
      <c r="K58" s="27" t="n">
        <v>0.9419999999999999</v>
      </c>
      <c r="L58" s="28">
        <f>(1-ABS(J58-K58)/J58)*100</f>
        <v/>
      </c>
      <c r="M58" s="26" t="n">
        <v>0.29</v>
      </c>
      <c r="N58" s="27" t="n">
        <v>0.281</v>
      </c>
      <c r="O58" s="28">
        <f>(1-ABS(M58-N58)/M58)*100</f>
        <v/>
      </c>
      <c r="P58" s="29" t="n">
        <v>0.53</v>
      </c>
      <c r="Q58" s="30" t="n">
        <v>0.624</v>
      </c>
      <c r="R58" s="28">
        <f>(1-ABS(P58-Q58)/P58)*100</f>
        <v/>
      </c>
      <c r="S58" s="31" t="n">
        <v>19</v>
      </c>
      <c r="T58" s="29" t="n">
        <v>11.87</v>
      </c>
      <c r="U58" s="28">
        <f>(1-ABS(S58-T58)/S58)*100</f>
        <v/>
      </c>
    </row>
    <row r="59">
      <c r="B59" s="24" t="inlineStr">
        <is>
          <t>12/08</t>
        </is>
      </c>
      <c r="C59" s="25" t="n">
        <v>4913</v>
      </c>
      <c r="D59" s="26" t="n">
        <v>2.58</v>
      </c>
      <c r="E59" s="27" t="n">
        <v>2.375</v>
      </c>
      <c r="F59" s="28">
        <f>(1-ABS(D59-E59)/D59)*100</f>
        <v/>
      </c>
      <c r="G59" s="27" t="n">
        <v>0.163</v>
      </c>
      <c r="H59" s="27" t="n">
        <v>0.153</v>
      </c>
      <c r="I59" s="28">
        <f>(1-ABS(G59-H59)/G59)*100</f>
        <v/>
      </c>
      <c r="J59" s="26" t="n">
        <v>0.84</v>
      </c>
      <c r="K59" s="27" t="n">
        <v>0.957</v>
      </c>
      <c r="L59" s="28">
        <f>(1-ABS(J59-K59)/J59)*100</f>
        <v/>
      </c>
      <c r="M59" s="26" t="n">
        <v>0.27</v>
      </c>
      <c r="N59" s="27" t="n">
        <v>0.271</v>
      </c>
      <c r="O59" s="28">
        <f>(1-ABS(M59-N59)/M59)*100</f>
        <v/>
      </c>
      <c r="P59" s="29" t="n">
        <v>0.44</v>
      </c>
      <c r="Q59" s="30" t="n">
        <v>0.611</v>
      </c>
      <c r="R59" s="28">
        <f>(1-ABS(P59-Q59)/P59)*100</f>
        <v/>
      </c>
      <c r="S59" s="31" t="n">
        <v>18</v>
      </c>
      <c r="T59" s="29" t="n">
        <v>12.47</v>
      </c>
      <c r="U59" s="28">
        <f>(1-ABS(S59-T59)/S59)*100</f>
        <v/>
      </c>
    </row>
    <row r="60">
      <c r="B60" s="24" t="inlineStr">
        <is>
          <t>12/09</t>
        </is>
      </c>
      <c r="C60" s="25" t="n">
        <v>4021</v>
      </c>
      <c r="D60" s="26" t="n">
        <v>2.53</v>
      </c>
      <c r="E60" s="27" t="n">
        <v>2.16</v>
      </c>
      <c r="F60" s="28">
        <f>(1-ABS(D60-E60)/D60)*100</f>
        <v/>
      </c>
      <c r="G60" s="27" t="n">
        <v>0.179</v>
      </c>
      <c r="H60" s="27" t="n">
        <v>0.135</v>
      </c>
      <c r="I60" s="28">
        <f>(1-ABS(G60-H60)/G60)*100</f>
        <v/>
      </c>
      <c r="J60" s="26" t="n">
        <v>0.84</v>
      </c>
      <c r="K60" s="27" t="n">
        <v>0.873</v>
      </c>
      <c r="L60" s="28">
        <f>(1-ABS(J60-K60)/J60)*100</f>
        <v/>
      </c>
      <c r="M60" s="26" t="n">
        <v>0.31</v>
      </c>
      <c r="N60" s="27" t="n">
        <v>0.247</v>
      </c>
      <c r="O60" s="28">
        <f>(1-ABS(M60-N60)/M60)*100</f>
        <v/>
      </c>
      <c r="P60" s="29" t="n">
        <v>0.52</v>
      </c>
      <c r="Q60" s="30" t="n">
        <v>0.532</v>
      </c>
      <c r="R60" s="28">
        <f>(1-ABS(P60-Q60)/P60)*100</f>
        <v/>
      </c>
      <c r="S60" s="31" t="n">
        <v>19</v>
      </c>
      <c r="T60" s="29" t="n">
        <v>11.43</v>
      </c>
      <c r="U60" s="28">
        <f>(1-ABS(S60-T60)/S60)*100</f>
        <v/>
      </c>
    </row>
    <row r="61">
      <c r="B61" s="24" t="inlineStr">
        <is>
          <t>12/10</t>
        </is>
      </c>
      <c r="C61" s="25" t="n">
        <v>2772</v>
      </c>
      <c r="D61" s="26" t="n">
        <v>2.51</v>
      </c>
      <c r="E61" s="27" t="n">
        <v>2.58</v>
      </c>
      <c r="F61" s="28">
        <f>(1-ABS(D61-E61)/D61)*100</f>
        <v/>
      </c>
      <c r="G61" s="27" t="n">
        <v>0.166</v>
      </c>
      <c r="H61" s="27" t="n">
        <v>0.163</v>
      </c>
      <c r="I61" s="28">
        <f>(1-ABS(G61-H61)/G61)*100</f>
        <v/>
      </c>
      <c r="J61" s="26" t="n">
        <v>0.86</v>
      </c>
      <c r="K61" s="27" t="n">
        <v>1.063</v>
      </c>
      <c r="L61" s="28">
        <f>(1-ABS(J61-K61)/J61)*100</f>
        <v/>
      </c>
      <c r="M61" s="26" t="n">
        <v>0.3</v>
      </c>
      <c r="N61" s="27" t="n">
        <v>0.272</v>
      </c>
      <c r="O61" s="28">
        <f>(1-ABS(M61-N61)/M61)*100</f>
        <v/>
      </c>
      <c r="P61" s="29" t="n">
        <v>0.43</v>
      </c>
      <c r="Q61" s="30" t="n">
        <v>0.644</v>
      </c>
      <c r="R61" s="28">
        <f>(1-ABS(P61-Q61)/P61)*100</f>
        <v/>
      </c>
      <c r="S61" s="31" t="n">
        <v>16</v>
      </c>
      <c r="T61" s="29" t="n">
        <v>13.67</v>
      </c>
      <c r="U61" s="28">
        <f>(1-ABS(S61-T61)/S61)*100</f>
        <v/>
      </c>
    </row>
    <row r="62">
      <c r="B62" s="24" t="inlineStr">
        <is>
          <t>12/11</t>
        </is>
      </c>
      <c r="C62" s="25" t="n">
        <v>4908</v>
      </c>
      <c r="D62" s="26" t="n">
        <v>2.61</v>
      </c>
      <c r="E62" s="27" t="n">
        <v>2.227</v>
      </c>
      <c r="F62" s="28">
        <f>(1-ABS(D62-E62)/D62)*100</f>
        <v/>
      </c>
      <c r="G62" s="27" t="n">
        <v>0.168</v>
      </c>
      <c r="H62" s="27" t="n">
        <v>0.139</v>
      </c>
      <c r="I62" s="28">
        <f>(1-ABS(G62-H62)/G62)*100</f>
        <v/>
      </c>
      <c r="J62" s="26" t="n">
        <v>0.87</v>
      </c>
      <c r="K62" s="27" t="n">
        <v>0.907</v>
      </c>
      <c r="L62" s="28">
        <f>(1-ABS(J62-K62)/J62)*100</f>
        <v/>
      </c>
      <c r="M62" s="26" t="n">
        <v>0.3</v>
      </c>
      <c r="N62" s="27" t="n">
        <v>0.258</v>
      </c>
      <c r="O62" s="28">
        <f>(1-ABS(M62-N62)/M62)*100</f>
        <v/>
      </c>
      <c r="P62" s="29" t="n">
        <v>0.52</v>
      </c>
      <c r="Q62" s="30" t="n">
        <v>0.556</v>
      </c>
      <c r="R62" s="28">
        <f>(1-ABS(P62-Q62)/P62)*100</f>
        <v/>
      </c>
      <c r="S62" s="31" t="n">
        <v>19</v>
      </c>
      <c r="T62" s="29" t="n">
        <v>11.75</v>
      </c>
      <c r="U62" s="28">
        <f>(1-ABS(S62-T62)/S62)*100</f>
        <v/>
      </c>
    </row>
    <row r="63">
      <c r="B63" s="24" t="inlineStr">
        <is>
          <t>12/12</t>
        </is>
      </c>
      <c r="C63" s="25" t="n">
        <v>4315</v>
      </c>
      <c r="D63" s="26" t="n">
        <v>2.46</v>
      </c>
      <c r="E63" s="27" t="n">
        <v>2.477</v>
      </c>
      <c r="F63" s="28">
        <f>(1-ABS(D63-E63)/D63)*100</f>
        <v/>
      </c>
      <c r="G63" s="27" t="n">
        <v>0.163</v>
      </c>
      <c r="H63" s="27" t="n">
        <v>0.158</v>
      </c>
      <c r="I63" s="28">
        <f>(1-ABS(G63-H63)/G63)*100</f>
        <v/>
      </c>
      <c r="J63" s="26" t="n">
        <v>0.87</v>
      </c>
      <c r="K63" s="27" t="n">
        <v>1.016</v>
      </c>
      <c r="L63" s="28">
        <f>(1-ABS(J63-K63)/J63)*100</f>
        <v/>
      </c>
      <c r="M63" s="26" t="n">
        <v>0.27</v>
      </c>
      <c r="N63" s="27" t="n">
        <v>0.272</v>
      </c>
      <c r="O63" s="28">
        <f>(1-ABS(M63-N63)/M63)*100</f>
        <v/>
      </c>
      <c r="P63" s="29" t="n">
        <v>0.51</v>
      </c>
      <c r="Q63" s="30" t="n">
        <v>0.624</v>
      </c>
      <c r="R63" s="28">
        <f>(1-ABS(P63-Q63)/P63)*100</f>
        <v/>
      </c>
      <c r="S63" s="31" t="n">
        <v>18</v>
      </c>
      <c r="T63" s="29" t="n">
        <v>13.31</v>
      </c>
      <c r="U63" s="28">
        <f>(1-ABS(S63-T63)/S63)*100</f>
        <v/>
      </c>
    </row>
    <row r="64">
      <c r="B64" s="24" t="inlineStr">
        <is>
          <t>12/13</t>
        </is>
      </c>
      <c r="C64" s="25" t="n">
        <v>3214</v>
      </c>
      <c r="D64" s="26" t="n">
        <v>2.63</v>
      </c>
      <c r="E64" s="27" t="n">
        <v>2.252</v>
      </c>
      <c r="F64" s="28">
        <f>(1-ABS(D64-E64)/D64)*100</f>
        <v/>
      </c>
      <c r="G64" s="27" t="n">
        <v>0.173</v>
      </c>
      <c r="H64" s="27" t="n">
        <v>0.144</v>
      </c>
      <c r="I64" s="28">
        <f>(1-ABS(G64-H64)/G64)*100</f>
        <v/>
      </c>
      <c r="J64" s="26" t="n">
        <v>0.9</v>
      </c>
      <c r="K64" s="27" t="n">
        <v>0.908</v>
      </c>
      <c r="L64" s="28">
        <f>(1-ABS(J64-K64)/J64)*100</f>
        <v/>
      </c>
      <c r="M64" s="26" t="n">
        <v>0.28</v>
      </c>
      <c r="N64" s="27" t="n">
        <v>0.267</v>
      </c>
      <c r="O64" s="28">
        <f>(1-ABS(M64-N64)/M64)*100</f>
        <v/>
      </c>
      <c r="P64" s="29" t="n">
        <v>0.49</v>
      </c>
      <c r="Q64" s="30" t="n">
        <v>0.576</v>
      </c>
      <c r="R64" s="28">
        <f>(1-ABS(P64-Q64)/P64)*100</f>
        <v/>
      </c>
      <c r="S64" s="31" t="n">
        <v>18</v>
      </c>
      <c r="T64" s="29" t="n">
        <v>11.73</v>
      </c>
      <c r="U64" s="28">
        <f>(1-ABS(S64-T64)/S64)*100</f>
        <v/>
      </c>
    </row>
    <row r="65">
      <c r="B65" s="24" t="inlineStr">
        <is>
          <t>12/14</t>
        </is>
      </c>
      <c r="C65" s="25" t="n">
        <v>2491</v>
      </c>
      <c r="D65" s="26" t="n">
        <v>2.53</v>
      </c>
      <c r="E65" s="27" t="n">
        <v>2.484</v>
      </c>
      <c r="F65" s="28">
        <f>(1-ABS(D65-E65)/D65)*100</f>
        <v/>
      </c>
      <c r="G65" s="27" t="n">
        <v>0.164</v>
      </c>
      <c r="H65" s="27" t="n">
        <v>0.16</v>
      </c>
      <c r="I65" s="28">
        <f>(1-ABS(G65-H65)/G65)*100</f>
        <v/>
      </c>
      <c r="J65" s="26" t="n">
        <v>0.85</v>
      </c>
      <c r="K65" s="27" t="n">
        <v>0.998</v>
      </c>
      <c r="L65" s="28">
        <f>(1-ABS(J65-K65)/J65)*100</f>
        <v/>
      </c>
      <c r="M65" s="26" t="n">
        <v>0.27</v>
      </c>
      <c r="N65" s="27" t="n">
        <v>0.289</v>
      </c>
      <c r="O65" s="28">
        <f>(1-ABS(M65-N65)/M65)*100</f>
        <v/>
      </c>
      <c r="P65" s="29" t="n">
        <v>0.58</v>
      </c>
      <c r="Q65" s="30" t="n">
        <v>0.634</v>
      </c>
      <c r="R65" s="28">
        <f>(1-ABS(P65-Q65)/P65)*100</f>
        <v/>
      </c>
      <c r="S65" s="31" t="n">
        <v>18</v>
      </c>
      <c r="T65" s="29" t="n">
        <v>13.72</v>
      </c>
      <c r="U65" s="28">
        <f>(1-ABS(S65-T65)/S65)*100</f>
        <v/>
      </c>
    </row>
    <row r="66">
      <c r="B66" s="24" t="inlineStr">
        <is>
          <t>12/15</t>
        </is>
      </c>
      <c r="C66" s="25" t="n">
        <v>2611</v>
      </c>
      <c r="D66" s="26" t="n">
        <v>2.58</v>
      </c>
      <c r="E66" s="27" t="n">
        <v>2.561</v>
      </c>
      <c r="F66" s="28">
        <f>(1-ABS(D66-E66)/D66)*100</f>
        <v/>
      </c>
      <c r="G66" s="27" t="n">
        <v>0.166</v>
      </c>
      <c r="H66" s="27" t="n">
        <v>0.164</v>
      </c>
      <c r="I66" s="28">
        <f>(1-ABS(G66-H66)/G66)*100</f>
        <v/>
      </c>
      <c r="J66" s="26" t="n">
        <v>0.83</v>
      </c>
      <c r="K66" s="27" t="n">
        <v>1.04</v>
      </c>
      <c r="L66" s="28">
        <f>(1-ABS(J66-K66)/J66)*100</f>
        <v/>
      </c>
      <c r="M66" s="26" t="n">
        <v>0.28</v>
      </c>
      <c r="N66" s="27" t="n">
        <v>0.296</v>
      </c>
      <c r="O66" s="28">
        <f>(1-ABS(M66-N66)/M66)*100</f>
        <v/>
      </c>
      <c r="P66" s="29" t="n">
        <v>0.53</v>
      </c>
      <c r="Q66" s="30" t="n">
        <v>0.646</v>
      </c>
      <c r="R66" s="28">
        <f>(1-ABS(P66-Q66)/P66)*100</f>
        <v/>
      </c>
      <c r="S66" s="31" t="n">
        <v>19</v>
      </c>
      <c r="T66" s="29" t="n">
        <v>13.96</v>
      </c>
      <c r="U66" s="28">
        <f>(1-ABS(S66-T66)/S66)*100</f>
        <v/>
      </c>
    </row>
    <row r="67">
      <c r="B67" s="24" t="inlineStr">
        <is>
          <t>13/01</t>
        </is>
      </c>
      <c r="C67" s="25" t="n">
        <v>4549</v>
      </c>
      <c r="D67" s="26" t="n">
        <v>2.61</v>
      </c>
      <c r="E67" s="27" t="n">
        <v>2.17</v>
      </c>
      <c r="F67" s="28">
        <f>(1-ABS(D67-E67)/D67)*100</f>
        <v/>
      </c>
      <c r="G67" s="27" t="n">
        <v>0.149</v>
      </c>
      <c r="H67" s="27" t="n">
        <v>0.138</v>
      </c>
      <c r="I67" s="28">
        <f>(1-ABS(G67-H67)/G67)*100</f>
        <v/>
      </c>
      <c r="J67" s="26" t="n">
        <v>0.8</v>
      </c>
      <c r="K67" s="27" t="n">
        <v>0.86</v>
      </c>
      <c r="L67" s="28">
        <f>(1-ABS(J67-K67)/J67)*100</f>
        <v/>
      </c>
      <c r="M67" s="26" t="n">
        <v>0.25</v>
      </c>
      <c r="N67" s="27" t="n">
        <v>0.263</v>
      </c>
      <c r="O67" s="28">
        <f>(1-ABS(M67-N67)/M67)*100</f>
        <v/>
      </c>
      <c r="P67" s="29" t="n">
        <v>0.43</v>
      </c>
      <c r="Q67" s="30" t="n">
        <v>0.581</v>
      </c>
      <c r="R67" s="28">
        <f>(1-ABS(P67-Q67)/P67)*100</f>
        <v/>
      </c>
      <c r="S67" s="31" t="n">
        <v>14</v>
      </c>
      <c r="T67" s="29" t="n">
        <v>10.18</v>
      </c>
      <c r="U67" s="28">
        <f>(1-ABS(S67-T67)/S67)*100</f>
        <v/>
      </c>
    </row>
    <row r="68">
      <c r="B68" s="24" t="inlineStr">
        <is>
          <t>13/02</t>
        </is>
      </c>
      <c r="C68" s="25" t="n">
        <v>4272</v>
      </c>
      <c r="D68" s="26" t="n">
        <v>2.65</v>
      </c>
      <c r="E68" s="27" t="n">
        <v>2.327</v>
      </c>
      <c r="F68" s="28">
        <f>(1-ABS(D68-E68)/D68)*100</f>
        <v/>
      </c>
      <c r="G68" s="27" t="n">
        <v>0.165</v>
      </c>
      <c r="H68" s="27" t="n">
        <v>0.147</v>
      </c>
      <c r="I68" s="28">
        <f>(1-ABS(G68-H68)/G68)*100</f>
        <v/>
      </c>
      <c r="J68" s="26" t="n">
        <v>0.85</v>
      </c>
      <c r="K68" s="27" t="n">
        <v>0.9320000000000001</v>
      </c>
      <c r="L68" s="28">
        <f>(1-ABS(J68-K68)/J68)*100</f>
        <v/>
      </c>
      <c r="M68" s="26" t="n">
        <v>0.31</v>
      </c>
      <c r="N68" s="27" t="n">
        <v>0.277</v>
      </c>
      <c r="O68" s="28">
        <f>(1-ABS(M68-N68)/M68)*100</f>
        <v/>
      </c>
      <c r="P68" s="29" t="n">
        <v>0.55</v>
      </c>
      <c r="Q68" s="30" t="n">
        <v>0.618</v>
      </c>
      <c r="R68" s="28">
        <f>(1-ABS(P68-Q68)/P68)*100</f>
        <v/>
      </c>
      <c r="S68" s="31" t="n">
        <v>18</v>
      </c>
      <c r="T68" s="29" t="n">
        <v>11.06</v>
      </c>
      <c r="U68" s="28">
        <f>(1-ABS(S68-T68)/S68)*100</f>
        <v/>
      </c>
    </row>
    <row r="69">
      <c r="B69" s="24" t="inlineStr">
        <is>
          <t>13/03</t>
        </is>
      </c>
      <c r="C69" s="25" t="n">
        <v>3866</v>
      </c>
      <c r="D69" s="26" t="n">
        <v>2.51</v>
      </c>
      <c r="E69" s="27" t="n">
        <v>2.394</v>
      </c>
      <c r="F69" s="28">
        <f>(1-ABS(D69-E69)/D69)*100</f>
        <v/>
      </c>
      <c r="G69" s="27" t="n">
        <v>0.172</v>
      </c>
      <c r="H69" s="27" t="n">
        <v>0.149</v>
      </c>
      <c r="I69" s="28">
        <f>(1-ABS(G69-H69)/G69)*100</f>
        <v/>
      </c>
      <c r="J69" s="26" t="n">
        <v>0.93</v>
      </c>
      <c r="K69" s="27" t="n">
        <v>0.987</v>
      </c>
      <c r="L69" s="28">
        <f>(1-ABS(J69-K69)/J69)*100</f>
        <v/>
      </c>
      <c r="M69" s="26" t="n">
        <v>0.32</v>
      </c>
      <c r="N69" s="27" t="n">
        <v>0.281</v>
      </c>
      <c r="O69" s="28">
        <f>(1-ABS(M69-N69)/M69)*100</f>
        <v/>
      </c>
      <c r="P69" s="29" t="n">
        <v>0.55</v>
      </c>
      <c r="Q69" s="30" t="n">
        <v>0.612</v>
      </c>
      <c r="R69" s="28">
        <f>(1-ABS(P69-Q69)/P69)*100</f>
        <v/>
      </c>
      <c r="S69" s="31" t="n">
        <v>19</v>
      </c>
      <c r="T69" s="29" t="n">
        <v>12.22</v>
      </c>
      <c r="U69" s="28">
        <f>(1-ABS(S69-T69)/S69)*100</f>
        <v/>
      </c>
    </row>
    <row r="70">
      <c r="B70" s="24" t="inlineStr">
        <is>
          <t>13/04</t>
        </is>
      </c>
      <c r="C70" s="25" t="n">
        <v>2908</v>
      </c>
      <c r="D70" s="26" t="n">
        <v>2.62</v>
      </c>
      <c r="E70" s="27" t="n">
        <v>2.415</v>
      </c>
      <c r="F70" s="28">
        <f>(1-ABS(D70-E70)/D70)*100</f>
        <v/>
      </c>
      <c r="G70" s="27" t="n">
        <v>0.165</v>
      </c>
      <c r="H70" s="27" t="n">
        <v>0.151</v>
      </c>
      <c r="I70" s="28">
        <f>(1-ABS(G70-H70)/G70)*100</f>
        <v/>
      </c>
      <c r="J70" s="26" t="n">
        <v>0.84</v>
      </c>
      <c r="K70" s="27" t="n">
        <v>0.992</v>
      </c>
      <c r="L70" s="28">
        <f>(1-ABS(J70-K70)/J70)*100</f>
        <v/>
      </c>
      <c r="M70" s="26" t="n">
        <v>0.28</v>
      </c>
      <c r="N70" s="27" t="n">
        <v>0.284</v>
      </c>
      <c r="O70" s="28">
        <f>(1-ABS(M70-N70)/M70)*100</f>
        <v/>
      </c>
      <c r="P70" s="29" t="n">
        <v>0.44</v>
      </c>
      <c r="Q70" s="30" t="n">
        <v>0.619</v>
      </c>
      <c r="R70" s="28">
        <f>(1-ABS(P70-Q70)/P70)*100</f>
        <v/>
      </c>
      <c r="S70" s="31" t="n">
        <v>16</v>
      </c>
      <c r="T70" s="29" t="n">
        <v>12.64</v>
      </c>
      <c r="U70" s="28">
        <f>(1-ABS(S70-T70)/S70)*100</f>
        <v/>
      </c>
    </row>
    <row r="71">
      <c r="B71" s="24" t="inlineStr">
        <is>
          <t>13/05</t>
        </is>
      </c>
      <c r="C71" s="25" t="n">
        <v>5420</v>
      </c>
      <c r="D71" s="26" t="n">
        <v>2.52</v>
      </c>
      <c r="E71" s="27" t="n">
        <v>2.358</v>
      </c>
      <c r="F71" s="28">
        <f>(1-ABS(D71-E71)/D71)*100</f>
        <v/>
      </c>
      <c r="G71" s="27" t="n">
        <v>0.163</v>
      </c>
      <c r="H71" s="27" t="n">
        <v>0.146</v>
      </c>
      <c r="I71" s="28">
        <f>(1-ABS(G71-H71)/G71)*100</f>
        <v/>
      </c>
      <c r="J71" s="26" t="n">
        <v>0.98</v>
      </c>
      <c r="K71" s="27" t="n">
        <v>0.981</v>
      </c>
      <c r="L71" s="28">
        <f>(1-ABS(J71-K71)/J71)*100</f>
        <v/>
      </c>
      <c r="M71" s="26" t="n">
        <v>0.29</v>
      </c>
      <c r="N71" s="27" t="n">
        <v>0.264</v>
      </c>
      <c r="O71" s="28">
        <f>(1-ABS(M71-N71)/M71)*100</f>
        <v/>
      </c>
      <c r="P71" s="29" t="n">
        <v>0.46</v>
      </c>
      <c r="Q71" s="30" t="n">
        <v>0.58</v>
      </c>
      <c r="R71" s="28">
        <f>(1-ABS(P71-Q71)/P71)*100</f>
        <v/>
      </c>
      <c r="S71" s="31" t="n">
        <v>16</v>
      </c>
      <c r="T71" s="29" t="n">
        <v>12.67</v>
      </c>
      <c r="U71" s="28">
        <f>(1-ABS(S71-T71)/S71)*100</f>
        <v/>
      </c>
    </row>
    <row r="72">
      <c r="B72" s="24" t="inlineStr">
        <is>
          <t>13/06</t>
        </is>
      </c>
      <c r="C72" s="25" t="n">
        <v>4165</v>
      </c>
      <c r="D72" s="26" t="n">
        <v>2.6</v>
      </c>
      <c r="E72" s="27" t="n">
        <v>2.31</v>
      </c>
      <c r="F72" s="28">
        <f>(1-ABS(D72-E72)/D72)*100</f>
        <v/>
      </c>
      <c r="G72" s="27" t="n">
        <v>0.16</v>
      </c>
      <c r="H72" s="27" t="n">
        <v>0.146</v>
      </c>
      <c r="I72" s="28">
        <f>(1-ABS(G72-H72)/G72)*100</f>
        <v/>
      </c>
      <c r="J72" s="26" t="n">
        <v>0.8100000000000001</v>
      </c>
      <c r="K72" s="27" t="n">
        <v>0.9360000000000001</v>
      </c>
      <c r="L72" s="28">
        <f>(1-ABS(J72-K72)/J72)*100</f>
        <v/>
      </c>
      <c r="M72" s="26" t="n">
        <v>0.3</v>
      </c>
      <c r="N72" s="27" t="n">
        <v>0.265</v>
      </c>
      <c r="O72" s="28">
        <f>(1-ABS(M72-N72)/M72)*100</f>
        <v/>
      </c>
      <c r="P72" s="29" t="n">
        <v>0.52</v>
      </c>
      <c r="Q72" s="30" t="n">
        <v>0.589</v>
      </c>
      <c r="R72" s="28">
        <f>(1-ABS(P72-Q72)/P72)*100</f>
        <v/>
      </c>
      <c r="S72" s="31" t="n">
        <v>16</v>
      </c>
      <c r="T72" s="29" t="n">
        <v>11.99</v>
      </c>
      <c r="U72" s="28">
        <f>(1-ABS(S72-T72)/S72)*100</f>
        <v/>
      </c>
    </row>
    <row r="73">
      <c r="B73" s="24" t="inlineStr">
        <is>
          <t>13/07A</t>
        </is>
      </c>
      <c r="C73" s="25" t="n">
        <v>2688</v>
      </c>
      <c r="D73" s="26" t="n">
        <v>2.51</v>
      </c>
      <c r="E73" s="27" t="n">
        <v>2.53</v>
      </c>
      <c r="F73" s="28">
        <f>(1-ABS(D73-E73)/D73)*100</f>
        <v/>
      </c>
      <c r="G73" s="27" t="n">
        <v>0.164</v>
      </c>
      <c r="H73" s="27" t="n">
        <v>0.158</v>
      </c>
      <c r="I73" s="28">
        <f>(1-ABS(G73-H73)/G73)*100</f>
        <v/>
      </c>
      <c r="J73" s="26" t="n">
        <v>0.96</v>
      </c>
      <c r="K73" s="27" t="n">
        <v>1.068</v>
      </c>
      <c r="L73" s="28">
        <f>(1-ABS(J73-K73)/J73)*100</f>
        <v/>
      </c>
      <c r="M73" s="26" t="n">
        <v>0.25</v>
      </c>
      <c r="N73" s="27" t="n">
        <v>0.277</v>
      </c>
      <c r="O73" s="28">
        <f>(1-ABS(M73-N73)/M73)*100</f>
        <v/>
      </c>
      <c r="P73" s="29" t="n">
        <v>0.53</v>
      </c>
      <c r="Q73" s="30" t="n">
        <v>0.637</v>
      </c>
      <c r="R73" s="28">
        <f>(1-ABS(P73-Q73)/P73)*100</f>
        <v/>
      </c>
      <c r="S73" s="31" t="n">
        <v>18</v>
      </c>
      <c r="T73" s="29" t="n">
        <v>12.96</v>
      </c>
      <c r="U73" s="28">
        <f>(1-ABS(S73-T73)/S73)*100</f>
        <v/>
      </c>
    </row>
    <row r="74">
      <c r="B74" s="24" t="inlineStr">
        <is>
          <t>13/08</t>
        </is>
      </c>
      <c r="C74" s="25" t="n">
        <v>3310</v>
      </c>
      <c r="D74" s="26" t="n">
        <v>2.57</v>
      </c>
      <c r="E74" s="27" t="n">
        <v>1.819</v>
      </c>
      <c r="F74" s="28">
        <f>(1-ABS(D74-E74)/D74)*100</f>
        <v/>
      </c>
      <c r="G74" s="27" t="n">
        <v>0.169</v>
      </c>
      <c r="H74" s="27" t="n">
        <v>0.11</v>
      </c>
      <c r="I74" s="28">
        <f>(1-ABS(G74-H74)/G74)*100</f>
        <v/>
      </c>
      <c r="J74" s="26" t="n">
        <v>0.83</v>
      </c>
      <c r="K74" s="27" t="n">
        <v>0.753</v>
      </c>
      <c r="L74" s="28">
        <f>(1-ABS(J74-K74)/J74)*100</f>
        <v/>
      </c>
      <c r="M74" s="26" t="n">
        <v>0.24</v>
      </c>
      <c r="N74" s="27" t="n">
        <v>0.219</v>
      </c>
      <c r="O74" s="28">
        <f>(1-ABS(M74-N74)/M74)*100</f>
        <v/>
      </c>
      <c r="P74" s="29" t="n">
        <v>0.54</v>
      </c>
      <c r="Q74" s="30" t="n">
        <v>0.438</v>
      </c>
      <c r="R74" s="28">
        <f>(1-ABS(P74-Q74)/P74)*100</f>
        <v/>
      </c>
      <c r="S74" s="31" t="n">
        <v>19</v>
      </c>
      <c r="T74" s="29" t="n">
        <v>8.83</v>
      </c>
      <c r="U74" s="28">
        <f>(1-ABS(S74-T74)/S74)*100</f>
        <v/>
      </c>
    </row>
    <row r="75" ht="35" customHeight="1">
      <c r="A75" s="33" t="inlineStr">
        <is>
          <t>AVG ACCURACY</t>
        </is>
      </c>
      <c r="F75" s="34">
        <f>AVERAGE(F7:F74)</f>
        <v/>
      </c>
      <c r="I75" s="34">
        <f>AVERAGE(I7:I74)</f>
        <v/>
      </c>
      <c r="L75" s="34">
        <f>AVERAGE(L7:L74)</f>
        <v/>
      </c>
      <c r="O75" s="34">
        <f>AVERAGE(O7:O74)</f>
        <v/>
      </c>
      <c r="R75" s="34">
        <f>AVERAGE(R7:R74)</f>
        <v/>
      </c>
      <c r="U75" s="35">
        <f>AVERAGE(U7:U74)</f>
        <v/>
      </c>
    </row>
    <row r="76" ht="40" customHeight="1">
      <c r="A76" s="36" t="inlineStr">
        <is>
          <t>Best result closer to 0</t>
        </is>
      </c>
      <c r="B76" s="24" t="inlineStr">
        <is>
          <t>R^2 (Coefficient of determination)</t>
        </is>
      </c>
      <c r="C76" s="37" t="n"/>
      <c r="D76" s="38">
        <f>RSQ(E7:E74, D7:D74)</f>
        <v/>
      </c>
      <c r="E76" s="39" t="n"/>
      <c r="F76" s="37" t="n"/>
      <c r="G76" s="38">
        <f>RSQ(H7:H74, G7:G74)</f>
        <v/>
      </c>
      <c r="H76" s="39" t="n"/>
      <c r="I76" s="37" t="n"/>
      <c r="J76" s="38">
        <f>RSQ(K7:K74, J7:J74)</f>
        <v/>
      </c>
      <c r="K76" s="39" t="n"/>
      <c r="L76" s="37" t="n"/>
      <c r="M76" s="38">
        <f>RSQ(N7:N74, M7:M74)</f>
        <v/>
      </c>
      <c r="N76" s="39" t="n"/>
      <c r="O76" s="37" t="n"/>
      <c r="P76" s="40">
        <f>RSQ(Q7:Q74, P7:P74)</f>
        <v/>
      </c>
      <c r="Q76" s="39" t="n"/>
      <c r="R76" s="37" t="n"/>
      <c r="S76" s="40">
        <f>RSQ(T7:T74, S7:S74)</f>
        <v/>
      </c>
      <c r="T76" s="39" t="n"/>
      <c r="U76" s="37" t="n"/>
    </row>
    <row r="77" ht="39" customHeight="1">
      <c r="A77" s="36" t="inlineStr">
        <is>
          <t>Best result closer to 1</t>
        </is>
      </c>
      <c r="B77" s="24" t="inlineStr">
        <is>
          <t>MAE (Average size of prediction errors)</t>
        </is>
      </c>
      <c r="C77" s="37" t="n"/>
      <c r="D77" s="38">
        <f>SUMPRODUCT(ABS(D7:D74-E7:E74))/COUNT(D7:D74)</f>
        <v/>
      </c>
      <c r="E77" s="39" t="n"/>
      <c r="F77" s="37" t="n"/>
      <c r="G77" s="38">
        <f>SUMPRODUCT(ABS(G7:G74-H7:H74))/COUNT(G7:G74)</f>
        <v/>
      </c>
      <c r="H77" s="39" t="n"/>
      <c r="I77" s="37" t="n"/>
      <c r="J77" s="38">
        <f>SUMPRODUCT(ABS(J7:J74-K7:K74))/COUNT(J7:J74)</f>
        <v/>
      </c>
      <c r="K77" s="39" t="n"/>
      <c r="L77" s="37" t="n"/>
      <c r="M77" s="38">
        <f>SUMPRODUCT(ABS(M7:M74-N7:N74))/COUNT(M7:M74)</f>
        <v/>
      </c>
      <c r="N77" s="39" t="n"/>
      <c r="O77" s="37" t="n"/>
      <c r="P77" s="40">
        <f>SUMPRODUCT(ABS(P7:P74-Q7:Q74))/COUNT(P7:P74)</f>
        <v/>
      </c>
      <c r="Q77" s="39" t="n"/>
      <c r="R77" s="37" t="n"/>
      <c r="S77" s="40">
        <f>SUMPRODUCT(ABS(S7:S74-T7:T74))/COUNT(S7:S74)</f>
        <v/>
      </c>
      <c r="T77" s="39" t="n"/>
      <c r="U77" s="37" t="n"/>
    </row>
    <row r="78" ht="66" customHeight="1">
      <c r="A78" s="36" t="inlineStr">
        <is>
          <t>Best result closer to 1</t>
        </is>
      </c>
      <c r="B78" s="24" t="inlineStr">
        <is>
          <t>RMSE (Prediction error, with larger mistakes penalised more)</t>
        </is>
      </c>
      <c r="C78" s="37" t="n"/>
      <c r="D78" s="38">
        <f>SQRT(SUMXMY2(D7:D74, E7:E74)/COUNT(D7:D74))</f>
        <v/>
      </c>
      <c r="E78" s="39" t="n"/>
      <c r="F78" s="37" t="n"/>
      <c r="G78" s="38">
        <f>SQRT(SUMXMY2(G7:G74, H7:H74)/COUNT(G7:G74))</f>
        <v/>
      </c>
      <c r="H78" s="39" t="n"/>
      <c r="I78" s="37" t="n"/>
      <c r="J78" s="38">
        <f>SQRT(SUMXMY2(J7:J74, K7:K74)/COUNT(J7:J74))</f>
        <v/>
      </c>
      <c r="K78" s="39" t="n"/>
      <c r="L78" s="37" t="n"/>
      <c r="M78" s="38">
        <f>SQRT(SUMXMY2(M7:M74, N7:N74)/COUNT(M7:M74))</f>
        <v/>
      </c>
      <c r="N78" s="39" t="n"/>
      <c r="O78" s="37" t="n"/>
      <c r="P78" s="40">
        <f>SQRT(SUMXMY2(P7:P74, Q7:Q74)/COUNT(P7:P74))</f>
        <v/>
      </c>
      <c r="Q78" s="39" t="n"/>
      <c r="R78" s="37" t="n"/>
      <c r="S78" s="40">
        <f>SQRT(SUMXMY2(S7:S74, T7:T74)/COUNT(S7:S74))</f>
        <v/>
      </c>
      <c r="T78" s="39" t="n"/>
      <c r="U78" s="37" t="n"/>
    </row>
  </sheetData>
  <mergeCells count="31">
    <mergeCell ref="D76:F76"/>
    <mergeCell ref="B4:O4"/>
    <mergeCell ref="G78:I78"/>
    <mergeCell ref="P77:R77"/>
    <mergeCell ref="S78:U78"/>
    <mergeCell ref="D78:F78"/>
    <mergeCell ref="B77:C77"/>
    <mergeCell ref="M77:O77"/>
    <mergeCell ref="G5:I5"/>
    <mergeCell ref="P78:R78"/>
    <mergeCell ref="G76:I76"/>
    <mergeCell ref="M76:O76"/>
    <mergeCell ref="S5:U5"/>
    <mergeCell ref="B78:C78"/>
    <mergeCell ref="S76:U76"/>
    <mergeCell ref="D5:F5"/>
    <mergeCell ref="P5:R5"/>
    <mergeCell ref="J76:L76"/>
    <mergeCell ref="J77:L77"/>
    <mergeCell ref="B5:B6"/>
    <mergeCell ref="P4:U4"/>
    <mergeCell ref="G77:I77"/>
    <mergeCell ref="J5:L5"/>
    <mergeCell ref="P76:R76"/>
    <mergeCell ref="B76:C76"/>
    <mergeCell ref="M5:O5"/>
    <mergeCell ref="J78:L78"/>
    <mergeCell ref="S77:U77"/>
    <mergeCell ref="D77:F77"/>
    <mergeCell ref="M78:O78"/>
    <mergeCell ref="C5:C6"/>
  </mergeCells>
  <conditionalFormatting sqref="F7:F74 I7:I74 L7:L74 O7:O74 R7:R74 U7:U74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5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07/01</t>
        </is>
      </c>
      <c r="C7" s="25" t="n">
        <v>3770</v>
      </c>
      <c r="D7" s="26" t="n">
        <v>2.59</v>
      </c>
      <c r="E7" s="27" t="n">
        <v>2.387</v>
      </c>
      <c r="F7" s="28">
        <f>(1-ABS(D7-E7)/D7)*100</f>
        <v/>
      </c>
      <c r="G7" s="27" t="n">
        <v>0.168</v>
      </c>
      <c r="H7" s="27" t="n">
        <v>0.151</v>
      </c>
      <c r="I7" s="28">
        <f>(1-ABS(G7-H7)/G7)*100</f>
        <v/>
      </c>
      <c r="J7" s="26" t="n">
        <v>0.96</v>
      </c>
      <c r="K7" s="27" t="n">
        <v>0.959</v>
      </c>
      <c r="L7" s="28">
        <f>(1-ABS(J7-K7)/J7)*100</f>
        <v/>
      </c>
      <c r="M7" s="26" t="n">
        <v>0.3</v>
      </c>
      <c r="N7" s="27" t="n">
        <v>0.25</v>
      </c>
      <c r="O7" s="28">
        <f>(1-ABS(M7-N7)/M7)*100</f>
        <v/>
      </c>
      <c r="P7" s="29" t="n">
        <v>0.46</v>
      </c>
      <c r="Q7" s="30" t="n">
        <v>0.622</v>
      </c>
      <c r="R7" s="28">
        <f>(1-ABS(P7-Q7)/P7)*100</f>
        <v/>
      </c>
      <c r="S7" s="31" t="n">
        <v>16</v>
      </c>
      <c r="T7" s="29" t="n">
        <v>12.09</v>
      </c>
      <c r="U7" s="28">
        <f>(1-ABS(S7-T7)/S7)*100</f>
        <v/>
      </c>
    </row>
    <row r="8">
      <c r="B8" s="24" t="inlineStr">
        <is>
          <t>07/04</t>
        </is>
      </c>
      <c r="C8" s="25" t="n">
        <v>6404</v>
      </c>
      <c r="D8" s="26" t="n">
        <v>2.57</v>
      </c>
      <c r="E8" s="27" t="n">
        <v>2.124</v>
      </c>
      <c r="F8" s="28">
        <f>(1-ABS(D8-E8)/D8)*100</f>
        <v/>
      </c>
      <c r="G8" s="27" t="n">
        <v>0.172</v>
      </c>
      <c r="H8" s="27" t="n">
        <v>0.131</v>
      </c>
      <c r="I8" s="28">
        <f>(1-ABS(G8-H8)/G8)*100</f>
        <v/>
      </c>
      <c r="J8" s="26" t="n">
        <v>0.92</v>
      </c>
      <c r="K8" s="27" t="n">
        <v>0.861</v>
      </c>
      <c r="L8" s="28">
        <f>(1-ABS(J8-K8)/J8)*100</f>
        <v/>
      </c>
      <c r="M8" s="26" t="n">
        <v>0.31</v>
      </c>
      <c r="N8" s="27" t="n">
        <v>0.224</v>
      </c>
      <c r="O8" s="28">
        <f>(1-ABS(M8-N8)/M8)*100</f>
        <v/>
      </c>
      <c r="P8" s="29" t="n">
        <v>0.55</v>
      </c>
      <c r="Q8" s="30" t="n">
        <v>0.527</v>
      </c>
      <c r="R8" s="28">
        <f>(1-ABS(P8-Q8)/P8)*100</f>
        <v/>
      </c>
      <c r="S8" s="31" t="n">
        <v>18</v>
      </c>
      <c r="T8" s="29" t="n">
        <v>11.15</v>
      </c>
      <c r="U8" s="28">
        <f>(1-ABS(S8-T8)/S8)*100</f>
        <v/>
      </c>
    </row>
    <row r="9">
      <c r="B9" s="24" t="inlineStr">
        <is>
          <t>07/05</t>
        </is>
      </c>
      <c r="C9" s="25" t="n">
        <v>2076</v>
      </c>
      <c r="D9" s="26" t="n">
        <v>2.59</v>
      </c>
      <c r="E9" s="27" t="n">
        <v>2.507</v>
      </c>
      <c r="F9" s="28">
        <f>(1-ABS(D9-E9)/D9)*100</f>
        <v/>
      </c>
      <c r="G9" s="27" t="n">
        <v>0.179</v>
      </c>
      <c r="H9" s="27" t="n">
        <v>0.16</v>
      </c>
      <c r="I9" s="28">
        <f>(1-ABS(G9-H9)/G9)*100</f>
        <v/>
      </c>
      <c r="J9" s="26" t="n">
        <v>1.09</v>
      </c>
      <c r="K9" s="27" t="n">
        <v>1.013</v>
      </c>
      <c r="L9" s="28">
        <f>(1-ABS(J9-K9)/J9)*100</f>
        <v/>
      </c>
      <c r="M9" s="26" t="n">
        <v>0.32</v>
      </c>
      <c r="N9" s="27" t="n">
        <v>0.246</v>
      </c>
      <c r="O9" s="28">
        <f>(1-ABS(M9-N9)/M9)*100</f>
        <v/>
      </c>
      <c r="P9" s="29" t="n">
        <v>0.4</v>
      </c>
      <c r="Q9" s="30" t="n">
        <v>0.653</v>
      </c>
      <c r="R9" s="28">
        <f>(1-ABS(P9-Q9)/P9)*100</f>
        <v/>
      </c>
      <c r="S9" s="31" t="n">
        <v>16</v>
      </c>
      <c r="T9" s="29" t="n">
        <v>13.34</v>
      </c>
      <c r="U9" s="28">
        <f>(1-ABS(S9-T9)/S9)*100</f>
        <v/>
      </c>
    </row>
    <row r="10">
      <c r="B10" s="24" t="inlineStr">
        <is>
          <t>07/06</t>
        </is>
      </c>
      <c r="C10" s="25" t="n">
        <v>1312</v>
      </c>
      <c r="D10" s="26" t="n">
        <v>2.62</v>
      </c>
      <c r="E10" s="27" t="n">
        <v>2.448</v>
      </c>
      <c r="F10" s="28">
        <f>(1-ABS(D10-E10)/D10)*100</f>
        <v/>
      </c>
      <c r="G10" s="27" t="n">
        <v>0.168</v>
      </c>
      <c r="H10" s="27" t="n">
        <v>0.158</v>
      </c>
      <c r="I10" s="28">
        <f>(1-ABS(G10-H10)/G10)*100</f>
        <v/>
      </c>
      <c r="J10" s="26" t="n">
        <v>0.9399999999999999</v>
      </c>
      <c r="K10" s="27" t="n">
        <v>0.993</v>
      </c>
      <c r="L10" s="28">
        <f>(1-ABS(J10-K10)/J10)*100</f>
        <v/>
      </c>
      <c r="M10" s="26" t="n">
        <v>0.3</v>
      </c>
      <c r="N10" s="27" t="n">
        <v>0.272</v>
      </c>
      <c r="O10" s="28">
        <f>(1-ABS(M10-N10)/M10)*100</f>
        <v/>
      </c>
      <c r="P10" s="29" t="n">
        <v>0.52</v>
      </c>
      <c r="Q10" s="30" t="n">
        <v>0.661</v>
      </c>
      <c r="R10" s="28">
        <f>(1-ABS(P10-Q10)/P10)*100</f>
        <v/>
      </c>
      <c r="S10" s="31" t="n">
        <v>17</v>
      </c>
      <c r="T10" s="29" t="n">
        <v>11.51</v>
      </c>
      <c r="U10" s="28">
        <f>(1-ABS(S10-T10)/S10)*100</f>
        <v/>
      </c>
    </row>
    <row r="11">
      <c r="B11" s="24" t="inlineStr">
        <is>
          <t>07/08</t>
        </is>
      </c>
      <c r="C11" s="25" t="n">
        <v>5326</v>
      </c>
      <c r="D11" s="26" t="n">
        <v>2.73</v>
      </c>
      <c r="E11" s="27" t="n">
        <v>1.955</v>
      </c>
      <c r="F11" s="28">
        <f>(1-ABS(D11-E11)/D11)*100</f>
        <v/>
      </c>
      <c r="G11" s="27" t="n">
        <v>0.176</v>
      </c>
      <c r="H11" s="27" t="n">
        <v>0.124</v>
      </c>
      <c r="I11" s="28">
        <f>(1-ABS(G11-H11)/G11)*100</f>
        <v/>
      </c>
      <c r="J11" s="26" t="n">
        <v>1.11</v>
      </c>
      <c r="K11" s="27" t="n">
        <v>0.751</v>
      </c>
      <c r="L11" s="28">
        <f>(1-ABS(J11-K11)/J11)*100</f>
        <v/>
      </c>
      <c r="M11" s="26" t="n">
        <v>0.34</v>
      </c>
      <c r="N11" s="27" t="n">
        <v>0.238</v>
      </c>
      <c r="O11" s="28">
        <f>(1-ABS(M11-N11)/M11)*100</f>
        <v/>
      </c>
      <c r="P11" s="29" t="n">
        <v>0.41</v>
      </c>
      <c r="Q11" s="30" t="n">
        <v>0.526</v>
      </c>
      <c r="R11" s="28">
        <f>(1-ABS(P11-Q11)/P11)*100</f>
        <v/>
      </c>
      <c r="S11" s="31" t="n">
        <v>16</v>
      </c>
      <c r="T11" s="29" t="n">
        <v>8.57</v>
      </c>
      <c r="U11" s="28">
        <f>(1-ABS(S11-T11)/S11)*100</f>
        <v/>
      </c>
    </row>
    <row r="12">
      <c r="B12" s="24" t="inlineStr">
        <is>
          <t>07/09</t>
        </is>
      </c>
      <c r="C12" s="25" t="n">
        <v>1896</v>
      </c>
      <c r="D12" s="26" t="n">
        <v>2.51</v>
      </c>
      <c r="E12" s="27" t="n">
        <v>2.451</v>
      </c>
      <c r="F12" s="28">
        <f>(1-ABS(D12-E12)/D12)*100</f>
        <v/>
      </c>
      <c r="G12" s="27" t="n">
        <v>0.178</v>
      </c>
      <c r="H12" s="27" t="n">
        <v>0.157</v>
      </c>
      <c r="I12" s="28">
        <f>(1-ABS(G12-H12)/G12)*100</f>
        <v/>
      </c>
      <c r="J12" s="26" t="n">
        <v>0.98</v>
      </c>
      <c r="K12" s="27" t="n">
        <v>0.996</v>
      </c>
      <c r="L12" s="28">
        <f>(1-ABS(J12-K12)/J12)*100</f>
        <v/>
      </c>
      <c r="M12" s="26" t="n">
        <v>0.35</v>
      </c>
      <c r="N12" s="27" t="n">
        <v>0.265</v>
      </c>
      <c r="O12" s="28">
        <f>(1-ABS(M12-N12)/M12)*100</f>
        <v/>
      </c>
      <c r="P12" s="29" t="n">
        <v>0.55</v>
      </c>
      <c r="Q12" s="30" t="n">
        <v>0.643</v>
      </c>
      <c r="R12" s="28">
        <f>(1-ABS(P12-Q12)/P12)*100</f>
        <v/>
      </c>
      <c r="S12" s="31" t="n">
        <v>19</v>
      </c>
      <c r="T12" s="29" t="n">
        <v>12.84</v>
      </c>
      <c r="U12" s="28">
        <f>(1-ABS(S12-T12)/S12)*100</f>
        <v/>
      </c>
    </row>
    <row r="13">
      <c r="B13" s="24" t="inlineStr">
        <is>
          <t>07/10</t>
        </is>
      </c>
      <c r="C13" s="25" t="n">
        <v>3100</v>
      </c>
      <c r="D13" s="26" t="n">
        <v>2.75</v>
      </c>
      <c r="E13" s="27" t="n">
        <v>2.386</v>
      </c>
      <c r="F13" s="28">
        <f>(1-ABS(D13-E13)/D13)*100</f>
        <v/>
      </c>
      <c r="G13" s="27" t="n">
        <v>0.175</v>
      </c>
      <c r="H13" s="27" t="n">
        <v>0.151</v>
      </c>
      <c r="I13" s="28">
        <f>(1-ABS(G13-H13)/G13)*100</f>
        <v/>
      </c>
      <c r="J13" s="26" t="n">
        <v>1.14</v>
      </c>
      <c r="K13" s="27" t="n">
        <v>0.973</v>
      </c>
      <c r="L13" s="28">
        <f>(1-ABS(J13-K13)/J13)*100</f>
        <v/>
      </c>
      <c r="M13" s="26" t="n">
        <v>0.35</v>
      </c>
      <c r="N13" s="27" t="n">
        <v>0.25</v>
      </c>
      <c r="O13" s="28">
        <f>(1-ABS(M13-N13)/M13)*100</f>
        <v/>
      </c>
      <c r="P13" s="29" t="n">
        <v>0.45</v>
      </c>
      <c r="Q13" s="30" t="n">
        <v>0.605</v>
      </c>
      <c r="R13" s="28">
        <f>(1-ABS(P13-Q13)/P13)*100</f>
        <v/>
      </c>
      <c r="S13" s="31" t="n">
        <v>16</v>
      </c>
      <c r="T13" s="29" t="n">
        <v>13.05</v>
      </c>
      <c r="U13" s="28">
        <f>(1-ABS(S13-T13)/S13)*100</f>
        <v/>
      </c>
    </row>
    <row r="14">
      <c r="B14" s="24" t="inlineStr">
        <is>
          <t>07/11</t>
        </is>
      </c>
      <c r="C14" s="25" t="n">
        <v>3089</v>
      </c>
      <c r="D14" s="26" t="n">
        <v>2.66</v>
      </c>
      <c r="E14" s="27" t="n">
        <v>2.452</v>
      </c>
      <c r="F14" s="28">
        <f>(1-ABS(D14-E14)/D14)*100</f>
        <v/>
      </c>
      <c r="G14" s="27" t="n">
        <v>0.176</v>
      </c>
      <c r="H14" s="27" t="n">
        <v>0.156</v>
      </c>
      <c r="I14" s="28">
        <f>(1-ABS(G14-H14)/G14)*100</f>
        <v/>
      </c>
      <c r="J14" s="26" t="n">
        <v>1.08</v>
      </c>
      <c r="K14" s="27" t="n">
        <v>1</v>
      </c>
      <c r="L14" s="28">
        <f>(1-ABS(J14-K14)/J14)*100</f>
        <v/>
      </c>
      <c r="M14" s="26" t="n">
        <v>0.34</v>
      </c>
      <c r="N14" s="27" t="n">
        <v>0.252</v>
      </c>
      <c r="O14" s="28">
        <f>(1-ABS(M14-N14)/M14)*100</f>
        <v/>
      </c>
      <c r="P14" s="29" t="n">
        <v>0.5</v>
      </c>
      <c r="Q14" s="30" t="n">
        <v>0.633</v>
      </c>
      <c r="R14" s="28">
        <f>(1-ABS(P14-Q14)/P14)*100</f>
        <v/>
      </c>
      <c r="S14" s="31" t="n">
        <v>17</v>
      </c>
      <c r="T14" s="29" t="n">
        <v>12.73</v>
      </c>
      <c r="U14" s="28">
        <f>(1-ABS(S14-T14)/S14)*100</f>
        <v/>
      </c>
    </row>
    <row r="15">
      <c r="B15" s="24" t="inlineStr">
        <is>
          <t>07/12</t>
        </is>
      </c>
      <c r="C15" s="25" t="n">
        <v>5726</v>
      </c>
      <c r="D15" s="26" t="n">
        <v>2.65</v>
      </c>
      <c r="E15" s="27" t="n">
        <v>2.303</v>
      </c>
      <c r="F15" s="28">
        <f>(1-ABS(D15-E15)/D15)*100</f>
        <v/>
      </c>
      <c r="G15" s="27" t="n">
        <v>0.178</v>
      </c>
      <c r="H15" s="27" t="n">
        <v>0.145</v>
      </c>
      <c r="I15" s="28">
        <f>(1-ABS(G15-H15)/G15)*100</f>
        <v/>
      </c>
      <c r="J15" s="26" t="n">
        <v>0.9399999999999999</v>
      </c>
      <c r="K15" s="27" t="n">
        <v>0.924</v>
      </c>
      <c r="L15" s="28">
        <f>(1-ABS(J15-K15)/J15)*100</f>
        <v/>
      </c>
      <c r="M15" s="26" t="n">
        <v>0.31</v>
      </c>
      <c r="N15" s="27" t="n">
        <v>0.244</v>
      </c>
      <c r="O15" s="28">
        <f>(1-ABS(M15-N15)/M15)*100</f>
        <v/>
      </c>
      <c r="P15" s="29" t="n">
        <v>0.54</v>
      </c>
      <c r="Q15" s="30" t="n">
        <v>0.604</v>
      </c>
      <c r="R15" s="28">
        <f>(1-ABS(P15-Q15)/P15)*100</f>
        <v/>
      </c>
      <c r="S15" s="31" t="n">
        <v>17</v>
      </c>
      <c r="T15" s="29" t="n">
        <v>11.45</v>
      </c>
      <c r="U15" s="28">
        <f>(1-ABS(S15-T15)/S15)*100</f>
        <v/>
      </c>
    </row>
    <row r="16">
      <c r="B16" s="24" t="inlineStr">
        <is>
          <t>07/13</t>
        </is>
      </c>
      <c r="C16" s="25" t="n">
        <v>4491</v>
      </c>
      <c r="D16" s="26" t="n">
        <v>2.65</v>
      </c>
      <c r="E16" s="27" t="n">
        <v>2.545</v>
      </c>
      <c r="F16" s="28">
        <f>(1-ABS(D16-E16)/D16)*100</f>
        <v/>
      </c>
      <c r="G16" s="27" t="n">
        <v>0.17</v>
      </c>
      <c r="H16" s="27" t="n">
        <v>0.162</v>
      </c>
      <c r="I16" s="28">
        <f>(1-ABS(G16-H16)/G16)*100</f>
        <v/>
      </c>
      <c r="J16" s="26" t="n">
        <v>0.93</v>
      </c>
      <c r="K16" s="27" t="n">
        <v>1.052</v>
      </c>
      <c r="L16" s="28">
        <f>(1-ABS(J16-K16)/J16)*100</f>
        <v/>
      </c>
      <c r="M16" s="26" t="n">
        <v>0.28</v>
      </c>
      <c r="N16" s="27" t="n">
        <v>0.28</v>
      </c>
      <c r="O16" s="28">
        <f>(1-ABS(M16-N16)/M16)*100</f>
        <v/>
      </c>
      <c r="P16" s="29" t="n">
        <v>0.42</v>
      </c>
      <c r="Q16" s="30" t="n">
        <v>0.6899999999999999</v>
      </c>
      <c r="R16" s="28">
        <f>(1-ABS(P16-Q16)/P16)*100</f>
        <v/>
      </c>
      <c r="S16" s="31" t="n">
        <v>15</v>
      </c>
      <c r="T16" s="29" t="n">
        <v>11.42</v>
      </c>
      <c r="U16" s="28">
        <f>(1-ABS(S16-T16)/S16)*100</f>
        <v/>
      </c>
    </row>
    <row r="17" ht="40" customHeight="1">
      <c r="A17" s="32" t="inlineStr">
        <is>
          <t>Best result closer to 1</t>
        </is>
      </c>
      <c r="B17" s="24" t="inlineStr">
        <is>
          <t>07/14</t>
        </is>
      </c>
      <c r="C17" s="25" t="n">
        <v>2282</v>
      </c>
      <c r="D17" s="26" t="n">
        <v>2.63</v>
      </c>
      <c r="E17" s="27" t="n">
        <v>2.292</v>
      </c>
      <c r="F17" s="28">
        <f>(1-ABS(D17-E17)/D17)*100</f>
        <v/>
      </c>
      <c r="G17" s="27" t="n">
        <v>0.179</v>
      </c>
      <c r="H17" s="27" t="n">
        <v>0.144</v>
      </c>
      <c r="I17" s="28">
        <f>(1-ABS(G17-H17)/G17)*100</f>
        <v/>
      </c>
      <c r="J17" s="26" t="n">
        <v>1.01</v>
      </c>
      <c r="K17" s="27" t="n">
        <v>0.93</v>
      </c>
      <c r="L17" s="28">
        <f>(1-ABS(J17-K17)/J17)*100</f>
        <v/>
      </c>
      <c r="M17" s="26" t="n">
        <v>0.31</v>
      </c>
      <c r="N17" s="27" t="n">
        <v>0.265</v>
      </c>
      <c r="O17" s="28">
        <f>(1-ABS(M17-N17)/M17)*100</f>
        <v/>
      </c>
      <c r="P17" s="29" t="n">
        <v>0.47</v>
      </c>
      <c r="Q17" s="30" t="n">
        <v>0.607</v>
      </c>
      <c r="R17" s="28">
        <f>(1-ABS(P17-Q17)/P17)*100</f>
        <v/>
      </c>
      <c r="S17" s="31" t="n">
        <v>14</v>
      </c>
      <c r="T17" s="29" t="n">
        <v>10.7</v>
      </c>
      <c r="U17" s="28">
        <f>(1-ABS(S17-T17)/S17)*100</f>
        <v/>
      </c>
    </row>
    <row r="18" ht="39" customHeight="1">
      <c r="A18" s="32" t="inlineStr">
        <is>
          <t>Best result closer to 0</t>
        </is>
      </c>
      <c r="B18" s="24" t="inlineStr">
        <is>
          <t>08/01</t>
        </is>
      </c>
      <c r="C18" s="25" t="n">
        <v>4833</v>
      </c>
      <c r="D18" s="26" t="n">
        <v>2.75</v>
      </c>
      <c r="E18" s="27" t="n">
        <v>1.898</v>
      </c>
      <c r="F18" s="28">
        <f>(1-ABS(D18-E18)/D18)*100</f>
        <v/>
      </c>
      <c r="G18" s="27" t="n">
        <v>0.156</v>
      </c>
      <c r="H18" s="27" t="n">
        <v>0.116</v>
      </c>
      <c r="I18" s="28">
        <f>(1-ABS(G18-H18)/G18)*100</f>
        <v/>
      </c>
      <c r="J18" s="26" t="n">
        <v>0.91</v>
      </c>
      <c r="K18" s="27" t="n">
        <v>0.727</v>
      </c>
      <c r="L18" s="28">
        <f>(1-ABS(J18-K18)/J18)*100</f>
        <v/>
      </c>
      <c r="M18" s="26" t="n">
        <v>0.26</v>
      </c>
      <c r="N18" s="27" t="n">
        <v>0.226</v>
      </c>
      <c r="O18" s="28">
        <f>(1-ABS(M18-N18)/M18)*100</f>
        <v/>
      </c>
      <c r="P18" s="29" t="n">
        <v>0.49</v>
      </c>
      <c r="Q18" s="30" t="n">
        <v>0.48</v>
      </c>
      <c r="R18" s="28">
        <f>(1-ABS(P18-Q18)/P18)*100</f>
        <v/>
      </c>
      <c r="S18" s="31" t="n">
        <v>13</v>
      </c>
      <c r="T18" s="29" t="n">
        <v>8.75</v>
      </c>
      <c r="U18" s="28">
        <f>(1-ABS(S18-T18)/S18)*100</f>
        <v/>
      </c>
    </row>
    <row r="19" ht="66" customHeight="1">
      <c r="A19" s="32" t="inlineStr">
        <is>
          <t>Best result closer to 1</t>
        </is>
      </c>
      <c r="B19" s="24" t="inlineStr">
        <is>
          <t>08/02</t>
        </is>
      </c>
      <c r="C19" s="25" t="n">
        <v>6142</v>
      </c>
      <c r="D19" s="26" t="n">
        <v>2.7</v>
      </c>
      <c r="E19" s="27" t="n">
        <v>2.312</v>
      </c>
      <c r="F19" s="28">
        <f>(1-ABS(D19-E19)/D19)*100</f>
        <v/>
      </c>
      <c r="G19" s="27" t="n">
        <v>0.148</v>
      </c>
      <c r="H19" s="27" t="n">
        <v>0.147</v>
      </c>
      <c r="I19" s="28">
        <f>(1-ABS(G19-H19)/G19)*100</f>
        <v/>
      </c>
      <c r="J19" s="26" t="n">
        <v>0.86</v>
      </c>
      <c r="K19" s="27" t="n">
        <v>0.924</v>
      </c>
      <c r="L19" s="28">
        <f>(1-ABS(J19-K19)/J19)*100</f>
        <v/>
      </c>
      <c r="M19" s="26" t="n">
        <v>0.25</v>
      </c>
      <c r="N19" s="27" t="n">
        <v>0.262</v>
      </c>
      <c r="O19" s="28">
        <f>(1-ABS(M19-N19)/M19)*100</f>
        <v/>
      </c>
      <c r="P19" s="29" t="n">
        <v>0.58</v>
      </c>
      <c r="Q19" s="30" t="n">
        <v>0.629</v>
      </c>
      <c r="R19" s="28">
        <f>(1-ABS(P19-Q19)/P19)*100</f>
        <v/>
      </c>
      <c r="S19" s="31" t="n">
        <v>12</v>
      </c>
      <c r="T19" s="29" t="n">
        <v>10.14</v>
      </c>
      <c r="U19" s="28">
        <f>(1-ABS(S19-T19)/S19)*100</f>
        <v/>
      </c>
    </row>
    <row r="20">
      <c r="B20" s="24" t="inlineStr">
        <is>
          <t>08/03</t>
        </is>
      </c>
      <c r="C20" s="25" t="n">
        <v>5309</v>
      </c>
      <c r="D20" s="26" t="n">
        <v>2.57</v>
      </c>
      <c r="E20" s="27" t="n">
        <v>1.91</v>
      </c>
      <c r="F20" s="28">
        <f>(1-ABS(D20-E20)/D20)*100</f>
        <v/>
      </c>
      <c r="G20" s="27" t="n">
        <v>0.157</v>
      </c>
      <c r="H20" s="27" t="n">
        <v>0.12</v>
      </c>
      <c r="I20" s="28">
        <f>(1-ABS(G20-H20)/G20)*100</f>
        <v/>
      </c>
      <c r="J20" s="26" t="n">
        <v>0.92</v>
      </c>
      <c r="K20" s="27" t="n">
        <v>0.727</v>
      </c>
      <c r="L20" s="28">
        <f>(1-ABS(J20-K20)/J20)*100</f>
        <v/>
      </c>
      <c r="M20" s="26" t="n">
        <v>0.29</v>
      </c>
      <c r="N20" s="27" t="n">
        <v>0.237</v>
      </c>
      <c r="O20" s="28">
        <f>(1-ABS(M20-N20)/M20)*100</f>
        <v/>
      </c>
      <c r="P20" s="29" t="n">
        <v>0.45</v>
      </c>
      <c r="Q20" s="30" t="n">
        <v>0.511</v>
      </c>
      <c r="R20" s="28">
        <f>(1-ABS(P20-Q20)/P20)*100</f>
        <v/>
      </c>
      <c r="S20" s="31" t="n">
        <v>14</v>
      </c>
      <c r="T20" s="29" t="n">
        <v>8.1</v>
      </c>
      <c r="U20" s="28">
        <f>(1-ABS(S20-T20)/S20)*100</f>
        <v/>
      </c>
    </row>
    <row r="21">
      <c r="B21" s="24" t="inlineStr">
        <is>
          <t>08/04</t>
        </is>
      </c>
      <c r="C21" s="25" t="n">
        <v>5490</v>
      </c>
      <c r="D21" s="26" t="n">
        <v>2.68</v>
      </c>
      <c r="E21" s="27" t="n">
        <v>2.172</v>
      </c>
      <c r="F21" s="28">
        <f>(1-ABS(D21-E21)/D21)*100</f>
        <v/>
      </c>
      <c r="G21" s="27" t="n">
        <v>0.164</v>
      </c>
      <c r="H21" s="27" t="n">
        <v>0.137</v>
      </c>
      <c r="I21" s="28">
        <f>(1-ABS(G21-H21)/G21)*100</f>
        <v/>
      </c>
      <c r="J21" s="26" t="n">
        <v>0.93</v>
      </c>
      <c r="K21" s="27" t="n">
        <v>0.864</v>
      </c>
      <c r="L21" s="28">
        <f>(1-ABS(J21-K21)/J21)*100</f>
        <v/>
      </c>
      <c r="M21" s="26" t="n">
        <v>0.31</v>
      </c>
      <c r="N21" s="27" t="n">
        <v>0.245</v>
      </c>
      <c r="O21" s="28">
        <f>(1-ABS(M21-N21)/M21)*100</f>
        <v/>
      </c>
      <c r="P21" s="29" t="n">
        <v>0.43</v>
      </c>
      <c r="Q21" s="30" t="n">
        <v>0.569</v>
      </c>
      <c r="R21" s="28">
        <f>(1-ABS(P21-Q21)/P21)*100</f>
        <v/>
      </c>
      <c r="S21" s="31" t="n">
        <v>14</v>
      </c>
      <c r="T21" s="29" t="n">
        <v>10.43</v>
      </c>
      <c r="U21" s="28">
        <f>(1-ABS(S21-T21)/S21)*100</f>
        <v/>
      </c>
    </row>
    <row r="22">
      <c r="B22" s="24" t="inlineStr">
        <is>
          <t>08/05</t>
        </is>
      </c>
      <c r="C22" s="25" t="n">
        <v>5152</v>
      </c>
      <c r="D22" s="26" t="n">
        <v>2.63</v>
      </c>
      <c r="E22" s="27" t="n">
        <v>2.55</v>
      </c>
      <c r="F22" s="28">
        <f>(1-ABS(D22-E22)/D22)*100</f>
        <v/>
      </c>
      <c r="G22" s="27" t="n">
        <v>0.167</v>
      </c>
      <c r="H22" s="27" t="n">
        <v>0.162</v>
      </c>
      <c r="I22" s="28">
        <f>(1-ABS(G22-H22)/G22)*100</f>
        <v/>
      </c>
      <c r="J22" s="26" t="n">
        <v>0.98</v>
      </c>
      <c r="K22" s="27" t="n">
        <v>1.073</v>
      </c>
      <c r="L22" s="28">
        <f>(1-ABS(J22-K22)/J22)*100</f>
        <v/>
      </c>
      <c r="M22" s="26" t="n">
        <v>0.31</v>
      </c>
      <c r="N22" s="27" t="n">
        <v>0.263</v>
      </c>
      <c r="O22" s="28">
        <f>(1-ABS(M22-N22)/M22)*100</f>
        <v/>
      </c>
      <c r="P22" s="29" t="n">
        <v>0.59</v>
      </c>
      <c r="Q22" s="30" t="n">
        <v>0.666</v>
      </c>
      <c r="R22" s="28">
        <f>(1-ABS(P22-Q22)/P22)*100</f>
        <v/>
      </c>
      <c r="S22" s="31" t="n">
        <v>14</v>
      </c>
      <c r="T22" s="29" t="n">
        <v>12.5</v>
      </c>
      <c r="U22" s="28">
        <f>(1-ABS(S22-T22)/S22)*100</f>
        <v/>
      </c>
    </row>
    <row r="23">
      <c r="B23" s="24" t="inlineStr">
        <is>
          <t>08/06</t>
        </is>
      </c>
      <c r="C23" s="25" t="n">
        <v>6461</v>
      </c>
      <c r="D23" s="26" t="n">
        <v>2.57</v>
      </c>
      <c r="E23" s="27" t="n">
        <v>2.246</v>
      </c>
      <c r="F23" s="28">
        <f>(1-ABS(D23-E23)/D23)*100</f>
        <v/>
      </c>
      <c r="G23" s="27" t="n">
        <v>0.161</v>
      </c>
      <c r="H23" s="27" t="n">
        <v>0.142</v>
      </c>
      <c r="I23" s="28">
        <f>(1-ABS(G23-H23)/G23)*100</f>
        <v/>
      </c>
      <c r="J23" s="26" t="n">
        <v>0.95</v>
      </c>
      <c r="K23" s="27" t="n">
        <v>0.896</v>
      </c>
      <c r="L23" s="28">
        <f>(1-ABS(J23-K23)/J23)*100</f>
        <v/>
      </c>
      <c r="M23" s="26" t="n">
        <v>0.29</v>
      </c>
      <c r="N23" s="27" t="n">
        <v>0.26</v>
      </c>
      <c r="O23" s="28">
        <f>(1-ABS(M23-N23)/M23)*100</f>
        <v/>
      </c>
      <c r="P23" s="29" t="n">
        <v>0.43</v>
      </c>
      <c r="Q23" s="30" t="n">
        <v>0.602</v>
      </c>
      <c r="R23" s="28">
        <f>(1-ABS(P23-Q23)/P23)*100</f>
        <v/>
      </c>
      <c r="S23" s="31" t="n">
        <v>13</v>
      </c>
      <c r="T23" s="29" t="n">
        <v>10.15</v>
      </c>
      <c r="U23" s="28">
        <f>(1-ABS(S23-T23)/S23)*100</f>
        <v/>
      </c>
    </row>
    <row r="24">
      <c r="B24" s="24" t="inlineStr">
        <is>
          <t>08/07</t>
        </is>
      </c>
      <c r="C24" s="25" t="n">
        <v>3909</v>
      </c>
      <c r="D24" s="26" t="n">
        <v>2.71</v>
      </c>
      <c r="E24" s="27" t="n">
        <v>2.095</v>
      </c>
      <c r="F24" s="28">
        <f>(1-ABS(D24-E24)/D24)*100</f>
        <v/>
      </c>
      <c r="G24" s="27" t="n">
        <v>0.164</v>
      </c>
      <c r="H24" s="27" t="n">
        <v>0.133</v>
      </c>
      <c r="I24" s="28">
        <f>(1-ABS(G24-H24)/G24)*100</f>
        <v/>
      </c>
      <c r="J24" s="26" t="n">
        <v>0.9399999999999999</v>
      </c>
      <c r="K24" s="27" t="n">
        <v>0.8179999999999999</v>
      </c>
      <c r="L24" s="28">
        <f>(1-ABS(J24-K24)/J24)*100</f>
        <v/>
      </c>
      <c r="M24" s="26" t="n">
        <v>0.29</v>
      </c>
      <c r="N24" s="27" t="n">
        <v>0.246</v>
      </c>
      <c r="O24" s="28">
        <f>(1-ABS(M24-N24)/M24)*100</f>
        <v/>
      </c>
      <c r="P24" s="29" t="n">
        <v>0.44</v>
      </c>
      <c r="Q24" s="30" t="n">
        <v>0.5610000000000001</v>
      </c>
      <c r="R24" s="28">
        <f>(1-ABS(P24-Q24)/P24)*100</f>
        <v/>
      </c>
      <c r="S24" s="31" t="n">
        <v>14</v>
      </c>
      <c r="T24" s="29" t="n">
        <v>9.470000000000001</v>
      </c>
      <c r="U24" s="28">
        <f>(1-ABS(S24-T24)/S24)*100</f>
        <v/>
      </c>
    </row>
    <row r="25">
      <c r="B25" s="24" t="inlineStr">
        <is>
          <t>08/08</t>
        </is>
      </c>
      <c r="C25" s="25" t="n">
        <v>3953</v>
      </c>
      <c r="D25" s="26" t="n">
        <v>2.61</v>
      </c>
      <c r="E25" s="27" t="n">
        <v>2.427</v>
      </c>
      <c r="F25" s="28">
        <f>(1-ABS(D25-E25)/D25)*100</f>
        <v/>
      </c>
      <c r="G25" s="27" t="n">
        <v>0.161</v>
      </c>
      <c r="H25" s="27" t="n">
        <v>0.153</v>
      </c>
      <c r="I25" s="28">
        <f>(1-ABS(G25-H25)/G25)*100</f>
        <v/>
      </c>
      <c r="J25" s="26" t="n">
        <v>0.96</v>
      </c>
      <c r="K25" s="27" t="n">
        <v>0.997</v>
      </c>
      <c r="L25" s="28">
        <f>(1-ABS(J25-K25)/J25)*100</f>
        <v/>
      </c>
      <c r="M25" s="26" t="n">
        <v>0.3</v>
      </c>
      <c r="N25" s="27" t="n">
        <v>0.254</v>
      </c>
      <c r="O25" s="28">
        <f>(1-ABS(M25-N25)/M25)*100</f>
        <v/>
      </c>
      <c r="P25" s="29" t="n">
        <v>0.44</v>
      </c>
      <c r="Q25" s="30" t="n">
        <v>0.627</v>
      </c>
      <c r="R25" s="28">
        <f>(1-ABS(P25-Q25)/P25)*100</f>
        <v/>
      </c>
      <c r="S25" s="31" t="n">
        <v>14</v>
      </c>
      <c r="T25" s="29" t="n">
        <v>12.26</v>
      </c>
      <c r="U25" s="28">
        <f>(1-ABS(S25-T25)/S25)*100</f>
        <v/>
      </c>
    </row>
    <row r="26">
      <c r="B26" s="24" t="inlineStr">
        <is>
          <t>08/09</t>
        </is>
      </c>
      <c r="C26" s="25" t="n">
        <v>6355</v>
      </c>
      <c r="D26" s="26" t="n">
        <v>2.63</v>
      </c>
      <c r="E26" s="27" t="n">
        <v>2.318</v>
      </c>
      <c r="F26" s="28">
        <f>(1-ABS(D26-E26)/D26)*100</f>
        <v/>
      </c>
      <c r="G26" s="27" t="n">
        <v>0.164</v>
      </c>
      <c r="H26" s="27" t="n">
        <v>0.148</v>
      </c>
      <c r="I26" s="28">
        <f>(1-ABS(G26-H26)/G26)*100</f>
        <v/>
      </c>
      <c r="J26" s="26" t="n">
        <v>0.99</v>
      </c>
      <c r="K26" s="27" t="n">
        <v>0.929</v>
      </c>
      <c r="L26" s="28">
        <f>(1-ABS(J26-K26)/J26)*100</f>
        <v/>
      </c>
      <c r="M26" s="26" t="n">
        <v>0.32</v>
      </c>
      <c r="N26" s="27" t="n">
        <v>0.259</v>
      </c>
      <c r="O26" s="28">
        <f>(1-ABS(M26-N26)/M26)*100</f>
        <v/>
      </c>
      <c r="P26" s="29" t="n">
        <v>0.55</v>
      </c>
      <c r="Q26" s="30" t="n">
        <v>0.61</v>
      </c>
      <c r="R26" s="28">
        <f>(1-ABS(P26-Q26)/P26)*100</f>
        <v/>
      </c>
      <c r="S26" s="31" t="n">
        <v>15</v>
      </c>
      <c r="T26" s="29" t="n">
        <v>11.26</v>
      </c>
      <c r="U26" s="28">
        <f>(1-ABS(S26-T26)/S26)*100</f>
        <v/>
      </c>
    </row>
    <row r="27">
      <c r="B27" s="24" t="inlineStr">
        <is>
          <t>08/10</t>
        </is>
      </c>
      <c r="C27" s="25" t="n">
        <v>3120</v>
      </c>
      <c r="D27" s="26" t="n">
        <v>2.7</v>
      </c>
      <c r="E27" s="27" t="n">
        <v>2.213</v>
      </c>
      <c r="F27" s="28">
        <f>(1-ABS(D27-E27)/D27)*100</f>
        <v/>
      </c>
      <c r="G27" s="27" t="n">
        <v>0.16</v>
      </c>
      <c r="H27" s="27" t="n">
        <v>0.141</v>
      </c>
      <c r="I27" s="28">
        <f>(1-ABS(G27-H27)/G27)*100</f>
        <v/>
      </c>
      <c r="J27" s="26" t="n">
        <v>0.86</v>
      </c>
      <c r="K27" s="27" t="n">
        <v>0.88</v>
      </c>
      <c r="L27" s="28">
        <f>(1-ABS(J27-K27)/J27)*100</f>
        <v/>
      </c>
      <c r="M27" s="26" t="n">
        <v>0.27</v>
      </c>
      <c r="N27" s="27" t="n">
        <v>0.247</v>
      </c>
      <c r="O27" s="28">
        <f>(1-ABS(M27-N27)/M27)*100</f>
        <v/>
      </c>
      <c r="P27" s="29" t="n">
        <v>0.42</v>
      </c>
      <c r="Q27" s="30" t="n">
        <v>0.596</v>
      </c>
      <c r="R27" s="28">
        <f>(1-ABS(P27-Q27)/P27)*100</f>
        <v/>
      </c>
      <c r="S27" s="31" t="n">
        <v>17</v>
      </c>
      <c r="T27" s="29" t="n">
        <v>10.21</v>
      </c>
      <c r="U27" s="28">
        <f>(1-ABS(S27-T27)/S27)*100</f>
        <v/>
      </c>
    </row>
    <row r="28">
      <c r="B28" s="24" t="inlineStr">
        <is>
          <t>08/11</t>
        </is>
      </c>
      <c r="C28" s="25" t="n">
        <v>3388</v>
      </c>
      <c r="D28" s="26" t="n">
        <v>2.54</v>
      </c>
      <c r="E28" s="27" t="n">
        <v>2.459</v>
      </c>
      <c r="F28" s="28">
        <f>(1-ABS(D28-E28)/D28)*100</f>
        <v/>
      </c>
      <c r="G28" s="27" t="n">
        <v>0.162</v>
      </c>
      <c r="H28" s="27" t="n">
        <v>0.157</v>
      </c>
      <c r="I28" s="28">
        <f>(1-ABS(G28-H28)/G28)*100</f>
        <v/>
      </c>
      <c r="J28" s="26" t="n">
        <v>0.93</v>
      </c>
      <c r="K28" s="27" t="n">
        <v>0.998</v>
      </c>
      <c r="L28" s="28">
        <f>(1-ABS(J28-K28)/J28)*100</f>
        <v/>
      </c>
      <c r="M28" s="26" t="n">
        <v>0.29</v>
      </c>
      <c r="N28" s="27" t="n">
        <v>0.274</v>
      </c>
      <c r="O28" s="28">
        <f>(1-ABS(M28-N28)/M28)*100</f>
        <v/>
      </c>
      <c r="P28" s="29" t="n">
        <v>0.42</v>
      </c>
      <c r="Q28" s="30" t="n">
        <v>0.655</v>
      </c>
      <c r="R28" s="28">
        <f>(1-ABS(P28-Q28)/P28)*100</f>
        <v/>
      </c>
      <c r="S28" s="31" t="n">
        <v>15</v>
      </c>
      <c r="T28" s="29" t="n">
        <v>11.91</v>
      </c>
      <c r="U28" s="28">
        <f>(1-ABS(S28-T28)/S28)*100</f>
        <v/>
      </c>
    </row>
    <row r="29">
      <c r="B29" s="24" t="inlineStr">
        <is>
          <t>08/12</t>
        </is>
      </c>
      <c r="C29" s="25" t="n">
        <v>3411</v>
      </c>
      <c r="D29" s="26" t="n">
        <v>2.63</v>
      </c>
      <c r="E29" s="27" t="n">
        <v>2.325</v>
      </c>
      <c r="F29" s="28">
        <f>(1-ABS(D29-E29)/D29)*100</f>
        <v/>
      </c>
      <c r="G29" s="27" t="n">
        <v>0.148</v>
      </c>
      <c r="H29" s="27" t="n">
        <v>0.149</v>
      </c>
      <c r="I29" s="28">
        <f>(1-ABS(G29-H29)/G29)*100</f>
        <v/>
      </c>
      <c r="J29" s="26" t="n">
        <v>0.89</v>
      </c>
      <c r="K29" s="27" t="n">
        <v>0.925</v>
      </c>
      <c r="L29" s="28">
        <f>(1-ABS(J29-K29)/J29)*100</f>
        <v/>
      </c>
      <c r="M29" s="26" t="n">
        <v>0.25</v>
      </c>
      <c r="N29" s="27" t="n">
        <v>0.268</v>
      </c>
      <c r="O29" s="28">
        <f>(1-ABS(M29-N29)/M29)*100</f>
        <v/>
      </c>
      <c r="P29" s="29" t="n">
        <v>0.46</v>
      </c>
      <c r="Q29" s="30" t="n">
        <v>0.631</v>
      </c>
      <c r="R29" s="28">
        <f>(1-ABS(P29-Q29)/P29)*100</f>
        <v/>
      </c>
      <c r="S29" s="31" t="n">
        <v>16</v>
      </c>
      <c r="T29" s="29" t="n">
        <v>10.72</v>
      </c>
      <c r="U29" s="28">
        <f>(1-ABS(S29-T29)/S29)*100</f>
        <v/>
      </c>
    </row>
    <row r="30">
      <c r="B30" s="24" t="inlineStr">
        <is>
          <t>09/13</t>
        </is>
      </c>
      <c r="C30" s="25" t="n">
        <v>6734</v>
      </c>
      <c r="D30" s="26" t="n">
        <v>2.67</v>
      </c>
      <c r="E30" s="27" t="n">
        <v>2.58</v>
      </c>
      <c r="F30" s="28">
        <f>(1-ABS(D30-E30)/D30)*100</f>
        <v/>
      </c>
      <c r="G30" s="27" t="n">
        <v>0.157</v>
      </c>
      <c r="H30" s="27" t="n">
        <v>0.165</v>
      </c>
      <c r="I30" s="28">
        <f>(1-ABS(G30-H30)/G30)*100</f>
        <v/>
      </c>
      <c r="J30" s="26" t="n">
        <v>0.84</v>
      </c>
      <c r="K30" s="27" t="n">
        <v>1.05</v>
      </c>
      <c r="L30" s="28">
        <f>(1-ABS(J30-K30)/J30)*100</f>
        <v/>
      </c>
      <c r="M30" s="26" t="n">
        <v>0.29</v>
      </c>
      <c r="N30" s="27" t="n">
        <v>0.267</v>
      </c>
      <c r="O30" s="28">
        <f>(1-ABS(M30-N30)/M30)*100</f>
        <v/>
      </c>
      <c r="P30" s="29" t="n">
        <v>0.49</v>
      </c>
      <c r="Q30" s="30" t="n">
        <v>0.652</v>
      </c>
      <c r="R30" s="28">
        <f>(1-ABS(P30-Q30)/P30)*100</f>
        <v/>
      </c>
      <c r="S30" s="31" t="n">
        <v>19</v>
      </c>
      <c r="T30" s="29" t="n">
        <v>13.85</v>
      </c>
      <c r="U30" s="28">
        <f>(1-ABS(S30-T30)/S30)*100</f>
        <v/>
      </c>
    </row>
    <row r="31">
      <c r="B31" s="24" t="inlineStr">
        <is>
          <t>09/14</t>
        </is>
      </c>
      <c r="C31" s="25" t="n">
        <v>8778</v>
      </c>
      <c r="D31" s="26" t="n">
        <v>2.7</v>
      </c>
      <c r="E31" s="27" t="n">
        <v>2.554</v>
      </c>
      <c r="F31" s="28">
        <f>(1-ABS(D31-E31)/D31)*100</f>
        <v/>
      </c>
      <c r="G31" s="27" t="n">
        <v>0.157</v>
      </c>
      <c r="H31" s="27" t="n">
        <v>0.163</v>
      </c>
      <c r="I31" s="28">
        <f>(1-ABS(G31-H31)/G31)*100</f>
        <v/>
      </c>
      <c r="J31" s="26" t="n">
        <v>0.9</v>
      </c>
      <c r="K31" s="27" t="n">
        <v>1.039</v>
      </c>
      <c r="L31" s="28">
        <f>(1-ABS(J31-K31)/J31)*100</f>
        <v/>
      </c>
      <c r="M31" s="26" t="n">
        <v>0.25</v>
      </c>
      <c r="N31" s="27" t="n">
        <v>0.264</v>
      </c>
      <c r="O31" s="28">
        <f>(1-ABS(M31-N31)/M31)*100</f>
        <v/>
      </c>
      <c r="P31" s="29" t="n">
        <v>0.46</v>
      </c>
      <c r="Q31" s="30" t="n">
        <v>0.649</v>
      </c>
      <c r="R31" s="28">
        <f>(1-ABS(P31-Q31)/P31)*100</f>
        <v/>
      </c>
      <c r="S31" s="31" t="n">
        <v>15</v>
      </c>
      <c r="T31" s="29" t="n">
        <v>13.41</v>
      </c>
      <c r="U31" s="28">
        <f>(1-ABS(S31-T31)/S31)*100</f>
        <v/>
      </c>
    </row>
    <row r="32">
      <c r="B32" s="24" t="inlineStr">
        <is>
          <t>10/15</t>
        </is>
      </c>
      <c r="C32" s="25" t="n">
        <v>1106</v>
      </c>
      <c r="D32" s="26" t="n">
        <v>2.65</v>
      </c>
      <c r="E32" s="27" t="n">
        <v>2.575</v>
      </c>
      <c r="F32" s="28">
        <f>(1-ABS(D32-E32)/D32)*100</f>
        <v/>
      </c>
      <c r="G32" s="27" t="n">
        <v>0.168</v>
      </c>
      <c r="H32" s="27" t="n">
        <v>0.166</v>
      </c>
      <c r="I32" s="28">
        <f>(1-ABS(G32-H32)/G32)*100</f>
        <v/>
      </c>
      <c r="J32" s="26" t="n">
        <v>1.05</v>
      </c>
      <c r="K32" s="27" t="n">
        <v>1.034</v>
      </c>
      <c r="L32" s="28">
        <f>(1-ABS(J32-K32)/J32)*100</f>
        <v/>
      </c>
      <c r="M32" s="26" t="n">
        <v>0.31</v>
      </c>
      <c r="N32" s="27" t="n">
        <v>0.283</v>
      </c>
      <c r="O32" s="28">
        <f>(1-ABS(M32-N32)/M32)*100</f>
        <v/>
      </c>
      <c r="P32" s="29" t="n">
        <v>0.5</v>
      </c>
      <c r="Q32" s="30" t="n">
        <v>0.672</v>
      </c>
      <c r="R32" s="28">
        <f>(1-ABS(P32-Q32)/P32)*100</f>
        <v/>
      </c>
      <c r="S32" s="31" t="n">
        <v>18</v>
      </c>
      <c r="T32" s="29" t="n">
        <v>13.15</v>
      </c>
      <c r="U32" s="28">
        <f>(1-ABS(S32-T32)/S32)*100</f>
        <v/>
      </c>
    </row>
    <row r="33">
      <c r="B33" s="24" t="inlineStr">
        <is>
          <t>10/18</t>
        </is>
      </c>
      <c r="C33" s="25" t="n">
        <v>4107</v>
      </c>
      <c r="D33" s="26" t="n">
        <v>2.62</v>
      </c>
      <c r="E33" s="27" t="n">
        <v>1.98</v>
      </c>
      <c r="F33" s="28">
        <f>(1-ABS(D33-E33)/D33)*100</f>
        <v/>
      </c>
      <c r="G33" s="27" t="n">
        <v>0.153</v>
      </c>
      <c r="H33" s="27" t="n">
        <v>0.126</v>
      </c>
      <c r="I33" s="28">
        <f>(1-ABS(G33-H33)/G33)*100</f>
        <v/>
      </c>
      <c r="J33" s="26" t="n">
        <v>0.96</v>
      </c>
      <c r="K33" s="27" t="n">
        <v>0.782</v>
      </c>
      <c r="L33" s="28">
        <f>(1-ABS(J33-K33)/J33)*100</f>
        <v/>
      </c>
      <c r="M33" s="26" t="n">
        <v>0.28</v>
      </c>
      <c r="N33" s="27" t="n">
        <v>0.236</v>
      </c>
      <c r="O33" s="28">
        <f>(1-ABS(M33-N33)/M33)*100</f>
        <v/>
      </c>
      <c r="P33" s="29" t="n">
        <v>0.53</v>
      </c>
      <c r="Q33" s="30" t="n">
        <v>0.527</v>
      </c>
      <c r="R33" s="28">
        <f>(1-ABS(P33-Q33)/P33)*100</f>
        <v/>
      </c>
      <c r="S33" s="31" t="n">
        <v>18</v>
      </c>
      <c r="T33" s="29" t="n">
        <v>9.359999999999999</v>
      </c>
      <c r="U33" s="28">
        <f>(1-ABS(S33-T33)/S33)*100</f>
        <v/>
      </c>
    </row>
    <row r="34">
      <c r="B34" s="24" t="inlineStr">
        <is>
          <t>10/19</t>
        </is>
      </c>
      <c r="C34" s="25" t="n">
        <v>4149</v>
      </c>
      <c r="D34" s="26" t="n">
        <v>2.52</v>
      </c>
      <c r="E34" s="27" t="n">
        <v>2.303</v>
      </c>
      <c r="F34" s="28">
        <f>(1-ABS(D34-E34)/D34)*100</f>
        <v/>
      </c>
      <c r="G34" s="27" t="n">
        <v>0.164</v>
      </c>
      <c r="H34" s="27" t="n">
        <v>0.147</v>
      </c>
      <c r="I34" s="28">
        <f>(1-ABS(G34-H34)/G34)*100</f>
        <v/>
      </c>
      <c r="J34" s="26" t="n">
        <v>0.97</v>
      </c>
      <c r="K34" s="27" t="n">
        <v>0.918</v>
      </c>
      <c r="L34" s="28">
        <f>(1-ABS(J34-K34)/J34)*100</f>
        <v/>
      </c>
      <c r="M34" s="26" t="n">
        <v>0.32</v>
      </c>
      <c r="N34" s="27" t="n">
        <v>0.259</v>
      </c>
      <c r="O34" s="28">
        <f>(1-ABS(M34-N34)/M34)*100</f>
        <v/>
      </c>
      <c r="P34" s="29" t="n">
        <v>0.48</v>
      </c>
      <c r="Q34" s="30" t="n">
        <v>0.607</v>
      </c>
      <c r="R34" s="28">
        <f>(1-ABS(P34-Q34)/P34)*100</f>
        <v/>
      </c>
      <c r="S34" s="31" t="n">
        <v>17</v>
      </c>
      <c r="T34" s="29" t="n">
        <v>11.67</v>
      </c>
      <c r="U34" s="28">
        <f>(1-ABS(S34-T34)/S34)*100</f>
        <v/>
      </c>
    </row>
    <row r="35">
      <c r="B35" s="24" t="inlineStr">
        <is>
          <t>10/20</t>
        </is>
      </c>
      <c r="C35" s="25" t="n">
        <v>4739</v>
      </c>
      <c r="D35" s="26" t="n">
        <v>2.66</v>
      </c>
      <c r="E35" s="27" t="n">
        <v>2.436</v>
      </c>
      <c r="F35" s="28">
        <f>(1-ABS(D35-E35)/D35)*100</f>
        <v/>
      </c>
      <c r="G35" s="27" t="n">
        <v>0.168</v>
      </c>
      <c r="H35" s="27" t="n">
        <v>0.156</v>
      </c>
      <c r="I35" s="28">
        <f>(1-ABS(G35-H35)/G35)*100</f>
        <v/>
      </c>
      <c r="J35" s="26" t="n">
        <v>0.99</v>
      </c>
      <c r="K35" s="27" t="n">
        <v>0.975</v>
      </c>
      <c r="L35" s="28">
        <f>(1-ABS(J35-K35)/J35)*100</f>
        <v/>
      </c>
      <c r="M35" s="26" t="n">
        <v>0.3</v>
      </c>
      <c r="N35" s="27" t="n">
        <v>0.266</v>
      </c>
      <c r="O35" s="28">
        <f>(1-ABS(M35-N35)/M35)*100</f>
        <v/>
      </c>
      <c r="P35" s="29" t="n">
        <v>0.41</v>
      </c>
      <c r="Q35" s="30" t="n">
        <v>0.63</v>
      </c>
      <c r="R35" s="28">
        <f>(1-ABS(P35-Q35)/P35)*100</f>
        <v/>
      </c>
      <c r="S35" s="31" t="n">
        <v>18</v>
      </c>
      <c r="T35" s="29" t="n">
        <v>13.12</v>
      </c>
      <c r="U35" s="28">
        <f>(1-ABS(S35-T35)/S35)*100</f>
        <v/>
      </c>
    </row>
    <row r="36">
      <c r="B36" s="24" t="inlineStr">
        <is>
          <t>10/21</t>
        </is>
      </c>
      <c r="C36" s="25" t="n">
        <v>4331</v>
      </c>
      <c r="D36" s="26" t="n">
        <v>2.63</v>
      </c>
      <c r="E36" s="27" t="n">
        <v>2.321</v>
      </c>
      <c r="F36" s="28">
        <f>(1-ABS(D36-E36)/D36)*100</f>
        <v/>
      </c>
      <c r="G36" s="27" t="n">
        <v>0.175</v>
      </c>
      <c r="H36" s="27" t="n">
        <v>0.149</v>
      </c>
      <c r="I36" s="28">
        <f>(1-ABS(G36-H36)/G36)*100</f>
        <v/>
      </c>
      <c r="J36" s="26" t="n">
        <v>1.09</v>
      </c>
      <c r="K36" s="27" t="n">
        <v>0.923</v>
      </c>
      <c r="L36" s="28">
        <f>(1-ABS(J36-K36)/J36)*100</f>
        <v/>
      </c>
      <c r="M36" s="26" t="n">
        <v>0.33</v>
      </c>
      <c r="N36" s="27" t="n">
        <v>0.269</v>
      </c>
      <c r="O36" s="28">
        <f>(1-ABS(M36-N36)/M36)*100</f>
        <v/>
      </c>
      <c r="P36" s="29" t="n">
        <v>0.59</v>
      </c>
      <c r="Q36" s="30" t="n">
        <v>0.609</v>
      </c>
      <c r="R36" s="28">
        <f>(1-ABS(P36-Q36)/P36)*100</f>
        <v/>
      </c>
      <c r="S36" s="31" t="n">
        <v>19</v>
      </c>
      <c r="T36" s="29" t="n">
        <v>11.74</v>
      </c>
      <c r="U36" s="28">
        <f>(1-ABS(S36-T36)/S36)*100</f>
        <v/>
      </c>
    </row>
    <row r="37">
      <c r="B37" s="24" t="inlineStr">
        <is>
          <t>11/22</t>
        </is>
      </c>
      <c r="C37" s="25" t="n">
        <v>4735</v>
      </c>
      <c r="D37" s="26" t="n">
        <v>2.53</v>
      </c>
      <c r="E37" s="27" t="n">
        <v>2.164</v>
      </c>
      <c r="F37" s="28">
        <f>(1-ABS(D37-E37)/D37)*100</f>
        <v/>
      </c>
      <c r="G37" s="27" t="n">
        <v>0.165</v>
      </c>
      <c r="H37" s="27" t="n">
        <v>0.138</v>
      </c>
      <c r="I37" s="28">
        <f>(1-ABS(G37-H37)/G37)*100</f>
        <v/>
      </c>
      <c r="J37" s="26" t="n">
        <v>1.04</v>
      </c>
      <c r="K37" s="27" t="n">
        <v>0.859</v>
      </c>
      <c r="L37" s="28">
        <f>(1-ABS(J37-K37)/J37)*100</f>
        <v/>
      </c>
      <c r="M37" s="26" t="n">
        <v>0.33</v>
      </c>
      <c r="N37" s="27" t="n">
        <v>0.259</v>
      </c>
      <c r="O37" s="28">
        <f>(1-ABS(M37-N37)/M37)*100</f>
        <v/>
      </c>
      <c r="P37" s="29" t="n">
        <v>0.42</v>
      </c>
      <c r="Q37" s="30" t="n">
        <v>0.57</v>
      </c>
      <c r="R37" s="28">
        <f>(1-ABS(P37-Q37)/P37)*100</f>
        <v/>
      </c>
      <c r="S37" s="31" t="n">
        <v>18</v>
      </c>
      <c r="T37" s="29" t="n">
        <v>10.51</v>
      </c>
      <c r="U37" s="28">
        <f>(1-ABS(S37-T37)/S37)*100</f>
        <v/>
      </c>
    </row>
    <row r="38">
      <c r="B38" s="24" t="inlineStr">
        <is>
          <t>11/23</t>
        </is>
      </c>
      <c r="C38" s="25" t="n">
        <v>4758</v>
      </c>
      <c r="D38" s="26" t="n">
        <v>2.64</v>
      </c>
      <c r="E38" s="27" t="n">
        <v>2.464</v>
      </c>
      <c r="F38" s="28">
        <f>(1-ABS(D38-E38)/D38)*100</f>
        <v/>
      </c>
      <c r="G38" s="27" t="n">
        <v>0.167</v>
      </c>
      <c r="H38" s="27" t="n">
        <v>0.156</v>
      </c>
      <c r="I38" s="28">
        <f>(1-ABS(G38-H38)/G38)*100</f>
        <v/>
      </c>
      <c r="J38" s="26" t="n">
        <v>1.01</v>
      </c>
      <c r="K38" s="27" t="n">
        <v>0.972</v>
      </c>
      <c r="L38" s="28">
        <f>(1-ABS(J38-K38)/J38)*100</f>
        <v/>
      </c>
      <c r="M38" s="26" t="n">
        <v>0.29</v>
      </c>
      <c r="N38" s="27" t="n">
        <v>0.261</v>
      </c>
      <c r="O38" s="28">
        <f>(1-ABS(M38-N38)/M38)*100</f>
        <v/>
      </c>
      <c r="P38" s="29" t="n">
        <v>0.57</v>
      </c>
      <c r="Q38" s="30" t="n">
        <v>0.632</v>
      </c>
      <c r="R38" s="28">
        <f>(1-ABS(P38-Q38)/P38)*100</f>
        <v/>
      </c>
      <c r="S38" s="31" t="n">
        <v>16</v>
      </c>
      <c r="T38" s="29" t="n">
        <v>12.78</v>
      </c>
      <c r="U38" s="28">
        <f>(1-ABS(S38-T38)/S38)*100</f>
        <v/>
      </c>
    </row>
    <row r="39">
      <c r="B39" s="24" t="inlineStr">
        <is>
          <t>11/24</t>
        </is>
      </c>
      <c r="C39" s="25" t="n">
        <v>2801</v>
      </c>
      <c r="D39" s="26" t="n">
        <v>2.54</v>
      </c>
      <c r="E39" s="27" t="n">
        <v>2.581</v>
      </c>
      <c r="F39" s="28">
        <f>(1-ABS(D39-E39)/D39)*100</f>
        <v/>
      </c>
      <c r="G39" s="27" t="n">
        <v>0.158</v>
      </c>
      <c r="H39" s="27" t="n">
        <v>0.162</v>
      </c>
      <c r="I39" s="28">
        <f>(1-ABS(G39-H39)/G39)*100</f>
        <v/>
      </c>
      <c r="J39" s="26" t="n">
        <v>0.83</v>
      </c>
      <c r="K39" s="27" t="n">
        <v>1.025</v>
      </c>
      <c r="L39" s="28">
        <f>(1-ABS(J39-K39)/J39)*100</f>
        <v/>
      </c>
      <c r="M39" s="26" t="n">
        <v>0.3</v>
      </c>
      <c r="N39" s="27" t="n">
        <v>0.269</v>
      </c>
      <c r="O39" s="28">
        <f>(1-ABS(M39-N39)/M39)*100</f>
        <v/>
      </c>
      <c r="P39" s="29" t="n">
        <v>0.54</v>
      </c>
      <c r="Q39" s="30" t="n">
        <v>0.664</v>
      </c>
      <c r="R39" s="28">
        <f>(1-ABS(P39-Q39)/P39)*100</f>
        <v/>
      </c>
      <c r="S39" s="31" t="n">
        <v>17</v>
      </c>
      <c r="T39" s="29" t="n">
        <v>13.69</v>
      </c>
      <c r="U39" s="28">
        <f>(1-ABS(S39-T39)/S39)*100</f>
        <v/>
      </c>
    </row>
    <row r="40">
      <c r="B40" s="24" t="inlineStr">
        <is>
          <t>11/25</t>
        </is>
      </c>
      <c r="C40" s="25" t="n">
        <v>3246</v>
      </c>
      <c r="D40" s="26" t="n">
        <v>2.56</v>
      </c>
      <c r="E40" s="27" t="n">
        <v>2.356</v>
      </c>
      <c r="F40" s="28">
        <f>(1-ABS(D40-E40)/D40)*100</f>
        <v/>
      </c>
      <c r="G40" s="27" t="n">
        <v>0.167</v>
      </c>
      <c r="H40" s="27" t="n">
        <v>0.147</v>
      </c>
      <c r="I40" s="28">
        <f>(1-ABS(G40-H40)/G40)*100</f>
        <v/>
      </c>
      <c r="J40" s="26" t="n">
        <v>0.99</v>
      </c>
      <c r="K40" s="27" t="n">
        <v>0.9429999999999999</v>
      </c>
      <c r="L40" s="28">
        <f>(1-ABS(J40-K40)/J40)*100</f>
        <v/>
      </c>
      <c r="M40" s="26" t="n">
        <v>0.28</v>
      </c>
      <c r="N40" s="27" t="n">
        <v>0.257</v>
      </c>
      <c r="O40" s="28">
        <f>(1-ABS(M40-N40)/M40)*100</f>
        <v/>
      </c>
      <c r="P40" s="29" t="n">
        <v>0.42</v>
      </c>
      <c r="Q40" s="30" t="n">
        <v>0.596</v>
      </c>
      <c r="R40" s="28">
        <f>(1-ABS(P40-Q40)/P40)*100</f>
        <v/>
      </c>
      <c r="S40" s="31" t="n">
        <v>16</v>
      </c>
      <c r="T40" s="29" t="n">
        <v>12.27</v>
      </c>
      <c r="U40" s="28">
        <f>(1-ABS(S40-T40)/S40)*100</f>
        <v/>
      </c>
    </row>
    <row r="41">
      <c r="B41" s="24" t="inlineStr">
        <is>
          <t>11/26</t>
        </is>
      </c>
      <c r="C41" s="25" t="n">
        <v>4549</v>
      </c>
      <c r="D41" s="26" t="n">
        <v>2.55</v>
      </c>
      <c r="E41" s="27" t="n">
        <v>2.59</v>
      </c>
      <c r="F41" s="28">
        <f>(1-ABS(D41-E41)/D41)*100</f>
        <v/>
      </c>
      <c r="G41" s="27" t="n">
        <v>0.16</v>
      </c>
      <c r="H41" s="27" t="n">
        <v>0.163</v>
      </c>
      <c r="I41" s="28">
        <f>(1-ABS(G41-H41)/G41)*100</f>
        <v/>
      </c>
      <c r="J41" s="26" t="n">
        <v>0.93</v>
      </c>
      <c r="K41" s="27" t="n">
        <v>1.056</v>
      </c>
      <c r="L41" s="28">
        <f>(1-ABS(J41-K41)/J41)*100</f>
        <v/>
      </c>
      <c r="M41" s="26" t="n">
        <v>0.28</v>
      </c>
      <c r="N41" s="27" t="n">
        <v>0.276</v>
      </c>
      <c r="O41" s="28">
        <f>(1-ABS(M41-N41)/M41)*100</f>
        <v/>
      </c>
      <c r="P41" s="29" t="n">
        <v>0.43</v>
      </c>
      <c r="Q41" s="30" t="n">
        <v>0.671</v>
      </c>
      <c r="R41" s="28">
        <f>(1-ABS(P41-Q41)/P41)*100</f>
        <v/>
      </c>
      <c r="S41" s="31" t="n">
        <v>15</v>
      </c>
      <c r="T41" s="29" t="n">
        <v>13.36</v>
      </c>
      <c r="U41" s="28">
        <f>(1-ABS(S41-T41)/S41)*100</f>
        <v/>
      </c>
    </row>
    <row r="42">
      <c r="B42" s="24" t="inlineStr">
        <is>
          <t>11/27</t>
        </is>
      </c>
      <c r="C42" s="25" t="n">
        <v>5248</v>
      </c>
      <c r="D42" s="26" t="n">
        <v>2.71</v>
      </c>
      <c r="E42" s="27" t="n">
        <v>2.604</v>
      </c>
      <c r="F42" s="28">
        <f>(1-ABS(D42-E42)/D42)*100</f>
        <v/>
      </c>
      <c r="G42" s="27" t="n">
        <v>0.167</v>
      </c>
      <c r="H42" s="27" t="n">
        <v>0.165</v>
      </c>
      <c r="I42" s="28">
        <f>(1-ABS(G42-H42)/G42)*100</f>
        <v/>
      </c>
      <c r="J42" s="26" t="n">
        <v>0.95</v>
      </c>
      <c r="K42" s="27" t="n">
        <v>1.026</v>
      </c>
      <c r="L42" s="28">
        <f>(1-ABS(J42-K42)/J42)*100</f>
        <v/>
      </c>
      <c r="M42" s="26" t="n">
        <v>0.29</v>
      </c>
      <c r="N42" s="27" t="n">
        <v>0.272</v>
      </c>
      <c r="O42" s="28">
        <f>(1-ABS(M42-N42)/M42)*100</f>
        <v/>
      </c>
      <c r="P42" s="29" t="n">
        <v>0.46</v>
      </c>
      <c r="Q42" s="30" t="n">
        <v>0.665</v>
      </c>
      <c r="R42" s="28">
        <f>(1-ABS(P42-Q42)/P42)*100</f>
        <v/>
      </c>
      <c r="S42" s="31" t="n">
        <v>14</v>
      </c>
      <c r="T42" s="29" t="n">
        <v>13.94</v>
      </c>
      <c r="U42" s="28">
        <f>(1-ABS(S42-T42)/S42)*100</f>
        <v/>
      </c>
    </row>
    <row r="43">
      <c r="B43" s="24" t="inlineStr">
        <is>
          <t>11/28</t>
        </is>
      </c>
      <c r="C43" s="25" t="n">
        <v>5031</v>
      </c>
      <c r="D43" s="26" t="n">
        <v>2.57</v>
      </c>
      <c r="E43" s="27" t="n">
        <v>2.589</v>
      </c>
      <c r="F43" s="28">
        <f>(1-ABS(D43-E43)/D43)*100</f>
        <v/>
      </c>
      <c r="G43" s="27" t="n">
        <v>0.173</v>
      </c>
      <c r="H43" s="27" t="n">
        <v>0.163</v>
      </c>
      <c r="I43" s="28">
        <f>(1-ABS(G43-H43)/G43)*100</f>
        <v/>
      </c>
      <c r="J43" s="26" t="n">
        <v>0.99</v>
      </c>
      <c r="K43" s="27" t="n">
        <v>1.026</v>
      </c>
      <c r="L43" s="28">
        <f>(1-ABS(J43-K43)/J43)*100</f>
        <v/>
      </c>
      <c r="M43" s="26" t="n">
        <v>0.31</v>
      </c>
      <c r="N43" s="27" t="n">
        <v>0.262</v>
      </c>
      <c r="O43" s="28">
        <f>(1-ABS(M43-N43)/M43)*100</f>
        <v/>
      </c>
      <c r="P43" s="29" t="n">
        <v>0.49</v>
      </c>
      <c r="Q43" s="30" t="n">
        <v>0.651</v>
      </c>
      <c r="R43" s="28">
        <f>(1-ABS(P43-Q43)/P43)*100</f>
        <v/>
      </c>
      <c r="S43" s="31" t="n">
        <v>15</v>
      </c>
      <c r="T43" s="29" t="n">
        <v>14.07</v>
      </c>
      <c r="U43" s="28">
        <f>(1-ABS(S43-T43)/S43)*100</f>
        <v/>
      </c>
    </row>
    <row r="44">
      <c r="B44" s="24" t="inlineStr">
        <is>
          <t>12/01</t>
        </is>
      </c>
      <c r="C44" s="25" t="n">
        <v>5618</v>
      </c>
      <c r="D44" s="26" t="n">
        <v>2.73</v>
      </c>
      <c r="E44" s="27" t="n">
        <v>2.558</v>
      </c>
      <c r="F44" s="28">
        <f>(1-ABS(D44-E44)/D44)*100</f>
        <v/>
      </c>
      <c r="G44" s="27" t="n">
        <v>0.167</v>
      </c>
      <c r="H44" s="27" t="n">
        <v>0.163</v>
      </c>
      <c r="I44" s="28">
        <f>(1-ABS(G44-H44)/G44)*100</f>
        <v/>
      </c>
      <c r="J44" s="26" t="n">
        <v>1.03</v>
      </c>
      <c r="K44" s="27" t="n">
        <v>1.035</v>
      </c>
      <c r="L44" s="28">
        <f>(1-ABS(J44-K44)/J44)*100</f>
        <v/>
      </c>
      <c r="M44" s="26" t="n">
        <v>0.33</v>
      </c>
      <c r="N44" s="27" t="n">
        <v>0.274</v>
      </c>
      <c r="O44" s="28">
        <f>(1-ABS(M44-N44)/M44)*100</f>
        <v/>
      </c>
      <c r="P44" s="29" t="n">
        <v>0.5</v>
      </c>
      <c r="Q44" s="30" t="n">
        <v>0.657</v>
      </c>
      <c r="R44" s="28">
        <f>(1-ABS(P44-Q44)/P44)*100</f>
        <v/>
      </c>
      <c r="S44" s="31" t="n">
        <v>14</v>
      </c>
      <c r="T44" s="29" t="n">
        <v>13.04</v>
      </c>
      <c r="U44" s="28">
        <f>(1-ABS(S44-T44)/S44)*100</f>
        <v/>
      </c>
    </row>
    <row r="45">
      <c r="B45" s="24" t="inlineStr">
        <is>
          <t>12/02</t>
        </is>
      </c>
      <c r="C45" s="25" t="n">
        <v>3401</v>
      </c>
      <c r="D45" s="26" t="n">
        <v>2.69</v>
      </c>
      <c r="E45" s="27" t="n">
        <v>2.477</v>
      </c>
      <c r="F45" s="28">
        <f>(1-ABS(D45-E45)/D45)*100</f>
        <v/>
      </c>
      <c r="G45" s="27" t="n">
        <v>0.169</v>
      </c>
      <c r="H45" s="27" t="n">
        <v>0.158</v>
      </c>
      <c r="I45" s="28">
        <f>(1-ABS(G45-H45)/G45)*100</f>
        <v/>
      </c>
      <c r="J45" s="26" t="n">
        <v>1.03</v>
      </c>
      <c r="K45" s="27" t="n">
        <v>0.982</v>
      </c>
      <c r="L45" s="28">
        <f>(1-ABS(J45-K45)/J45)*100</f>
        <v/>
      </c>
      <c r="M45" s="26" t="n">
        <v>0.31</v>
      </c>
      <c r="N45" s="27" t="n">
        <v>0.287</v>
      </c>
      <c r="O45" s="28">
        <f>(1-ABS(M45-N45)/M45)*100</f>
        <v/>
      </c>
      <c r="P45" s="29" t="n">
        <v>0.49</v>
      </c>
      <c r="Q45" s="30" t="n">
        <v>0.649</v>
      </c>
      <c r="R45" s="28">
        <f>(1-ABS(P45-Q45)/P45)*100</f>
        <v/>
      </c>
      <c r="S45" s="31" t="n">
        <v>15</v>
      </c>
      <c r="T45" s="29" t="n">
        <v>12.66</v>
      </c>
      <c r="U45" s="28">
        <f>(1-ABS(S45-T45)/S45)*100</f>
        <v/>
      </c>
    </row>
    <row r="46">
      <c r="B46" s="24" t="inlineStr">
        <is>
          <t>12/03</t>
        </is>
      </c>
      <c r="C46" s="25" t="n">
        <v>4771</v>
      </c>
      <c r="D46" s="26" t="n">
        <v>2.54</v>
      </c>
      <c r="E46" s="27" t="n">
        <v>2.561</v>
      </c>
      <c r="F46" s="28">
        <f>(1-ABS(D46-E46)/D46)*100</f>
        <v/>
      </c>
      <c r="G46" s="27" t="n">
        <v>0.161</v>
      </c>
      <c r="H46" s="27" t="n">
        <v>0.163</v>
      </c>
      <c r="I46" s="28">
        <f>(1-ABS(G46-H46)/G46)*100</f>
        <v/>
      </c>
      <c r="J46" s="26" t="n">
        <v>0.99</v>
      </c>
      <c r="K46" s="27" t="n">
        <v>1.018</v>
      </c>
      <c r="L46" s="28">
        <f>(1-ABS(J46-K46)/J46)*100</f>
        <v/>
      </c>
      <c r="M46" s="26" t="n">
        <v>0.3</v>
      </c>
      <c r="N46" s="27" t="n">
        <v>0.268</v>
      </c>
      <c r="O46" s="28">
        <f>(1-ABS(M46-N46)/M46)*100</f>
        <v/>
      </c>
      <c r="P46" s="29" t="n">
        <v>0.43</v>
      </c>
      <c r="Q46" s="30" t="n">
        <v>0.656</v>
      </c>
      <c r="R46" s="28">
        <f>(1-ABS(P46-Q46)/P46)*100</f>
        <v/>
      </c>
      <c r="S46" s="31" t="n">
        <v>16</v>
      </c>
      <c r="T46" s="29" t="n">
        <v>13.4</v>
      </c>
      <c r="U46" s="28">
        <f>(1-ABS(S46-T46)/S46)*100</f>
        <v/>
      </c>
    </row>
    <row r="47">
      <c r="B47" s="24" t="inlineStr">
        <is>
          <t>12/04</t>
        </is>
      </c>
      <c r="C47" s="25" t="n">
        <v>4746</v>
      </c>
      <c r="D47" s="26" t="n">
        <v>2.62</v>
      </c>
      <c r="E47" s="27" t="n">
        <v>2.613</v>
      </c>
      <c r="F47" s="28">
        <f>(1-ABS(D47-E47)/D47)*100</f>
        <v/>
      </c>
      <c r="G47" s="27" t="n">
        <v>0.174</v>
      </c>
      <c r="H47" s="27" t="n">
        <v>0.168</v>
      </c>
      <c r="I47" s="28">
        <f>(1-ABS(G47-H47)/G47)*100</f>
        <v/>
      </c>
      <c r="J47" s="26" t="n">
        <v>1.03</v>
      </c>
      <c r="K47" s="27" t="n">
        <v>1.068</v>
      </c>
      <c r="L47" s="28">
        <f>(1-ABS(J47-K47)/J47)*100</f>
        <v/>
      </c>
      <c r="M47" s="26" t="n">
        <v>0.29</v>
      </c>
      <c r="N47" s="27" t="n">
        <v>0.299</v>
      </c>
      <c r="O47" s="28">
        <f>(1-ABS(M47-N47)/M47)*100</f>
        <v/>
      </c>
      <c r="P47" s="29" t="n">
        <v>0.43</v>
      </c>
      <c r="Q47" s="30" t="n">
        <v>0.722</v>
      </c>
      <c r="R47" s="28">
        <f>(1-ABS(P47-Q47)/P47)*100</f>
        <v/>
      </c>
      <c r="S47" s="31" t="n">
        <v>16</v>
      </c>
      <c r="T47" s="29" t="n">
        <v>11.39</v>
      </c>
      <c r="U47" s="28">
        <f>(1-ABS(S47-T47)/S47)*100</f>
        <v/>
      </c>
    </row>
    <row r="48">
      <c r="B48" s="24" t="inlineStr">
        <is>
          <t>12/05</t>
        </is>
      </c>
      <c r="C48" s="25" t="n">
        <v>4631</v>
      </c>
      <c r="D48" s="26" t="n">
        <v>2.52</v>
      </c>
      <c r="E48" s="27" t="n">
        <v>2.577</v>
      </c>
      <c r="F48" s="28">
        <f>(1-ABS(D48-E48)/D48)*100</f>
        <v/>
      </c>
      <c r="G48" s="27" t="n">
        <v>0.162</v>
      </c>
      <c r="H48" s="27" t="n">
        <v>0.165</v>
      </c>
      <c r="I48" s="28">
        <f>(1-ABS(G48-H48)/G48)*100</f>
        <v/>
      </c>
      <c r="J48" s="26" t="n">
        <v>0.92</v>
      </c>
      <c r="K48" s="27" t="n">
        <v>1.031</v>
      </c>
      <c r="L48" s="28">
        <f>(1-ABS(J48-K48)/J48)*100</f>
        <v/>
      </c>
      <c r="M48" s="26" t="n">
        <v>0.26</v>
      </c>
      <c r="N48" s="27" t="n">
        <v>0.279</v>
      </c>
      <c r="O48" s="28">
        <f>(1-ABS(M48-N48)/M48)*100</f>
        <v/>
      </c>
      <c r="P48" s="29" t="n">
        <v>0.41</v>
      </c>
      <c r="Q48" s="30" t="n">
        <v>0.679</v>
      </c>
      <c r="R48" s="28">
        <f>(1-ABS(P48-Q48)/P48)*100</f>
        <v/>
      </c>
      <c r="S48" s="31" t="n">
        <v>15</v>
      </c>
      <c r="T48" s="29" t="n">
        <v>12.94</v>
      </c>
      <c r="U48" s="28">
        <f>(1-ABS(S48-T48)/S48)*100</f>
        <v/>
      </c>
    </row>
    <row r="49">
      <c r="B49" s="24" t="inlineStr">
        <is>
          <t>12/06</t>
        </is>
      </c>
      <c r="C49" s="25" t="n">
        <v>5767</v>
      </c>
      <c r="D49" s="26" t="n">
        <v>2.67</v>
      </c>
      <c r="E49" s="27" t="n">
        <v>2.275</v>
      </c>
      <c r="F49" s="28">
        <f>(1-ABS(D49-E49)/D49)*100</f>
        <v/>
      </c>
      <c r="G49" s="27" t="n">
        <v>0.169</v>
      </c>
      <c r="H49" s="27" t="n">
        <v>0.145</v>
      </c>
      <c r="I49" s="28">
        <f>(1-ABS(G49-H49)/G49)*100</f>
        <v/>
      </c>
      <c r="J49" s="26" t="n">
        <v>1.04</v>
      </c>
      <c r="K49" s="27" t="n">
        <v>0.902</v>
      </c>
      <c r="L49" s="28">
        <f>(1-ABS(J49-K49)/J49)*100</f>
        <v/>
      </c>
      <c r="M49" s="26" t="n">
        <v>0.3</v>
      </c>
      <c r="N49" s="27" t="n">
        <v>0.264</v>
      </c>
      <c r="O49" s="28">
        <f>(1-ABS(M49-N49)/M49)*100</f>
        <v/>
      </c>
      <c r="P49" s="29" t="n">
        <v>0.44</v>
      </c>
      <c r="Q49" s="30" t="n">
        <v>0.596</v>
      </c>
      <c r="R49" s="28">
        <f>(1-ABS(P49-Q49)/P49)*100</f>
        <v/>
      </c>
      <c r="S49" s="31" t="n">
        <v>15</v>
      </c>
      <c r="T49" s="29" t="n">
        <v>11.12</v>
      </c>
      <c r="U49" s="28">
        <f>(1-ABS(S49-T49)/S49)*100</f>
        <v/>
      </c>
    </row>
    <row r="50">
      <c r="B50" s="24" t="inlineStr">
        <is>
          <t>12/07</t>
        </is>
      </c>
      <c r="C50" s="25" t="n">
        <v>5465</v>
      </c>
      <c r="D50" s="26" t="n">
        <v>2.62</v>
      </c>
      <c r="E50" s="27" t="n">
        <v>2.464</v>
      </c>
      <c r="F50" s="28">
        <f>(1-ABS(D50-E50)/D50)*100</f>
        <v/>
      </c>
      <c r="G50" s="27" t="n">
        <v>0.164</v>
      </c>
      <c r="H50" s="27" t="n">
        <v>0.158</v>
      </c>
      <c r="I50" s="28">
        <f>(1-ABS(G50-H50)/G50)*100</f>
        <v/>
      </c>
      <c r="J50" s="26" t="n">
        <v>0.95</v>
      </c>
      <c r="K50" s="27" t="n">
        <v>0.996</v>
      </c>
      <c r="L50" s="28">
        <f>(1-ABS(J50-K50)/J50)*100</f>
        <v/>
      </c>
      <c r="M50" s="26" t="n">
        <v>0.28</v>
      </c>
      <c r="N50" s="27" t="n">
        <v>0.274</v>
      </c>
      <c r="O50" s="28">
        <f>(1-ABS(M50-N50)/M50)*100</f>
        <v/>
      </c>
      <c r="P50" s="29" t="n">
        <v>0.43</v>
      </c>
      <c r="Q50" s="30" t="n">
        <v>0.635</v>
      </c>
      <c r="R50" s="28">
        <f>(1-ABS(P50-Q50)/P50)*100</f>
        <v/>
      </c>
      <c r="S50" s="31" t="n">
        <v>15</v>
      </c>
      <c r="T50" s="29" t="n">
        <v>13.27</v>
      </c>
      <c r="U50" s="28">
        <f>(1-ABS(S50-T50)/S50)*100</f>
        <v/>
      </c>
    </row>
    <row r="51">
      <c r="B51" s="24" t="inlineStr">
        <is>
          <t>12/08</t>
        </is>
      </c>
      <c r="C51" s="25" t="n">
        <v>5061</v>
      </c>
      <c r="D51" s="26" t="n">
        <v>2.66</v>
      </c>
      <c r="E51" s="27" t="n">
        <v>2.386</v>
      </c>
      <c r="F51" s="28">
        <f>(1-ABS(D51-E51)/D51)*100</f>
        <v/>
      </c>
      <c r="G51" s="27" t="n">
        <v>0.17</v>
      </c>
      <c r="H51" s="27" t="n">
        <v>0.154</v>
      </c>
      <c r="I51" s="28">
        <f>(1-ABS(G51-H51)/G51)*100</f>
        <v/>
      </c>
      <c r="J51" s="26" t="n">
        <v>1.02</v>
      </c>
      <c r="K51" s="27" t="n">
        <v>0.953</v>
      </c>
      <c r="L51" s="28">
        <f>(1-ABS(J51-K51)/J51)*100</f>
        <v/>
      </c>
      <c r="M51" s="26" t="n">
        <v>0.3</v>
      </c>
      <c r="N51" s="27" t="n">
        <v>0.282</v>
      </c>
      <c r="O51" s="28">
        <f>(1-ABS(M51-N51)/M51)*100</f>
        <v/>
      </c>
      <c r="P51" s="29" t="n">
        <v>0.44</v>
      </c>
      <c r="Q51" s="30" t="n">
        <v>0.645</v>
      </c>
      <c r="R51" s="28">
        <f>(1-ABS(P51-Q51)/P51)*100</f>
        <v/>
      </c>
      <c r="S51" s="31" t="n">
        <v>14</v>
      </c>
      <c r="T51" s="29" t="n">
        <v>11.52</v>
      </c>
      <c r="U51" s="28">
        <f>(1-ABS(S51-T51)/S51)*100</f>
        <v/>
      </c>
    </row>
    <row r="52">
      <c r="B52" s="24" t="inlineStr">
        <is>
          <t>12/09</t>
        </is>
      </c>
      <c r="C52" s="25" t="n">
        <v>5579</v>
      </c>
      <c r="D52" s="26" t="n">
        <v>2.59</v>
      </c>
      <c r="E52" s="27" t="n">
        <v>2.507</v>
      </c>
      <c r="F52" s="28">
        <f>(1-ABS(D52-E52)/D52)*100</f>
        <v/>
      </c>
      <c r="G52" s="27" t="n">
        <v>0.158</v>
      </c>
      <c r="H52" s="27" t="n">
        <v>0.16</v>
      </c>
      <c r="I52" s="28">
        <f>(1-ABS(G52-H52)/G52)*100</f>
        <v/>
      </c>
      <c r="J52" s="26" t="n">
        <v>0.88</v>
      </c>
      <c r="K52" s="27" t="n">
        <v>1.004</v>
      </c>
      <c r="L52" s="28">
        <f>(1-ABS(J52-K52)/J52)*100</f>
        <v/>
      </c>
      <c r="M52" s="26" t="n">
        <v>0.28</v>
      </c>
      <c r="N52" s="27" t="n">
        <v>0.27</v>
      </c>
      <c r="O52" s="28">
        <f>(1-ABS(M52-N52)/M52)*100</f>
        <v/>
      </c>
      <c r="P52" s="29" t="n">
        <v>0.42</v>
      </c>
      <c r="Q52" s="30" t="n">
        <v>0.645</v>
      </c>
      <c r="R52" s="28">
        <f>(1-ABS(P52-Q52)/P52)*100</f>
        <v/>
      </c>
      <c r="S52" s="31" t="n">
        <v>15</v>
      </c>
      <c r="T52" s="29" t="n">
        <v>13.25</v>
      </c>
      <c r="U52" s="28">
        <f>(1-ABS(S52-T52)/S52)*100</f>
        <v/>
      </c>
    </row>
    <row r="53">
      <c r="B53" s="24" t="inlineStr">
        <is>
          <t>12/10</t>
        </is>
      </c>
      <c r="C53" s="25" t="n">
        <v>5501</v>
      </c>
      <c r="D53" s="26" t="n">
        <v>2.6</v>
      </c>
      <c r="E53" s="27" t="n">
        <v>2.536</v>
      </c>
      <c r="F53" s="28">
        <f>(1-ABS(D53-E53)/D53)*100</f>
        <v/>
      </c>
      <c r="G53" s="27" t="n">
        <v>0.173</v>
      </c>
      <c r="H53" s="27" t="n">
        <v>0.161</v>
      </c>
      <c r="I53" s="28">
        <f>(1-ABS(G53-H53)/G53)*100</f>
        <v/>
      </c>
      <c r="J53" s="26" t="n">
        <v>1.1</v>
      </c>
      <c r="K53" s="27" t="n">
        <v>1.031</v>
      </c>
      <c r="L53" s="28">
        <f>(1-ABS(J53-K53)/J53)*100</f>
        <v/>
      </c>
      <c r="M53" s="26" t="n">
        <v>0.31</v>
      </c>
      <c r="N53" s="27" t="n">
        <v>0.259</v>
      </c>
      <c r="O53" s="28">
        <f>(1-ABS(M53-N53)/M53)*100</f>
        <v/>
      </c>
      <c r="P53" s="29" t="n">
        <v>0.42</v>
      </c>
      <c r="Q53" s="30" t="n">
        <v>0.638</v>
      </c>
      <c r="R53" s="28">
        <f>(1-ABS(P53-Q53)/P53)*100</f>
        <v/>
      </c>
      <c r="S53" s="31" t="n">
        <v>15</v>
      </c>
      <c r="T53" s="29" t="n">
        <v>13.84</v>
      </c>
      <c r="U53" s="28">
        <f>(1-ABS(S53-T53)/S53)*100</f>
        <v/>
      </c>
    </row>
    <row r="54">
      <c r="B54" s="24" t="inlineStr">
        <is>
          <t>12/11</t>
        </is>
      </c>
      <c r="C54" s="25" t="n">
        <v>5065</v>
      </c>
      <c r="D54" s="26" t="n">
        <v>2.76</v>
      </c>
      <c r="E54" s="27" t="n">
        <v>2.463</v>
      </c>
      <c r="F54" s="28">
        <f>(1-ABS(D54-E54)/D54)*100</f>
        <v/>
      </c>
      <c r="G54" s="27" t="n">
        <v>0.174</v>
      </c>
      <c r="H54" s="27" t="n">
        <v>0.157</v>
      </c>
      <c r="I54" s="28">
        <f>(1-ABS(G54-H54)/G54)*100</f>
        <v/>
      </c>
      <c r="J54" s="26" t="n">
        <v>1.06</v>
      </c>
      <c r="K54" s="27" t="n">
        <v>0.993</v>
      </c>
      <c r="L54" s="28">
        <f>(1-ABS(J54-K54)/J54)*100</f>
        <v/>
      </c>
      <c r="M54" s="26" t="n">
        <v>0.31</v>
      </c>
      <c r="N54" s="27" t="n">
        <v>0.282</v>
      </c>
      <c r="O54" s="28">
        <f>(1-ABS(M54-N54)/M54)*100</f>
        <v/>
      </c>
      <c r="P54" s="29" t="n">
        <v>0.43</v>
      </c>
      <c r="Q54" s="30" t="n">
        <v>0.652</v>
      </c>
      <c r="R54" s="28">
        <f>(1-ABS(P54-Q54)/P54)*100</f>
        <v/>
      </c>
      <c r="S54" s="31" t="n">
        <v>15</v>
      </c>
      <c r="T54" s="29" t="n">
        <v>11.97</v>
      </c>
      <c r="U54" s="28">
        <f>(1-ABS(S54-T54)/S54)*100</f>
        <v/>
      </c>
    </row>
    <row r="55">
      <c r="B55" s="24" t="inlineStr">
        <is>
          <t>12/12</t>
        </is>
      </c>
      <c r="C55" s="25" t="n">
        <v>5747</v>
      </c>
      <c r="D55" s="26" t="n">
        <v>2.59</v>
      </c>
      <c r="E55" s="27" t="n">
        <v>2.462</v>
      </c>
      <c r="F55" s="28">
        <f>(1-ABS(D55-E55)/D55)*100</f>
        <v/>
      </c>
      <c r="G55" s="27" t="n">
        <v>0.177</v>
      </c>
      <c r="H55" s="27" t="n">
        <v>0.156</v>
      </c>
      <c r="I55" s="28">
        <f>(1-ABS(G55-H55)/G55)*100</f>
        <v/>
      </c>
      <c r="J55" s="26" t="n">
        <v>1.07</v>
      </c>
      <c r="K55" s="27" t="n">
        <v>1.005</v>
      </c>
      <c r="L55" s="28">
        <f>(1-ABS(J55-K55)/J55)*100</f>
        <v/>
      </c>
      <c r="M55" s="26" t="n">
        <v>0.3</v>
      </c>
      <c r="N55" s="27" t="n">
        <v>0.281</v>
      </c>
      <c r="O55" s="28">
        <f>(1-ABS(M55-N55)/M55)*100</f>
        <v/>
      </c>
      <c r="P55" s="29" t="n">
        <v>0.47</v>
      </c>
      <c r="Q55" s="30" t="n">
        <v>0.651</v>
      </c>
      <c r="R55" s="28">
        <f>(1-ABS(P55-Q55)/P55)*100</f>
        <v/>
      </c>
      <c r="S55" s="31" t="n">
        <v>15</v>
      </c>
      <c r="T55" s="29" t="n">
        <v>11.97</v>
      </c>
      <c r="U55" s="28">
        <f>(1-ABS(S55-T55)/S55)*100</f>
        <v/>
      </c>
    </row>
    <row r="56">
      <c r="B56" s="24" t="inlineStr">
        <is>
          <t>12/13</t>
        </is>
      </c>
      <c r="C56" s="25" t="n">
        <v>5755</v>
      </c>
      <c r="D56" s="26" t="n">
        <v>2.6</v>
      </c>
      <c r="E56" s="27" t="n">
        <v>2.204</v>
      </c>
      <c r="F56" s="28">
        <f>(1-ABS(D56-E56)/D56)*100</f>
        <v/>
      </c>
      <c r="G56" s="27" t="n">
        <v>0.176</v>
      </c>
      <c r="H56" s="27" t="n">
        <v>0.138</v>
      </c>
      <c r="I56" s="28">
        <f>(1-ABS(G56-H56)/G56)*100</f>
        <v/>
      </c>
      <c r="J56" s="26" t="n">
        <v>1.08</v>
      </c>
      <c r="K56" s="27" t="n">
        <v>0.893</v>
      </c>
      <c r="L56" s="28">
        <f>(1-ABS(J56-K56)/J56)*100</f>
        <v/>
      </c>
      <c r="M56" s="26" t="n">
        <v>0.33</v>
      </c>
      <c r="N56" s="27" t="n">
        <v>0.259</v>
      </c>
      <c r="O56" s="28">
        <f>(1-ABS(M56-N56)/M56)*100</f>
        <v/>
      </c>
      <c r="P56" s="29" t="n">
        <v>0.4</v>
      </c>
      <c r="Q56" s="30" t="n">
        <v>0.5679999999999999</v>
      </c>
      <c r="R56" s="28">
        <f>(1-ABS(P56-Q56)/P56)*100</f>
        <v/>
      </c>
      <c r="S56" s="31" t="n">
        <v>18</v>
      </c>
      <c r="T56" s="29" t="n">
        <v>10.82</v>
      </c>
      <c r="U56" s="28">
        <f>(1-ABS(S56-T56)/S56)*100</f>
        <v/>
      </c>
    </row>
    <row r="57">
      <c r="B57" s="24" t="inlineStr">
        <is>
          <t>12/14</t>
        </is>
      </c>
      <c r="C57" s="25" t="n">
        <v>4158</v>
      </c>
      <c r="D57" s="26" t="n">
        <v>2.56</v>
      </c>
      <c r="E57" s="27" t="n">
        <v>2.043</v>
      </c>
      <c r="F57" s="28">
        <f>(1-ABS(D57-E57)/D57)*100</f>
        <v/>
      </c>
      <c r="G57" s="27" t="n">
        <v>0.154</v>
      </c>
      <c r="H57" s="27" t="n">
        <v>0.127</v>
      </c>
      <c r="I57" s="28">
        <f>(1-ABS(G57-H57)/G57)*100</f>
        <v/>
      </c>
      <c r="J57" s="26" t="n">
        <v>0.82</v>
      </c>
      <c r="K57" s="27" t="n">
        <v>0.8169999999999999</v>
      </c>
      <c r="L57" s="28">
        <f>(1-ABS(J57-K57)/J57)*100</f>
        <v/>
      </c>
      <c r="M57" s="26" t="n">
        <v>0.29</v>
      </c>
      <c r="N57" s="27" t="n">
        <v>0.244</v>
      </c>
      <c r="O57" s="28">
        <f>(1-ABS(M57-N57)/M57)*100</f>
        <v/>
      </c>
      <c r="P57" s="29" t="n">
        <v>0.55</v>
      </c>
      <c r="Q57" s="30" t="n">
        <v>0.528</v>
      </c>
      <c r="R57" s="28">
        <f>(1-ABS(P57-Q57)/P57)*100</f>
        <v/>
      </c>
      <c r="S57" s="31" t="n">
        <v>16</v>
      </c>
      <c r="T57" s="29" t="n">
        <v>9.359999999999999</v>
      </c>
      <c r="U57" s="28">
        <f>(1-ABS(S57-T57)/S57)*100</f>
        <v/>
      </c>
    </row>
    <row r="58">
      <c r="B58" s="24" t="inlineStr">
        <is>
          <t>13/01</t>
        </is>
      </c>
      <c r="C58" s="25" t="n">
        <v>4227</v>
      </c>
      <c r="D58" s="26" t="n">
        <v>2.51</v>
      </c>
      <c r="E58" s="27" t="n">
        <v>2.399</v>
      </c>
      <c r="F58" s="28">
        <f>(1-ABS(D58-E58)/D58)*100</f>
        <v/>
      </c>
      <c r="G58" s="27" t="n">
        <v>0.164</v>
      </c>
      <c r="H58" s="27" t="n">
        <v>0.154</v>
      </c>
      <c r="I58" s="28">
        <f>(1-ABS(G58-H58)/G58)*100</f>
        <v/>
      </c>
      <c r="J58" s="26" t="n">
        <v>1</v>
      </c>
      <c r="K58" s="27" t="n">
        <v>0.955</v>
      </c>
      <c r="L58" s="28">
        <f>(1-ABS(J58-K58)/J58)*100</f>
        <v/>
      </c>
      <c r="M58" s="26" t="n">
        <v>0.28</v>
      </c>
      <c r="N58" s="27" t="n">
        <v>0.273</v>
      </c>
      <c r="O58" s="28">
        <f>(1-ABS(M58-N58)/M58)*100</f>
        <v/>
      </c>
      <c r="P58" s="29" t="n">
        <v>0.48</v>
      </c>
      <c r="Q58" s="30" t="n">
        <v>0.658</v>
      </c>
      <c r="R58" s="28">
        <f>(1-ABS(P58-Q58)/P58)*100</f>
        <v/>
      </c>
      <c r="S58" s="31" t="n">
        <v>13</v>
      </c>
      <c r="T58" s="29" t="n">
        <v>11.17</v>
      </c>
      <c r="U58" s="28">
        <f>(1-ABS(S58-T58)/S58)*100</f>
        <v/>
      </c>
    </row>
    <row r="59">
      <c r="B59" s="24" t="inlineStr">
        <is>
          <t>13/02</t>
        </is>
      </c>
      <c r="C59" s="25" t="n">
        <v>5226</v>
      </c>
      <c r="D59" s="26" t="n">
        <v>2.73</v>
      </c>
      <c r="E59" s="27" t="n">
        <v>2.505</v>
      </c>
      <c r="F59" s="28">
        <f>(1-ABS(D59-E59)/D59)*100</f>
        <v/>
      </c>
      <c r="G59" s="27" t="n">
        <v>0.157</v>
      </c>
      <c r="H59" s="27" t="n">
        <v>0.162</v>
      </c>
      <c r="I59" s="28">
        <f>(1-ABS(G59-H59)/G59)*100</f>
        <v/>
      </c>
      <c r="J59" s="26" t="n">
        <v>0.95</v>
      </c>
      <c r="K59" s="27" t="n">
        <v>1.002</v>
      </c>
      <c r="L59" s="28">
        <f>(1-ABS(J59-K59)/J59)*100</f>
        <v/>
      </c>
      <c r="M59" s="26" t="n">
        <v>0.27</v>
      </c>
      <c r="N59" s="27" t="n">
        <v>0.282</v>
      </c>
      <c r="O59" s="28">
        <f>(1-ABS(M59-N59)/M59)*100</f>
        <v/>
      </c>
      <c r="P59" s="29" t="n">
        <v>0.48</v>
      </c>
      <c r="Q59" s="30" t="n">
        <v>0.6919999999999999</v>
      </c>
      <c r="R59" s="28">
        <f>(1-ABS(P59-Q59)/P59)*100</f>
        <v/>
      </c>
      <c r="S59" s="31" t="n">
        <v>13</v>
      </c>
      <c r="T59" s="29" t="n">
        <v>11.9</v>
      </c>
      <c r="U59" s="28">
        <f>(1-ABS(S59-T59)/S59)*100</f>
        <v/>
      </c>
    </row>
    <row r="60">
      <c r="B60" s="24" t="inlineStr">
        <is>
          <t>13/03</t>
        </is>
      </c>
      <c r="C60" s="25" t="n">
        <v>4026</v>
      </c>
      <c r="D60" s="26" t="n">
        <v>2.5</v>
      </c>
      <c r="E60" s="27" t="n">
        <v>2.597</v>
      </c>
      <c r="F60" s="28">
        <f>(1-ABS(D60-E60)/D60)*100</f>
        <v/>
      </c>
      <c r="G60" s="27" t="n">
        <v>0.174</v>
      </c>
      <c r="H60" s="27" t="n">
        <v>0.165</v>
      </c>
      <c r="I60" s="28">
        <f>(1-ABS(G60-H60)/G60)*100</f>
        <v/>
      </c>
      <c r="J60" s="26" t="n">
        <v>1</v>
      </c>
      <c r="K60" s="27" t="n">
        <v>1.049</v>
      </c>
      <c r="L60" s="28">
        <f>(1-ABS(J60-K60)/J60)*100</f>
        <v/>
      </c>
      <c r="M60" s="26" t="n">
        <v>0.3</v>
      </c>
      <c r="N60" s="27" t="n">
        <v>0.281</v>
      </c>
      <c r="O60" s="28">
        <f>(1-ABS(M60-N60)/M60)*100</f>
        <v/>
      </c>
      <c r="P60" s="29" t="n">
        <v>0.47</v>
      </c>
      <c r="Q60" s="30" t="n">
        <v>0.667</v>
      </c>
      <c r="R60" s="28">
        <f>(1-ABS(P60-Q60)/P60)*100</f>
        <v/>
      </c>
      <c r="S60" s="31" t="n">
        <v>16</v>
      </c>
      <c r="T60" s="29" t="n">
        <v>13.27</v>
      </c>
      <c r="U60" s="28">
        <f>(1-ABS(S60-T60)/S60)*100</f>
        <v/>
      </c>
    </row>
    <row r="61">
      <c r="B61" s="24" t="inlineStr">
        <is>
          <t>13/04</t>
        </is>
      </c>
      <c r="C61" s="25" t="n">
        <v>4365</v>
      </c>
      <c r="D61" s="26" t="n">
        <v>2.69</v>
      </c>
      <c r="E61" s="27" t="n">
        <v>2.58</v>
      </c>
      <c r="F61" s="28">
        <f>(1-ABS(D61-E61)/D61)*100</f>
        <v/>
      </c>
      <c r="G61" s="27" t="n">
        <v>0.173</v>
      </c>
      <c r="H61" s="27" t="n">
        <v>0.164</v>
      </c>
      <c r="I61" s="28">
        <f>(1-ABS(G61-H61)/G61)*100</f>
        <v/>
      </c>
      <c r="J61" s="26" t="n">
        <v>1.01</v>
      </c>
      <c r="K61" s="27" t="n">
        <v>1.045</v>
      </c>
      <c r="L61" s="28">
        <f>(1-ABS(J61-K61)/J61)*100</f>
        <v/>
      </c>
      <c r="M61" s="26" t="n">
        <v>0.33</v>
      </c>
      <c r="N61" s="27" t="n">
        <v>0.287</v>
      </c>
      <c r="O61" s="28">
        <f>(1-ABS(M61-N61)/M61)*100</f>
        <v/>
      </c>
      <c r="P61" s="29" t="n">
        <v>0.49</v>
      </c>
      <c r="Q61" s="30" t="n">
        <v>0.674</v>
      </c>
      <c r="R61" s="28">
        <f>(1-ABS(P61-Q61)/P61)*100</f>
        <v/>
      </c>
      <c r="S61" s="31" t="n">
        <v>14</v>
      </c>
      <c r="T61" s="29" t="n">
        <v>12.81</v>
      </c>
      <c r="U61" s="28">
        <f>(1-ABS(S61-T61)/S61)*100</f>
        <v/>
      </c>
    </row>
    <row r="62">
      <c r="B62" s="24" t="inlineStr">
        <is>
          <t>13/05</t>
        </is>
      </c>
      <c r="C62" s="25" t="n">
        <v>4215</v>
      </c>
      <c r="D62" s="26" t="n">
        <v>2.53</v>
      </c>
      <c r="E62" s="27" t="n">
        <v>1.8</v>
      </c>
      <c r="F62" s="28">
        <f>(1-ABS(D62-E62)/D62)*100</f>
        <v/>
      </c>
      <c r="G62" s="27" t="n">
        <v>0.173</v>
      </c>
      <c r="H62" s="27" t="n">
        <v>0.108</v>
      </c>
      <c r="I62" s="28">
        <f>(1-ABS(G62-H62)/G62)*100</f>
        <v/>
      </c>
      <c r="J62" s="26" t="n">
        <v>1.06</v>
      </c>
      <c r="K62" s="27" t="n">
        <v>0.71</v>
      </c>
      <c r="L62" s="28">
        <f>(1-ABS(J62-K62)/J62)*100</f>
        <v/>
      </c>
      <c r="M62" s="26" t="n">
        <v>0.32</v>
      </c>
      <c r="N62" s="27" t="n">
        <v>0.225</v>
      </c>
      <c r="O62" s="28">
        <f>(1-ABS(M62-N62)/M62)*100</f>
        <v/>
      </c>
      <c r="P62" s="29" t="n">
        <v>0.48</v>
      </c>
      <c r="Q62" s="30" t="n">
        <v>0.444</v>
      </c>
      <c r="R62" s="28">
        <f>(1-ABS(P62-Q62)/P62)*100</f>
        <v/>
      </c>
      <c r="S62" s="31" t="n">
        <v>15</v>
      </c>
      <c r="T62" s="29" t="n">
        <v>8.57</v>
      </c>
      <c r="U62" s="28">
        <f>(1-ABS(S62-T62)/S62)*100</f>
        <v/>
      </c>
    </row>
    <row r="63">
      <c r="B63" s="24" t="inlineStr">
        <is>
          <t>13/06</t>
        </is>
      </c>
      <c r="C63" s="25" t="n">
        <v>4231</v>
      </c>
      <c r="D63" s="26" t="n">
        <v>2.49</v>
      </c>
      <c r="E63" s="27" t="n">
        <v>2.218</v>
      </c>
      <c r="F63" s="28">
        <f>(1-ABS(D63-E63)/D63)*100</f>
        <v/>
      </c>
      <c r="G63" s="27" t="n">
        <v>0.169</v>
      </c>
      <c r="H63" s="27" t="n">
        <v>0.142</v>
      </c>
      <c r="I63" s="28">
        <f>(1-ABS(G63-H63)/G63)*100</f>
        <v/>
      </c>
      <c r="J63" s="26" t="n">
        <v>1</v>
      </c>
      <c r="K63" s="27" t="n">
        <v>0.879</v>
      </c>
      <c r="L63" s="28">
        <f>(1-ABS(J63-K63)/J63)*100</f>
        <v/>
      </c>
      <c r="M63" s="26" t="n">
        <v>0.3</v>
      </c>
      <c r="N63" s="27" t="n">
        <v>0.266</v>
      </c>
      <c r="O63" s="28">
        <f>(1-ABS(M63-N63)/M63)*100</f>
        <v/>
      </c>
      <c r="P63" s="29" t="n">
        <v>0.46</v>
      </c>
      <c r="Q63" s="30" t="n">
        <v>0.596</v>
      </c>
      <c r="R63" s="28">
        <f>(1-ABS(P63-Q63)/P63)*100</f>
        <v/>
      </c>
      <c r="S63" s="31" t="n">
        <v>14</v>
      </c>
      <c r="T63" s="29" t="n">
        <v>10.43</v>
      </c>
      <c r="U63" s="28">
        <f>(1-ABS(S63-T63)/S63)*100</f>
        <v/>
      </c>
    </row>
    <row r="64">
      <c r="B64" s="24" t="inlineStr">
        <is>
          <t>13/07</t>
        </is>
      </c>
      <c r="C64" s="25" t="n">
        <v>4109</v>
      </c>
      <c r="D64" s="26" t="n">
        <v>2.65</v>
      </c>
      <c r="E64" s="27" t="n">
        <v>2.449</v>
      </c>
      <c r="F64" s="28">
        <f>(1-ABS(D64-E64)/D64)*100</f>
        <v/>
      </c>
      <c r="G64" s="27" t="n">
        <v>0.173</v>
      </c>
      <c r="H64" s="27" t="n">
        <v>0.156</v>
      </c>
      <c r="I64" s="28">
        <f>(1-ABS(G64-H64)/G64)*100</f>
        <v/>
      </c>
      <c r="J64" s="26" t="n">
        <v>0.99</v>
      </c>
      <c r="K64" s="27" t="n">
        <v>0.999</v>
      </c>
      <c r="L64" s="28">
        <f>(1-ABS(J64-K64)/J64)*100</f>
        <v/>
      </c>
      <c r="M64" s="26" t="n">
        <v>0.3</v>
      </c>
      <c r="N64" s="27" t="n">
        <v>0.278</v>
      </c>
      <c r="O64" s="28">
        <f>(1-ABS(M64-N64)/M64)*100</f>
        <v/>
      </c>
      <c r="P64" s="29" t="n">
        <v>0.46</v>
      </c>
      <c r="Q64" s="30" t="n">
        <v>0.647</v>
      </c>
      <c r="R64" s="28">
        <f>(1-ABS(P64-Q64)/P64)*100</f>
        <v/>
      </c>
      <c r="S64" s="31" t="n">
        <v>15</v>
      </c>
      <c r="T64" s="29" t="n">
        <v>12.08</v>
      </c>
      <c r="U64" s="28">
        <f>(1-ABS(S64-T64)/S64)*100</f>
        <v/>
      </c>
    </row>
    <row r="65">
      <c r="B65" s="24" t="inlineStr">
        <is>
          <t>13/08</t>
        </is>
      </c>
      <c r="C65" s="25" t="n">
        <v>5031</v>
      </c>
      <c r="D65" s="26" t="n">
        <v>2.62</v>
      </c>
      <c r="E65" s="27" t="n">
        <v>2.324</v>
      </c>
      <c r="F65" s="28">
        <f>(1-ABS(D65-E65)/D65)*100</f>
        <v/>
      </c>
      <c r="G65" s="27" t="n">
        <v>0.165</v>
      </c>
      <c r="H65" s="27" t="n">
        <v>0.149</v>
      </c>
      <c r="I65" s="28">
        <f>(1-ABS(G65-H65)/G65)*100</f>
        <v/>
      </c>
      <c r="J65" s="26" t="n">
        <v>1.01</v>
      </c>
      <c r="K65" s="27" t="n">
        <v>0.931</v>
      </c>
      <c r="L65" s="28">
        <f>(1-ABS(J65-K65)/J65)*100</f>
        <v/>
      </c>
      <c r="M65" s="26" t="n">
        <v>0.31</v>
      </c>
      <c r="N65" s="27" t="n">
        <v>0.275</v>
      </c>
      <c r="O65" s="28">
        <f>(1-ABS(M65-N65)/M65)*100</f>
        <v/>
      </c>
      <c r="P65" s="29" t="n">
        <v>0.46</v>
      </c>
      <c r="Q65" s="30" t="n">
        <v>0.62</v>
      </c>
      <c r="R65" s="28">
        <f>(1-ABS(P65-Q65)/P65)*100</f>
        <v/>
      </c>
      <c r="S65" s="31" t="n">
        <v>15</v>
      </c>
      <c r="T65" s="29" t="n">
        <v>11.02</v>
      </c>
      <c r="U65" s="28">
        <f>(1-ABS(S65-T65)/S65)*100</f>
        <v/>
      </c>
    </row>
    <row r="66">
      <c r="B66" s="24" t="inlineStr">
        <is>
          <t>13/09</t>
        </is>
      </c>
      <c r="C66" s="25" t="n">
        <v>4263</v>
      </c>
      <c r="D66" s="26" t="n">
        <v>2.61</v>
      </c>
      <c r="E66" s="27" t="n">
        <v>2.353</v>
      </c>
      <c r="F66" s="28">
        <f>(1-ABS(D66-E66)/D66)*100</f>
        <v/>
      </c>
      <c r="G66" s="27" t="n">
        <v>0.176</v>
      </c>
      <c r="H66" s="27" t="n">
        <v>0.149</v>
      </c>
      <c r="I66" s="28">
        <f>(1-ABS(G66-H66)/G66)*100</f>
        <v/>
      </c>
      <c r="J66" s="26" t="n">
        <v>1.05</v>
      </c>
      <c r="K66" s="27" t="n">
        <v>0.946</v>
      </c>
      <c r="L66" s="28">
        <f>(1-ABS(J66-K66)/J66)*100</f>
        <v/>
      </c>
      <c r="M66" s="26" t="n">
        <v>0.33</v>
      </c>
      <c r="N66" s="27" t="n">
        <v>0.275</v>
      </c>
      <c r="O66" s="28">
        <f>(1-ABS(M66-N66)/M66)*100</f>
        <v/>
      </c>
      <c r="P66" s="29" t="n">
        <v>0.48</v>
      </c>
      <c r="Q66" s="30" t="n">
        <v>0.613</v>
      </c>
      <c r="R66" s="28">
        <f>(1-ABS(P66-Q66)/P66)*100</f>
        <v/>
      </c>
      <c r="S66" s="31" t="n">
        <v>16</v>
      </c>
      <c r="T66" s="29" t="n">
        <v>11.54</v>
      </c>
      <c r="U66" s="28">
        <f>(1-ABS(S66-T66)/S66)*100</f>
        <v/>
      </c>
    </row>
    <row r="67">
      <c r="B67" s="24" t="inlineStr">
        <is>
          <t>13/10</t>
        </is>
      </c>
      <c r="C67" s="25" t="n">
        <v>4800</v>
      </c>
      <c r="D67" s="26" t="n">
        <v>2.5</v>
      </c>
      <c r="E67" s="27" t="n">
        <v>2.587</v>
      </c>
      <c r="F67" s="28">
        <f>(1-ABS(D67-E67)/D67)*100</f>
        <v/>
      </c>
      <c r="G67" s="27" t="n">
        <v>0.162</v>
      </c>
      <c r="H67" s="27" t="n">
        <v>0.166</v>
      </c>
      <c r="I67" s="28">
        <f>(1-ABS(G67-H67)/G67)*100</f>
        <v/>
      </c>
      <c r="J67" s="26" t="n">
        <v>0.92</v>
      </c>
      <c r="K67" s="27" t="n">
        <v>1.043</v>
      </c>
      <c r="L67" s="28">
        <f>(1-ABS(J67-K67)/J67)*100</f>
        <v/>
      </c>
      <c r="M67" s="26" t="n">
        <v>0.27</v>
      </c>
      <c r="N67" s="27" t="n">
        <v>0.292</v>
      </c>
      <c r="O67" s="28">
        <f>(1-ABS(M67-N67)/M67)*100</f>
        <v/>
      </c>
      <c r="P67" s="29" t="n">
        <v>0.43</v>
      </c>
      <c r="Q67" s="30" t="n">
        <v>0.696</v>
      </c>
      <c r="R67" s="28">
        <f>(1-ABS(P67-Q67)/P67)*100</f>
        <v/>
      </c>
      <c r="S67" s="31" t="n">
        <v>17</v>
      </c>
      <c r="T67" s="29" t="n">
        <v>11.99</v>
      </c>
      <c r="U67" s="28">
        <f>(1-ABS(S67-T67)/S67)*100</f>
        <v/>
      </c>
    </row>
    <row r="68">
      <c r="B68" s="24" t="inlineStr">
        <is>
          <t>13/11</t>
        </is>
      </c>
      <c r="C68" s="25" t="n">
        <v>3927</v>
      </c>
      <c r="D68" s="26" t="n">
        <v>2.76</v>
      </c>
      <c r="E68" s="27" t="n">
        <v>2.384</v>
      </c>
      <c r="F68" s="28">
        <f>(1-ABS(D68-E68)/D68)*100</f>
        <v/>
      </c>
      <c r="G68" s="27" t="n">
        <v>0.175</v>
      </c>
      <c r="H68" s="27" t="n">
        <v>0.155</v>
      </c>
      <c r="I68" s="28">
        <f>(1-ABS(G68-H68)/G68)*100</f>
        <v/>
      </c>
      <c r="J68" s="26" t="n">
        <v>1.02</v>
      </c>
      <c r="K68" s="27" t="n">
        <v>0.945</v>
      </c>
      <c r="L68" s="28">
        <f>(1-ABS(J68-K68)/J68)*100</f>
        <v/>
      </c>
      <c r="M68" s="26" t="n">
        <v>0.31</v>
      </c>
      <c r="N68" s="27" t="n">
        <v>0.288</v>
      </c>
      <c r="O68" s="28">
        <f>(1-ABS(M68-N68)/M68)*100</f>
        <v/>
      </c>
      <c r="P68" s="29" t="n">
        <v>0.45</v>
      </c>
      <c r="Q68" s="30" t="n">
        <v>0.677</v>
      </c>
      <c r="R68" s="28">
        <f>(1-ABS(P68-Q68)/P68)*100</f>
        <v/>
      </c>
      <c r="S68" s="31" t="n">
        <v>16</v>
      </c>
      <c r="T68" s="29" t="n">
        <v>10.42</v>
      </c>
      <c r="U68" s="28">
        <f>(1-ABS(S68-T68)/S68)*100</f>
        <v/>
      </c>
    </row>
    <row r="69">
      <c r="B69" s="24" t="inlineStr">
        <is>
          <t>13/12</t>
        </is>
      </c>
      <c r="C69" s="25" t="n">
        <v>11577</v>
      </c>
      <c r="D69" s="26" t="n">
        <v>2.68</v>
      </c>
      <c r="E69" s="27" t="n">
        <v>2.582</v>
      </c>
      <c r="F69" s="28">
        <f>(1-ABS(D69-E69)/D69)*100</f>
        <v/>
      </c>
      <c r="G69" s="27" t="n">
        <v>0.158</v>
      </c>
      <c r="H69" s="27" t="n">
        <v>0.167</v>
      </c>
      <c r="I69" s="28">
        <f>(1-ABS(G69-H69)/G69)*100</f>
        <v/>
      </c>
      <c r="J69" s="26" t="n">
        <v>0.96</v>
      </c>
      <c r="K69" s="27" t="n">
        <v>1.055</v>
      </c>
      <c r="L69" s="28">
        <f>(1-ABS(J69-K69)/J69)*100</f>
        <v/>
      </c>
      <c r="M69" s="26" t="n">
        <v>0.27</v>
      </c>
      <c r="N69" s="27" t="n">
        <v>0.3</v>
      </c>
      <c r="O69" s="28">
        <f>(1-ABS(M69-N69)/M69)*100</f>
        <v/>
      </c>
      <c r="P69" s="29" t="n">
        <v>0.49</v>
      </c>
      <c r="Q69" s="30" t="n">
        <v>0.706</v>
      </c>
      <c r="R69" s="28">
        <f>(1-ABS(P69-Q69)/P69)*100</f>
        <v/>
      </c>
      <c r="S69" s="31" t="n">
        <v>17</v>
      </c>
      <c r="T69" s="29" t="n">
        <v>11.53</v>
      </c>
      <c r="U69" s="28">
        <f>(1-ABS(S69-T69)/S69)*100</f>
        <v/>
      </c>
    </row>
    <row r="70">
      <c r="B70" s="24" t="inlineStr">
        <is>
          <t>13/13</t>
        </is>
      </c>
      <c r="C70" s="25" t="n">
        <v>5746</v>
      </c>
      <c r="D70" s="26" t="n">
        <v>2.65</v>
      </c>
      <c r="E70" s="27" t="n">
        <v>2.233</v>
      </c>
      <c r="F70" s="28">
        <f>(1-ABS(D70-E70)/D70)*100</f>
        <v/>
      </c>
      <c r="G70" s="27" t="n">
        <v>0.171</v>
      </c>
      <c r="H70" s="27" t="n">
        <v>0.141</v>
      </c>
      <c r="I70" s="28">
        <f>(1-ABS(G70-H70)/G70)*100</f>
        <v/>
      </c>
      <c r="J70" s="26" t="n">
        <v>0.92</v>
      </c>
      <c r="K70" s="27" t="n">
        <v>0.892</v>
      </c>
      <c r="L70" s="28">
        <f>(1-ABS(J70-K70)/J70)*100</f>
        <v/>
      </c>
      <c r="M70" s="26" t="n">
        <v>0.31</v>
      </c>
      <c r="N70" s="27" t="n">
        <v>0.257</v>
      </c>
      <c r="O70" s="28">
        <f>(1-ABS(M70-N70)/M70)*100</f>
        <v/>
      </c>
      <c r="P70" s="29" t="n">
        <v>0.52</v>
      </c>
      <c r="Q70" s="30" t="n">
        <v>0.575</v>
      </c>
      <c r="R70" s="28">
        <f>(1-ABS(P70-Q70)/P70)*100</f>
        <v/>
      </c>
      <c r="S70" s="31" t="n">
        <v>19</v>
      </c>
      <c r="T70" s="29" t="n">
        <v>11.33</v>
      </c>
      <c r="U70" s="28">
        <f>(1-ABS(S70-T70)/S70)*100</f>
        <v/>
      </c>
    </row>
    <row r="71">
      <c r="B71" s="24" t="inlineStr">
        <is>
          <t>13/14</t>
        </is>
      </c>
      <c r="C71" s="25" t="n">
        <v>6198</v>
      </c>
      <c r="D71" s="26" t="n">
        <v>2.64</v>
      </c>
      <c r="E71" s="27" t="n">
        <v>1.776</v>
      </c>
      <c r="F71" s="28">
        <f>(1-ABS(D71-E71)/D71)*100</f>
        <v/>
      </c>
      <c r="G71" s="27" t="n">
        <v>0.167</v>
      </c>
      <c r="H71" s="27" t="n">
        <v>0.11</v>
      </c>
      <c r="I71" s="28">
        <f>(1-ABS(G71-H71)/G71)*100</f>
        <v/>
      </c>
      <c r="J71" s="26" t="n">
        <v>0.99</v>
      </c>
      <c r="K71" s="27" t="n">
        <v>0.6929999999999999</v>
      </c>
      <c r="L71" s="28">
        <f>(1-ABS(J71-K71)/J71)*100</f>
        <v/>
      </c>
      <c r="M71" s="26" t="n">
        <v>0.27</v>
      </c>
      <c r="N71" s="27" t="n">
        <v>0.226</v>
      </c>
      <c r="O71" s="28">
        <f>(1-ABS(M71-N71)/M71)*100</f>
        <v/>
      </c>
      <c r="P71" s="29" t="n">
        <v>0.47</v>
      </c>
      <c r="Q71" s="30" t="n">
        <v>0.458</v>
      </c>
      <c r="R71" s="28">
        <f>(1-ABS(P71-Q71)/P71)*100</f>
        <v/>
      </c>
      <c r="S71" s="31" t="n">
        <v>16</v>
      </c>
      <c r="T71" s="29" t="n">
        <v>7.98</v>
      </c>
      <c r="U71" s="28">
        <f>(1-ABS(S71-T71)/S71)*100</f>
        <v/>
      </c>
    </row>
    <row r="72" ht="35" customHeight="1">
      <c r="A72" s="33" t="inlineStr">
        <is>
          <t>AVG ACCURACY</t>
        </is>
      </c>
      <c r="F72" s="34">
        <f>AVERAGE(F7:F71)</f>
        <v/>
      </c>
      <c r="I72" s="34">
        <f>AVERAGE(I7:I71)</f>
        <v/>
      </c>
      <c r="L72" s="34">
        <f>AVERAGE(L7:L71)</f>
        <v/>
      </c>
      <c r="O72" s="34">
        <f>AVERAGE(O7:O71)</f>
        <v/>
      </c>
      <c r="R72" s="35">
        <f>AVERAGE(R7:R71)</f>
        <v/>
      </c>
      <c r="U72" s="35">
        <f>AVERAGE(U7:U71)</f>
        <v/>
      </c>
    </row>
    <row r="73" ht="40" customHeight="1">
      <c r="A73" s="36" t="inlineStr">
        <is>
          <t>Best result closer to 0</t>
        </is>
      </c>
      <c r="B73" s="24" t="inlineStr">
        <is>
          <t>R^2 (Coefficient of determination)</t>
        </is>
      </c>
      <c r="C73" s="37" t="n"/>
      <c r="D73" s="38">
        <f>RSQ(E7:E71, D7:D71)</f>
        <v/>
      </c>
      <c r="E73" s="39" t="n"/>
      <c r="F73" s="37" t="n"/>
      <c r="G73" s="38">
        <f>RSQ(H7:H71, G7:G71)</f>
        <v/>
      </c>
      <c r="H73" s="39" t="n"/>
      <c r="I73" s="37" t="n"/>
      <c r="J73" s="38">
        <f>RSQ(K7:K71, J7:J71)</f>
        <v/>
      </c>
      <c r="K73" s="39" t="n"/>
      <c r="L73" s="37" t="n"/>
      <c r="M73" s="38">
        <f>RSQ(N7:N71, M7:M71)</f>
        <v/>
      </c>
      <c r="N73" s="39" t="n"/>
      <c r="O73" s="37" t="n"/>
      <c r="P73" s="40">
        <f>RSQ(Q7:Q71, P7:P71)</f>
        <v/>
      </c>
      <c r="Q73" s="39" t="n"/>
      <c r="R73" s="37" t="n"/>
      <c r="S73" s="40">
        <f>RSQ(T7:T71, S7:S71)</f>
        <v/>
      </c>
      <c r="T73" s="39" t="n"/>
      <c r="U73" s="37" t="n"/>
    </row>
    <row r="74" ht="39" customHeight="1">
      <c r="A74" s="36" t="inlineStr">
        <is>
          <t>Best result closer to 1</t>
        </is>
      </c>
      <c r="B74" s="24" t="inlineStr">
        <is>
          <t>MAE (Average size of prediction errors)</t>
        </is>
      </c>
      <c r="C74" s="37" t="n"/>
      <c r="D74" s="38">
        <f>SUMPRODUCT(ABS(D7:D71-E7:E71))/COUNT(D7:D71)</f>
        <v/>
      </c>
      <c r="E74" s="39" t="n"/>
      <c r="F74" s="37" t="n"/>
      <c r="G74" s="38">
        <f>SUMPRODUCT(ABS(G7:G71-H7:H71))/COUNT(G7:G71)</f>
        <v/>
      </c>
      <c r="H74" s="39" t="n"/>
      <c r="I74" s="37" t="n"/>
      <c r="J74" s="38">
        <f>SUMPRODUCT(ABS(J7:J71-K7:K71))/COUNT(J7:J71)</f>
        <v/>
      </c>
      <c r="K74" s="39" t="n"/>
      <c r="L74" s="37" t="n"/>
      <c r="M74" s="38">
        <f>SUMPRODUCT(ABS(M7:M71-N7:N71))/COUNT(M7:M71)</f>
        <v/>
      </c>
      <c r="N74" s="39" t="n"/>
      <c r="O74" s="37" t="n"/>
      <c r="P74" s="40">
        <f>SUMPRODUCT(ABS(P7:P71-Q7:Q71))/COUNT(P7:P71)</f>
        <v/>
      </c>
      <c r="Q74" s="39" t="n"/>
      <c r="R74" s="37" t="n"/>
      <c r="S74" s="40">
        <f>SUMPRODUCT(ABS(S7:S71-T7:T71))/COUNT(S7:S71)</f>
        <v/>
      </c>
      <c r="T74" s="39" t="n"/>
      <c r="U74" s="37" t="n"/>
    </row>
    <row r="75" ht="66" customHeight="1">
      <c r="A75" s="36" t="inlineStr">
        <is>
          <t>Best result closer to 1</t>
        </is>
      </c>
      <c r="B75" s="24" t="inlineStr">
        <is>
          <t>RMSE (Prediction error, with larger mistakes penalised more)</t>
        </is>
      </c>
      <c r="C75" s="37" t="n"/>
      <c r="D75" s="38">
        <f>SQRT(SUMXMY2(D7:D71, E7:E71)/COUNT(D7:D71))</f>
        <v/>
      </c>
      <c r="E75" s="39" t="n"/>
      <c r="F75" s="37" t="n"/>
      <c r="G75" s="38">
        <f>SQRT(SUMXMY2(G7:G71, H7:H71)/COUNT(G7:G71))</f>
        <v/>
      </c>
      <c r="H75" s="39" t="n"/>
      <c r="I75" s="37" t="n"/>
      <c r="J75" s="38">
        <f>SQRT(SUMXMY2(J7:J71, K7:K71)/COUNT(J7:J71))</f>
        <v/>
      </c>
      <c r="K75" s="39" t="n"/>
      <c r="L75" s="37" t="n"/>
      <c r="M75" s="38">
        <f>SQRT(SUMXMY2(M7:M71, N7:N71)/COUNT(M7:M71))</f>
        <v/>
      </c>
      <c r="N75" s="39" t="n"/>
      <c r="O75" s="37" t="n"/>
      <c r="P75" s="40">
        <f>SQRT(SUMXMY2(P7:P71, Q7:Q71)/COUNT(P7:P71))</f>
        <v/>
      </c>
      <c r="Q75" s="39" t="n"/>
      <c r="R75" s="37" t="n"/>
      <c r="S75" s="40">
        <f>SQRT(SUMXMY2(S7:S71, T7:T71)/COUNT(S7:S71))</f>
        <v/>
      </c>
      <c r="T75" s="39" t="n"/>
      <c r="U75" s="37" t="n"/>
    </row>
  </sheetData>
  <mergeCells count="31">
    <mergeCell ref="B4:O4"/>
    <mergeCell ref="J74:L74"/>
    <mergeCell ref="M75:O75"/>
    <mergeCell ref="D75:F75"/>
    <mergeCell ref="G74:I74"/>
    <mergeCell ref="M74:O74"/>
    <mergeCell ref="G5:I5"/>
    <mergeCell ref="P75:R75"/>
    <mergeCell ref="J75:L75"/>
    <mergeCell ref="G73:I73"/>
    <mergeCell ref="S74:U74"/>
    <mergeCell ref="D74:F74"/>
    <mergeCell ref="D73:F73"/>
    <mergeCell ref="B73:C73"/>
    <mergeCell ref="S5:U5"/>
    <mergeCell ref="D5:F5"/>
    <mergeCell ref="P5:R5"/>
    <mergeCell ref="G75:I75"/>
    <mergeCell ref="P74:R74"/>
    <mergeCell ref="S75:U75"/>
    <mergeCell ref="J73:L73"/>
    <mergeCell ref="P73:R73"/>
    <mergeCell ref="B5:B6"/>
    <mergeCell ref="P4:U4"/>
    <mergeCell ref="B74:C74"/>
    <mergeCell ref="J5:L5"/>
    <mergeCell ref="M5:O5"/>
    <mergeCell ref="C5:C6"/>
    <mergeCell ref="M73:O73"/>
    <mergeCell ref="B75:C75"/>
    <mergeCell ref="S73:U73"/>
  </mergeCells>
  <conditionalFormatting sqref="F7:F71 I7:I71 L7:L71 O7:O71 R7:R71 U7:U71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6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09/01</t>
        </is>
      </c>
      <c r="C7" s="25" t="n">
        <v>5528</v>
      </c>
      <c r="D7" s="26" t="n">
        <v>2.6</v>
      </c>
      <c r="E7" s="27" t="n">
        <v>2.494</v>
      </c>
      <c r="F7" s="28">
        <f>(1-ABS(D7-E7)/D7)*100</f>
        <v/>
      </c>
      <c r="G7" s="27" t="n">
        <v>0.171</v>
      </c>
      <c r="H7" s="27" t="n">
        <v>0.16</v>
      </c>
      <c r="I7" s="28">
        <f>(1-ABS(G7-H7)/G7)*100</f>
        <v/>
      </c>
      <c r="J7" s="26" t="n">
        <v>0.96</v>
      </c>
      <c r="K7" s="27" t="n">
        <v>1.008</v>
      </c>
      <c r="L7" s="28">
        <f>(1-ABS(J7-K7)/J7)*100</f>
        <v/>
      </c>
      <c r="M7" s="26" t="n">
        <v>0.33</v>
      </c>
      <c r="N7" s="27" t="n">
        <v>0.274</v>
      </c>
      <c r="O7" s="28">
        <f>(1-ABS(M7-N7)/M7)*100</f>
        <v/>
      </c>
      <c r="P7" s="29" t="n">
        <v>0.43</v>
      </c>
      <c r="Q7" s="30" t="n">
        <v>0.642</v>
      </c>
      <c r="R7" s="28">
        <f>(1-ABS(P7-Q7)/P7)*100</f>
        <v/>
      </c>
      <c r="S7" s="31" t="n">
        <v>14</v>
      </c>
      <c r="T7" s="29" t="n">
        <v>13.17</v>
      </c>
      <c r="U7" s="28">
        <f>(1-ABS(S7-T7)/S7)*100</f>
        <v/>
      </c>
    </row>
    <row r="8">
      <c r="B8" s="24" t="inlineStr">
        <is>
          <t>09/01</t>
        </is>
      </c>
      <c r="C8" s="25" t="n">
        <v>5528</v>
      </c>
      <c r="D8" s="26" t="n">
        <v>2.67</v>
      </c>
      <c r="E8" s="27" t="n">
        <v>2.494</v>
      </c>
      <c r="F8" s="28">
        <f>(1-ABS(D8-E8)/D8)*100</f>
        <v/>
      </c>
      <c r="G8" s="27" t="n">
        <v>0.17</v>
      </c>
      <c r="H8" s="27" t="n">
        <v>0.16</v>
      </c>
      <c r="I8" s="28">
        <f>(1-ABS(G8-H8)/G8)*100</f>
        <v/>
      </c>
      <c r="J8" s="26" t="n">
        <v>0.88</v>
      </c>
      <c r="K8" s="27" t="n">
        <v>1.008</v>
      </c>
      <c r="L8" s="28">
        <f>(1-ABS(J8-K8)/J8)*100</f>
        <v/>
      </c>
      <c r="M8" s="26" t="n">
        <v>0.31</v>
      </c>
      <c r="N8" s="27" t="n">
        <v>0.274</v>
      </c>
      <c r="O8" s="28">
        <f>(1-ABS(M8-N8)/M8)*100</f>
        <v/>
      </c>
      <c r="P8" s="29" t="n">
        <v>0.5</v>
      </c>
      <c r="Q8" s="30" t="n">
        <v>0.642</v>
      </c>
      <c r="R8" s="28">
        <f>(1-ABS(P8-Q8)/P8)*100</f>
        <v/>
      </c>
      <c r="S8" s="31" t="n">
        <v>15</v>
      </c>
      <c r="T8" s="29" t="n">
        <v>13.17</v>
      </c>
      <c r="U8" s="28">
        <f>(1-ABS(S8-T8)/S8)*100</f>
        <v/>
      </c>
    </row>
    <row r="9">
      <c r="B9" s="24" t="inlineStr">
        <is>
          <t>09/02</t>
        </is>
      </c>
      <c r="C9" s="25" t="n">
        <v>4864</v>
      </c>
      <c r="D9" s="26" t="n">
        <v>2.6</v>
      </c>
      <c r="E9" s="27" t="n">
        <v>2.525</v>
      </c>
      <c r="F9" s="28">
        <f>(1-ABS(D9-E9)/D9)*100</f>
        <v/>
      </c>
      <c r="G9" s="27" t="n">
        <v>0.17</v>
      </c>
      <c r="H9" s="27" t="n">
        <v>0.163</v>
      </c>
      <c r="I9" s="28">
        <f>(1-ABS(G9-H9)/G9)*100</f>
        <v/>
      </c>
      <c r="J9" s="26" t="n">
        <v>0.91</v>
      </c>
      <c r="K9" s="27" t="n">
        <v>1.022</v>
      </c>
      <c r="L9" s="28">
        <f>(1-ABS(J9-K9)/J9)*100</f>
        <v/>
      </c>
      <c r="M9" s="26" t="n">
        <v>0.33</v>
      </c>
      <c r="N9" s="27" t="n">
        <v>0.282</v>
      </c>
      <c r="O9" s="28">
        <f>(1-ABS(M9-N9)/M9)*100</f>
        <v/>
      </c>
      <c r="P9" s="29" t="n">
        <v>0.44</v>
      </c>
      <c r="Q9" s="30" t="n">
        <v>0.656</v>
      </c>
      <c r="R9" s="28">
        <f>(1-ABS(P9-Q9)/P9)*100</f>
        <v/>
      </c>
      <c r="S9" s="31" t="n">
        <v>14</v>
      </c>
      <c r="T9" s="29" t="n">
        <v>12.72</v>
      </c>
      <c r="U9" s="28">
        <f>(1-ABS(S9-T9)/S9)*100</f>
        <v/>
      </c>
    </row>
    <row r="10">
      <c r="B10" s="24" t="inlineStr">
        <is>
          <t>09/03</t>
        </is>
      </c>
      <c r="C10" s="25" t="n">
        <v>5638</v>
      </c>
      <c r="D10" s="26" t="n">
        <v>2.58</v>
      </c>
      <c r="E10" s="27" t="n">
        <v>2.376</v>
      </c>
      <c r="F10" s="28">
        <f>(1-ABS(D10-E10)/D10)*100</f>
        <v/>
      </c>
      <c r="G10" s="27" t="n">
        <v>0.179</v>
      </c>
      <c r="H10" s="27" t="n">
        <v>0.152</v>
      </c>
      <c r="I10" s="28">
        <f>(1-ABS(G10-H10)/G10)*100</f>
        <v/>
      </c>
      <c r="J10" s="26" t="n">
        <v>0.89</v>
      </c>
      <c r="K10" s="27" t="n">
        <v>0.96</v>
      </c>
      <c r="L10" s="28">
        <f>(1-ABS(J10-K10)/J10)*100</f>
        <v/>
      </c>
      <c r="M10" s="26" t="n">
        <v>0.34</v>
      </c>
      <c r="N10" s="27" t="n">
        <v>0.255</v>
      </c>
      <c r="O10" s="28">
        <f>(1-ABS(M10-N10)/M10)*100</f>
        <v/>
      </c>
      <c r="P10" s="29" t="n">
        <v>0.53</v>
      </c>
      <c r="Q10" s="30" t="n">
        <v>0.606</v>
      </c>
      <c r="R10" s="28">
        <f>(1-ABS(P10-Q10)/P10)*100</f>
        <v/>
      </c>
      <c r="S10" s="31" t="n">
        <v>18</v>
      </c>
      <c r="T10" s="29" t="n">
        <v>12.05</v>
      </c>
      <c r="U10" s="28">
        <f>(1-ABS(S10-T10)/S10)*100</f>
        <v/>
      </c>
    </row>
    <row r="11">
      <c r="B11" s="24" t="inlineStr">
        <is>
          <t>09/04</t>
        </is>
      </c>
      <c r="C11" s="25" t="n">
        <v>5094</v>
      </c>
      <c r="D11" s="26" t="n">
        <v>2.54</v>
      </c>
      <c r="E11" s="27" t="n">
        <v>2.409</v>
      </c>
      <c r="F11" s="28">
        <f>(1-ABS(D11-E11)/D11)*100</f>
        <v/>
      </c>
      <c r="G11" s="27" t="n">
        <v>0.16</v>
      </c>
      <c r="H11" s="27" t="n">
        <v>0.154</v>
      </c>
      <c r="I11" s="28">
        <f>(1-ABS(G11-H11)/G11)*100</f>
        <v/>
      </c>
      <c r="J11" s="26" t="n">
        <v>0.85</v>
      </c>
      <c r="K11" s="27" t="n">
        <v>0.984</v>
      </c>
      <c r="L11" s="28">
        <f>(1-ABS(J11-K11)/J11)*100</f>
        <v/>
      </c>
      <c r="M11" s="26" t="n">
        <v>0.31</v>
      </c>
      <c r="N11" s="27" t="n">
        <v>0.248</v>
      </c>
      <c r="O11" s="28">
        <f>(1-ABS(M11-N11)/M11)*100</f>
        <v/>
      </c>
      <c r="P11" s="29" t="n">
        <v>0.44</v>
      </c>
      <c r="Q11" s="30" t="n">
        <v>0.602</v>
      </c>
      <c r="R11" s="28">
        <f>(1-ABS(P11-Q11)/P11)*100</f>
        <v/>
      </c>
      <c r="S11" s="31" t="n">
        <v>14</v>
      </c>
      <c r="T11" s="29" t="n">
        <v>12.7</v>
      </c>
      <c r="U11" s="28">
        <f>(1-ABS(S11-T11)/S11)*100</f>
        <v/>
      </c>
    </row>
    <row r="12">
      <c r="B12" s="24" t="inlineStr">
        <is>
          <t>09/05</t>
        </is>
      </c>
      <c r="C12" s="25" t="n">
        <v>5749</v>
      </c>
      <c r="D12" s="26" t="n">
        <v>2.71</v>
      </c>
      <c r="E12" s="27" t="n">
        <v>2.52</v>
      </c>
      <c r="F12" s="28">
        <f>(1-ABS(D12-E12)/D12)*100</f>
        <v/>
      </c>
      <c r="G12" s="27" t="n">
        <v>0.179</v>
      </c>
      <c r="H12" s="27" t="n">
        <v>0.162</v>
      </c>
      <c r="I12" s="28">
        <f>(1-ABS(G12-H12)/G12)*100</f>
        <v/>
      </c>
      <c r="J12" s="26" t="n">
        <v>1.01</v>
      </c>
      <c r="K12" s="27" t="n">
        <v>1.022</v>
      </c>
      <c r="L12" s="28">
        <f>(1-ABS(J12-K12)/J12)*100</f>
        <v/>
      </c>
      <c r="M12" s="26" t="n">
        <v>0.32</v>
      </c>
      <c r="N12" s="27" t="n">
        <v>0.267</v>
      </c>
      <c r="O12" s="28">
        <f>(1-ABS(M12-N12)/M12)*100</f>
        <v/>
      </c>
      <c r="P12" s="29" t="n">
        <v>0.44</v>
      </c>
      <c r="Q12" s="30" t="n">
        <v>0.636</v>
      </c>
      <c r="R12" s="28">
        <f>(1-ABS(P12-Q12)/P12)*100</f>
        <v/>
      </c>
      <c r="S12" s="31" t="n">
        <v>15</v>
      </c>
      <c r="T12" s="29" t="n">
        <v>13.46</v>
      </c>
      <c r="U12" s="28">
        <f>(1-ABS(S12-T12)/S12)*100</f>
        <v/>
      </c>
    </row>
    <row r="13">
      <c r="B13" s="24" t="inlineStr">
        <is>
          <t>09/06</t>
        </is>
      </c>
      <c r="C13" s="25" t="n">
        <v>4200</v>
      </c>
      <c r="D13" s="26" t="n">
        <v>2.72</v>
      </c>
      <c r="E13" s="27" t="n">
        <v>2.575</v>
      </c>
      <c r="F13" s="28">
        <f>(1-ABS(D13-E13)/D13)*100</f>
        <v/>
      </c>
      <c r="G13" s="27" t="n">
        <v>0.172</v>
      </c>
      <c r="H13" s="27" t="n">
        <v>0.165</v>
      </c>
      <c r="I13" s="28">
        <f>(1-ABS(G13-H13)/G13)*100</f>
        <v/>
      </c>
      <c r="J13" s="26" t="n">
        <v>0.93</v>
      </c>
      <c r="K13" s="27" t="n">
        <v>1.05</v>
      </c>
      <c r="L13" s="28">
        <f>(1-ABS(J13-K13)/J13)*100</f>
        <v/>
      </c>
      <c r="M13" s="26" t="n">
        <v>0.33</v>
      </c>
      <c r="N13" s="27" t="n">
        <v>0.275</v>
      </c>
      <c r="O13" s="28">
        <f>(1-ABS(M13-N13)/M13)*100</f>
        <v/>
      </c>
      <c r="P13" s="29" t="n">
        <v>0.43</v>
      </c>
      <c r="Q13" s="30" t="n">
        <v>0.654</v>
      </c>
      <c r="R13" s="28">
        <f>(1-ABS(P13-Q13)/P13)*100</f>
        <v/>
      </c>
      <c r="S13" s="31" t="n">
        <v>14</v>
      </c>
      <c r="T13" s="29" t="n">
        <v>13.96</v>
      </c>
      <c r="U13" s="28">
        <f>(1-ABS(S13-T13)/S13)*100</f>
        <v/>
      </c>
    </row>
    <row r="14">
      <c r="B14" s="24" t="inlineStr">
        <is>
          <t>09/07</t>
        </is>
      </c>
      <c r="C14" s="25" t="n">
        <v>4380</v>
      </c>
      <c r="D14" s="26" t="n">
        <v>2.68</v>
      </c>
      <c r="E14" s="27" t="n">
        <v>2.532</v>
      </c>
      <c r="F14" s="28">
        <f>(1-ABS(D14-E14)/D14)*100</f>
        <v/>
      </c>
      <c r="G14" s="27" t="n">
        <v>0.172</v>
      </c>
      <c r="H14" s="27" t="n">
        <v>0.164</v>
      </c>
      <c r="I14" s="28">
        <f>(1-ABS(G14-H14)/G14)*100</f>
        <v/>
      </c>
      <c r="J14" s="26" t="n">
        <v>0.93</v>
      </c>
      <c r="K14" s="27" t="n">
        <v>1.025</v>
      </c>
      <c r="L14" s="28">
        <f>(1-ABS(J14-K14)/J14)*100</f>
        <v/>
      </c>
      <c r="M14" s="26" t="n">
        <v>0.33</v>
      </c>
      <c r="N14" s="27" t="n">
        <v>0.288</v>
      </c>
      <c r="O14" s="28">
        <f>(1-ABS(M14-N14)/M14)*100</f>
        <v/>
      </c>
      <c r="P14" s="29" t="n">
        <v>0.5</v>
      </c>
      <c r="Q14" s="30" t="n">
        <v>0.647</v>
      </c>
      <c r="R14" s="28">
        <f>(1-ABS(P14-Q14)/P14)*100</f>
        <v/>
      </c>
      <c r="S14" s="31" t="n">
        <v>16</v>
      </c>
      <c r="T14" s="29" t="n">
        <v>13</v>
      </c>
      <c r="U14" s="28">
        <f>(1-ABS(S14-T14)/S14)*100</f>
        <v/>
      </c>
    </row>
    <row r="15">
      <c r="B15" s="24" t="inlineStr">
        <is>
          <t>09/08</t>
        </is>
      </c>
      <c r="C15" s="25" t="n">
        <v>5426</v>
      </c>
      <c r="D15" s="26" t="n">
        <v>2.63</v>
      </c>
      <c r="E15" s="27" t="n">
        <v>2.436</v>
      </c>
      <c r="F15" s="28">
        <f>(1-ABS(D15-E15)/D15)*100</f>
        <v/>
      </c>
      <c r="G15" s="27" t="n">
        <v>0.17</v>
      </c>
      <c r="H15" s="27" t="n">
        <v>0.155</v>
      </c>
      <c r="I15" s="28">
        <f>(1-ABS(G15-H15)/G15)*100</f>
        <v/>
      </c>
      <c r="J15" s="26" t="n">
        <v>1.01</v>
      </c>
      <c r="K15" s="27" t="n">
        <v>0.992</v>
      </c>
      <c r="L15" s="28">
        <f>(1-ABS(J15-K15)/J15)*100</f>
        <v/>
      </c>
      <c r="M15" s="26" t="n">
        <v>0.32</v>
      </c>
      <c r="N15" s="27" t="n">
        <v>0.268</v>
      </c>
      <c r="O15" s="28">
        <f>(1-ABS(M15-N15)/M15)*100</f>
        <v/>
      </c>
      <c r="P15" s="29" t="n">
        <v>0.44</v>
      </c>
      <c r="Q15" s="30" t="n">
        <v>0.62</v>
      </c>
      <c r="R15" s="28">
        <f>(1-ABS(P15-Q15)/P15)*100</f>
        <v/>
      </c>
      <c r="S15" s="31" t="n">
        <v>14</v>
      </c>
      <c r="T15" s="29" t="n">
        <v>12.57</v>
      </c>
      <c r="U15" s="28">
        <f>(1-ABS(S15-T15)/S15)*100</f>
        <v/>
      </c>
    </row>
    <row r="16">
      <c r="B16" s="24" t="inlineStr">
        <is>
          <t>09/09</t>
        </is>
      </c>
      <c r="C16" s="25" t="n">
        <v>4596</v>
      </c>
      <c r="D16" s="26" t="n">
        <v>2.67</v>
      </c>
      <c r="E16" s="27" t="n">
        <v>2.469</v>
      </c>
      <c r="F16" s="28">
        <f>(1-ABS(D16-E16)/D16)*100</f>
        <v/>
      </c>
      <c r="G16" s="27" t="n">
        <v>0.172</v>
      </c>
      <c r="H16" s="27" t="n">
        <v>0.159</v>
      </c>
      <c r="I16" s="28">
        <f>(1-ABS(G16-H16)/G16)*100</f>
        <v/>
      </c>
      <c r="J16" s="26" t="n">
        <v>0.9</v>
      </c>
      <c r="K16" s="27" t="n">
        <v>1.005</v>
      </c>
      <c r="L16" s="28">
        <f>(1-ABS(J16-K16)/J16)*100</f>
        <v/>
      </c>
      <c r="M16" s="26" t="n">
        <v>0.32</v>
      </c>
      <c r="N16" s="27" t="n">
        <v>0.263</v>
      </c>
      <c r="O16" s="28">
        <f>(1-ABS(M16-N16)/M16)*100</f>
        <v/>
      </c>
      <c r="P16" s="29" t="n">
        <v>0.52</v>
      </c>
      <c r="Q16" s="30" t="n">
        <v>0.627</v>
      </c>
      <c r="R16" s="28">
        <f>(1-ABS(P16-Q16)/P16)*100</f>
        <v/>
      </c>
      <c r="S16" s="31" t="n">
        <v>16</v>
      </c>
      <c r="T16" s="29" t="n">
        <v>12.94</v>
      </c>
      <c r="U16" s="28">
        <f>(1-ABS(S16-T16)/S16)*100</f>
        <v/>
      </c>
    </row>
    <row r="17" ht="40" customHeight="1">
      <c r="A17" s="32" t="inlineStr">
        <is>
          <t>Best result closer to 1</t>
        </is>
      </c>
      <c r="B17" s="24" t="inlineStr">
        <is>
          <t>09/10</t>
        </is>
      </c>
      <c r="C17" s="25" t="n">
        <v>5872</v>
      </c>
      <c r="D17" s="26" t="n">
        <v>2.72</v>
      </c>
      <c r="E17" s="27" t="n">
        <v>2.458</v>
      </c>
      <c r="F17" s="28">
        <f>(1-ABS(D17-E17)/D17)*100</f>
        <v/>
      </c>
      <c r="G17" s="27" t="n">
        <v>0.17</v>
      </c>
      <c r="H17" s="27" t="n">
        <v>0.159</v>
      </c>
      <c r="I17" s="28">
        <f>(1-ABS(G17-H17)/G17)*100</f>
        <v/>
      </c>
      <c r="J17" s="26" t="n">
        <v>0.9</v>
      </c>
      <c r="K17" s="27" t="n">
        <v>0.988</v>
      </c>
      <c r="L17" s="28">
        <f>(1-ABS(J17-K17)/J17)*100</f>
        <v/>
      </c>
      <c r="M17" s="26" t="n">
        <v>0.32</v>
      </c>
      <c r="N17" s="27" t="n">
        <v>0.278</v>
      </c>
      <c r="O17" s="28">
        <f>(1-ABS(M17-N17)/M17)*100</f>
        <v/>
      </c>
      <c r="P17" s="29" t="n">
        <v>0.46</v>
      </c>
      <c r="Q17" s="30" t="n">
        <v>0.654</v>
      </c>
      <c r="R17" s="28">
        <f>(1-ABS(P17-Q17)/P17)*100</f>
        <v/>
      </c>
      <c r="S17" s="31" t="n">
        <v>15</v>
      </c>
      <c r="T17" s="29" t="n">
        <v>12.06</v>
      </c>
      <c r="U17" s="28">
        <f>(1-ABS(S17-T17)/S17)*100</f>
        <v/>
      </c>
    </row>
    <row r="18" ht="39" customHeight="1">
      <c r="A18" s="32" t="inlineStr">
        <is>
          <t>Best result closer to 0</t>
        </is>
      </c>
      <c r="B18" s="24" t="inlineStr">
        <is>
          <t>09/11</t>
        </is>
      </c>
      <c r="C18" s="25" t="n">
        <v>6173</v>
      </c>
      <c r="D18" s="26" t="n">
        <v>2.68</v>
      </c>
      <c r="E18" s="27" t="n">
        <v>2.456</v>
      </c>
      <c r="F18" s="28">
        <f>(1-ABS(D18-E18)/D18)*100</f>
        <v/>
      </c>
      <c r="G18" s="27" t="n">
        <v>0.174</v>
      </c>
      <c r="H18" s="27" t="n">
        <v>0.158</v>
      </c>
      <c r="I18" s="28">
        <f>(1-ABS(G18-H18)/G18)*100</f>
        <v/>
      </c>
      <c r="J18" s="26" t="n">
        <v>0.96</v>
      </c>
      <c r="K18" s="27" t="n">
        <v>0.996</v>
      </c>
      <c r="L18" s="28">
        <f>(1-ABS(J18-K18)/J18)*100</f>
        <v/>
      </c>
      <c r="M18" s="26" t="n">
        <v>0.33</v>
      </c>
      <c r="N18" s="27" t="n">
        <v>0.274</v>
      </c>
      <c r="O18" s="28">
        <f>(1-ABS(M18-N18)/M18)*100</f>
        <v/>
      </c>
      <c r="P18" s="29" t="n">
        <v>0.44</v>
      </c>
      <c r="Q18" s="30" t="n">
        <v>0.636</v>
      </c>
      <c r="R18" s="28">
        <f>(1-ABS(P18-Q18)/P18)*100</f>
        <v/>
      </c>
      <c r="S18" s="31" t="n">
        <v>14</v>
      </c>
      <c r="T18" s="29" t="n">
        <v>12.51</v>
      </c>
      <c r="U18" s="28">
        <f>(1-ABS(S18-T18)/S18)*100</f>
        <v/>
      </c>
    </row>
    <row r="19" ht="66" customHeight="1">
      <c r="A19" s="32" t="inlineStr">
        <is>
          <t>Best result closer to 1</t>
        </is>
      </c>
      <c r="B19" s="24" t="inlineStr">
        <is>
          <t>09/12</t>
        </is>
      </c>
      <c r="C19" s="25" t="n">
        <v>4528</v>
      </c>
      <c r="D19" s="26" t="n">
        <v>2.68</v>
      </c>
      <c r="E19" s="27" t="n">
        <v>2.478</v>
      </c>
      <c r="F19" s="28">
        <f>(1-ABS(D19-E19)/D19)*100</f>
        <v/>
      </c>
      <c r="G19" s="27" t="n">
        <v>0.173</v>
      </c>
      <c r="H19" s="27" t="n">
        <v>0.16</v>
      </c>
      <c r="I19" s="28">
        <f>(1-ABS(G19-H19)/G19)*100</f>
        <v/>
      </c>
      <c r="J19" s="26" t="n">
        <v>0.91</v>
      </c>
      <c r="K19" s="27" t="n">
        <v>0.997</v>
      </c>
      <c r="L19" s="28">
        <f>(1-ABS(J19-K19)/J19)*100</f>
        <v/>
      </c>
      <c r="M19" s="26" t="n">
        <v>0.32</v>
      </c>
      <c r="N19" s="27" t="n">
        <v>0.284</v>
      </c>
      <c r="O19" s="28">
        <f>(1-ABS(M19-N19)/M19)*100</f>
        <v/>
      </c>
      <c r="P19" s="29" t="n">
        <v>0.52</v>
      </c>
      <c r="Q19" s="30" t="n">
        <v>0.665</v>
      </c>
      <c r="R19" s="28">
        <f>(1-ABS(P19-Q19)/P19)*100</f>
        <v/>
      </c>
      <c r="S19" s="31" t="n">
        <v>16</v>
      </c>
      <c r="T19" s="29" t="n">
        <v>12.15</v>
      </c>
      <c r="U19" s="28">
        <f>(1-ABS(S19-T19)/S19)*100</f>
        <v/>
      </c>
    </row>
    <row r="20">
      <c r="B20" s="24" t="inlineStr">
        <is>
          <t>09/13</t>
        </is>
      </c>
      <c r="C20" s="25" t="n">
        <v>4619</v>
      </c>
      <c r="D20" s="26" t="n">
        <v>2.76</v>
      </c>
      <c r="E20" s="27" t="n">
        <v>2.54</v>
      </c>
      <c r="F20" s="28">
        <f>(1-ABS(D20-E20)/D20)*100</f>
        <v/>
      </c>
      <c r="G20" s="27" t="n">
        <v>0.17</v>
      </c>
      <c r="H20" s="27" t="n">
        <v>0.164</v>
      </c>
      <c r="I20" s="28">
        <f>(1-ABS(G20-H20)/G20)*100</f>
        <v/>
      </c>
      <c r="J20" s="26" t="n">
        <v>0.95</v>
      </c>
      <c r="K20" s="27" t="n">
        <v>1.031</v>
      </c>
      <c r="L20" s="28">
        <f>(1-ABS(J20-K20)/J20)*100</f>
        <v/>
      </c>
      <c r="M20" s="26" t="n">
        <v>0.33</v>
      </c>
      <c r="N20" s="27" t="n">
        <v>0.285</v>
      </c>
      <c r="O20" s="28">
        <f>(1-ABS(M20-N20)/M20)*100</f>
        <v/>
      </c>
      <c r="P20" s="29" t="n">
        <v>0.53</v>
      </c>
      <c r="Q20" s="30" t="n">
        <v>0.665</v>
      </c>
      <c r="R20" s="28">
        <f>(1-ABS(P20-Q20)/P20)*100</f>
        <v/>
      </c>
      <c r="S20" s="31" t="n">
        <v>15</v>
      </c>
      <c r="T20" s="29" t="n">
        <v>12.77</v>
      </c>
      <c r="U20" s="28">
        <f>(1-ABS(S20-T20)/S20)*100</f>
        <v/>
      </c>
    </row>
    <row r="21">
      <c r="B21" s="24" t="inlineStr">
        <is>
          <t>09/14</t>
        </is>
      </c>
      <c r="C21" s="25" t="n">
        <v>4953</v>
      </c>
      <c r="D21" s="26" t="n">
        <v>2.72</v>
      </c>
      <c r="E21" s="27" t="n">
        <v>2.47</v>
      </c>
      <c r="F21" s="28">
        <f>(1-ABS(D21-E21)/D21)*100</f>
        <v/>
      </c>
      <c r="G21" s="27" t="n">
        <v>0.175</v>
      </c>
      <c r="H21" s="27" t="n">
        <v>0.158</v>
      </c>
      <c r="I21" s="28">
        <f>(1-ABS(G21-H21)/G21)*100</f>
        <v/>
      </c>
      <c r="J21" s="26" t="n">
        <v>1.03</v>
      </c>
      <c r="K21" s="27" t="n">
        <v>1.021</v>
      </c>
      <c r="L21" s="28">
        <f>(1-ABS(J21-K21)/J21)*100</f>
        <v/>
      </c>
      <c r="M21" s="26" t="n">
        <v>0.32</v>
      </c>
      <c r="N21" s="27" t="n">
        <v>0.252</v>
      </c>
      <c r="O21" s="28">
        <f>(1-ABS(M21-N21)/M21)*100</f>
        <v/>
      </c>
      <c r="P21" s="29" t="n">
        <v>0.44</v>
      </c>
      <c r="Q21" s="30" t="n">
        <v>0.607</v>
      </c>
      <c r="R21" s="28">
        <f>(1-ABS(P21-Q21)/P21)*100</f>
        <v/>
      </c>
      <c r="S21" s="31" t="n">
        <v>15</v>
      </c>
      <c r="T21" s="29" t="n">
        <v>13.5</v>
      </c>
      <c r="U21" s="28">
        <f>(1-ABS(S21-T21)/S21)*100</f>
        <v/>
      </c>
    </row>
    <row r="22">
      <c r="B22" s="24" t="inlineStr">
        <is>
          <t>09/15</t>
        </is>
      </c>
      <c r="C22" s="25" t="n">
        <v>6636</v>
      </c>
      <c r="D22" s="26" t="n">
        <v>2.72</v>
      </c>
      <c r="E22" s="27" t="n">
        <v>2.455</v>
      </c>
      <c r="F22" s="28">
        <f>(1-ABS(D22-E22)/D22)*100</f>
        <v/>
      </c>
      <c r="G22" s="27" t="n">
        <v>0.174</v>
      </c>
      <c r="H22" s="27" t="n">
        <v>0.157</v>
      </c>
      <c r="I22" s="28">
        <f>(1-ABS(G22-H22)/G22)*100</f>
        <v/>
      </c>
      <c r="J22" s="26" t="n">
        <v>0.96</v>
      </c>
      <c r="K22" s="27" t="n">
        <v>1.002</v>
      </c>
      <c r="L22" s="28">
        <f>(1-ABS(J22-K22)/J22)*100</f>
        <v/>
      </c>
      <c r="M22" s="26" t="n">
        <v>0.33</v>
      </c>
      <c r="N22" s="27" t="n">
        <v>0.258</v>
      </c>
      <c r="O22" s="28">
        <f>(1-ABS(M22-N22)/M22)*100</f>
        <v/>
      </c>
      <c r="P22" s="29" t="n">
        <v>0.51</v>
      </c>
      <c r="Q22" s="30" t="n">
        <v>0.621</v>
      </c>
      <c r="R22" s="28">
        <f>(1-ABS(P22-Q22)/P22)*100</f>
        <v/>
      </c>
      <c r="S22" s="31" t="n">
        <v>16</v>
      </c>
      <c r="T22" s="29" t="n">
        <v>13.37</v>
      </c>
      <c r="U22" s="28">
        <f>(1-ABS(S22-T22)/S22)*100</f>
        <v/>
      </c>
    </row>
    <row r="23">
      <c r="B23" s="24" t="inlineStr">
        <is>
          <t>09/16</t>
        </is>
      </c>
      <c r="C23" s="25" t="n">
        <v>6365</v>
      </c>
      <c r="D23" s="26" t="n">
        <v>2.66</v>
      </c>
      <c r="E23" s="27" t="n">
        <v>2.493</v>
      </c>
      <c r="F23" s="28">
        <f>(1-ABS(D23-E23)/D23)*100</f>
        <v/>
      </c>
      <c r="G23" s="27" t="n">
        <v>0.168</v>
      </c>
      <c r="H23" s="27" t="n">
        <v>0.162</v>
      </c>
      <c r="I23" s="28">
        <f>(1-ABS(G23-H23)/G23)*100</f>
        <v/>
      </c>
      <c r="J23" s="26" t="n">
        <v>0.97</v>
      </c>
      <c r="K23" s="27" t="n">
        <v>0.997</v>
      </c>
      <c r="L23" s="28">
        <f>(1-ABS(J23-K23)/J23)*100</f>
        <v/>
      </c>
      <c r="M23" s="26" t="n">
        <v>0.32</v>
      </c>
      <c r="N23" s="27" t="n">
        <v>0.266</v>
      </c>
      <c r="O23" s="28">
        <f>(1-ABS(M23-N23)/M23)*100</f>
        <v/>
      </c>
      <c r="P23" s="29" t="n">
        <v>0.46</v>
      </c>
      <c r="Q23" s="30" t="n">
        <v>0.644</v>
      </c>
      <c r="R23" s="28">
        <f>(1-ABS(P23-Q23)/P23)*100</f>
        <v/>
      </c>
      <c r="S23" s="31" t="n">
        <v>15</v>
      </c>
      <c r="T23" s="29" t="n">
        <v>13.99</v>
      </c>
      <c r="U23" s="28">
        <f>(1-ABS(S23-T23)/S23)*100</f>
        <v/>
      </c>
    </row>
    <row r="24">
      <c r="B24" s="24" t="inlineStr">
        <is>
          <t>09/17</t>
        </is>
      </c>
      <c r="C24" s="25" t="n">
        <v>4736</v>
      </c>
      <c r="D24" s="26" t="n">
        <v>2.79</v>
      </c>
      <c r="E24" s="27" t="n">
        <v>2.518</v>
      </c>
      <c r="F24" s="28">
        <f>(1-ABS(D24-E24)/D24)*100</f>
        <v/>
      </c>
      <c r="G24" s="27" t="n">
        <v>0.173</v>
      </c>
      <c r="H24" s="27" t="n">
        <v>0.162</v>
      </c>
      <c r="I24" s="28">
        <f>(1-ABS(G24-H24)/G24)*100</f>
        <v/>
      </c>
      <c r="J24" s="26" t="n">
        <v>0.97</v>
      </c>
      <c r="K24" s="27" t="n">
        <v>1.026</v>
      </c>
      <c r="L24" s="28">
        <f>(1-ABS(J24-K24)/J24)*100</f>
        <v/>
      </c>
      <c r="M24" s="26" t="n">
        <v>0.34</v>
      </c>
      <c r="N24" s="27" t="n">
        <v>0.27</v>
      </c>
      <c r="O24" s="28">
        <f>(1-ABS(M24-N24)/M24)*100</f>
        <v/>
      </c>
      <c r="P24" s="29" t="n">
        <v>0.45</v>
      </c>
      <c r="Q24" s="30" t="n">
        <v>0.644</v>
      </c>
      <c r="R24" s="28">
        <f>(1-ABS(P24-Q24)/P24)*100</f>
        <v/>
      </c>
      <c r="S24" s="31" t="n">
        <v>14</v>
      </c>
      <c r="T24" s="29" t="n">
        <v>13.27</v>
      </c>
      <c r="U24" s="28">
        <f>(1-ABS(S24-T24)/S24)*100</f>
        <v/>
      </c>
    </row>
    <row r="25">
      <c r="B25" s="24" t="inlineStr">
        <is>
          <t>09/18</t>
        </is>
      </c>
      <c r="C25" s="25" t="n">
        <v>5128</v>
      </c>
      <c r="D25" s="26" t="n">
        <v>2.68</v>
      </c>
      <c r="E25" s="27" t="n">
        <v>2.462</v>
      </c>
      <c r="F25" s="28">
        <f>(1-ABS(D25-E25)/D25)*100</f>
        <v/>
      </c>
      <c r="G25" s="27" t="n">
        <v>0.174</v>
      </c>
      <c r="H25" s="27" t="n">
        <v>0.16</v>
      </c>
      <c r="I25" s="28">
        <f>(1-ABS(G25-H25)/G25)*100</f>
        <v/>
      </c>
      <c r="J25" s="26" t="n">
        <v>0.93</v>
      </c>
      <c r="K25" s="27" t="n">
        <v>0.993</v>
      </c>
      <c r="L25" s="28">
        <f>(1-ABS(J25-K25)/J25)*100</f>
        <v/>
      </c>
      <c r="M25" s="26" t="n">
        <v>0.32</v>
      </c>
      <c r="N25" s="27" t="n">
        <v>0.276</v>
      </c>
      <c r="O25" s="28">
        <f>(1-ABS(M25-N25)/M25)*100</f>
        <v/>
      </c>
      <c r="P25" s="29" t="n">
        <v>0.5</v>
      </c>
      <c r="Q25" s="30" t="n">
        <v>0.638</v>
      </c>
      <c r="R25" s="28">
        <f>(1-ABS(P25-Q25)/P25)*100</f>
        <v/>
      </c>
      <c r="S25" s="31" t="n">
        <v>16</v>
      </c>
      <c r="T25" s="29" t="n">
        <v>12.97</v>
      </c>
      <c r="U25" s="28">
        <f>(1-ABS(S25-T25)/S25)*100</f>
        <v/>
      </c>
    </row>
    <row r="26">
      <c r="B26" s="24" t="inlineStr">
        <is>
          <t>09/19</t>
        </is>
      </c>
      <c r="C26" s="25" t="n">
        <v>5186</v>
      </c>
      <c r="D26" s="26" t="n">
        <v>2.62</v>
      </c>
      <c r="E26" s="27" t="n">
        <v>2.492</v>
      </c>
      <c r="F26" s="28">
        <f>(1-ABS(D26-E26)/D26)*100</f>
        <v/>
      </c>
      <c r="G26" s="27" t="n">
        <v>0.169</v>
      </c>
      <c r="H26" s="27" t="n">
        <v>0.16</v>
      </c>
      <c r="I26" s="28">
        <f>(1-ABS(G26-H26)/G26)*100</f>
        <v/>
      </c>
      <c r="J26" s="26" t="n">
        <v>0.9399999999999999</v>
      </c>
      <c r="K26" s="27" t="n">
        <v>1</v>
      </c>
      <c r="L26" s="28">
        <f>(1-ABS(J26-K26)/J26)*100</f>
        <v/>
      </c>
      <c r="M26" s="26" t="n">
        <v>0.32</v>
      </c>
      <c r="N26" s="27" t="n">
        <v>0.249</v>
      </c>
      <c r="O26" s="28">
        <f>(1-ABS(M26-N26)/M26)*100</f>
        <v/>
      </c>
      <c r="P26" s="29" t="n">
        <v>0.52</v>
      </c>
      <c r="Q26" s="30" t="n">
        <v>0.645</v>
      </c>
      <c r="R26" s="28">
        <f>(1-ABS(P26-Q26)/P26)*100</f>
        <v/>
      </c>
      <c r="S26" s="31" t="n">
        <v>15</v>
      </c>
      <c r="T26" s="29" t="n">
        <v>13.96</v>
      </c>
      <c r="U26" s="28">
        <f>(1-ABS(S26-T26)/S26)*100</f>
        <v/>
      </c>
    </row>
    <row r="27">
      <c r="B27" s="24" t="inlineStr">
        <is>
          <t>09/20</t>
        </is>
      </c>
      <c r="C27" s="25" t="n">
        <v>4936</v>
      </c>
      <c r="D27" s="26" t="n">
        <v>2.71</v>
      </c>
      <c r="E27" s="27" t="n">
        <v>2.523</v>
      </c>
      <c r="F27" s="28">
        <f>(1-ABS(D27-E27)/D27)*100</f>
        <v/>
      </c>
      <c r="G27" s="27" t="n">
        <v>0.174</v>
      </c>
      <c r="H27" s="27" t="n">
        <v>0.164</v>
      </c>
      <c r="I27" s="28">
        <f>(1-ABS(G27-H27)/G27)*100</f>
        <v/>
      </c>
      <c r="J27" s="26" t="n">
        <v>0.96</v>
      </c>
      <c r="K27" s="27" t="n">
        <v>1.023</v>
      </c>
      <c r="L27" s="28">
        <f>(1-ABS(J27-K27)/J27)*100</f>
        <v/>
      </c>
      <c r="M27" s="26" t="n">
        <v>0.33</v>
      </c>
      <c r="N27" s="27" t="n">
        <v>0.266</v>
      </c>
      <c r="O27" s="28">
        <f>(1-ABS(M27-N27)/M27)*100</f>
        <v/>
      </c>
      <c r="P27" s="29" t="n">
        <v>0.52</v>
      </c>
      <c r="Q27" s="30" t="n">
        <v>0.643</v>
      </c>
      <c r="R27" s="28">
        <f>(1-ABS(P27-Q27)/P27)*100</f>
        <v/>
      </c>
      <c r="S27" s="31" t="n">
        <v>16</v>
      </c>
      <c r="T27" s="29" t="n">
        <v>13.95</v>
      </c>
      <c r="U27" s="28">
        <f>(1-ABS(S27-T27)/S27)*100</f>
        <v/>
      </c>
    </row>
    <row r="28">
      <c r="B28" s="24" t="inlineStr">
        <is>
          <t>09/21</t>
        </is>
      </c>
      <c r="C28" s="25" t="n">
        <v>6857</v>
      </c>
      <c r="D28" s="26" t="n">
        <v>2.63</v>
      </c>
      <c r="E28" s="27" t="n">
        <v>2.418</v>
      </c>
      <c r="F28" s="28">
        <f>(1-ABS(D28-E28)/D28)*100</f>
        <v/>
      </c>
      <c r="G28" s="27" t="n">
        <v>0.174</v>
      </c>
      <c r="H28" s="27" t="n">
        <v>0.156</v>
      </c>
      <c r="I28" s="28">
        <f>(1-ABS(G28-H28)/G28)*100</f>
        <v/>
      </c>
      <c r="J28" s="26" t="n">
        <v>0.93</v>
      </c>
      <c r="K28" s="27" t="n">
        <v>0.978</v>
      </c>
      <c r="L28" s="28">
        <f>(1-ABS(J28-K28)/J28)*100</f>
        <v/>
      </c>
      <c r="M28" s="26" t="n">
        <v>0.33</v>
      </c>
      <c r="N28" s="27" t="n">
        <v>0.273</v>
      </c>
      <c r="O28" s="28">
        <f>(1-ABS(M28-N28)/M28)*100</f>
        <v/>
      </c>
      <c r="P28" s="29" t="n">
        <v>0.51</v>
      </c>
      <c r="Q28" s="30" t="n">
        <v>0.627</v>
      </c>
      <c r="R28" s="28">
        <f>(1-ABS(P28-Q28)/P28)*100</f>
        <v/>
      </c>
      <c r="S28" s="31" t="n">
        <v>16</v>
      </c>
      <c r="T28" s="29" t="n">
        <v>12.15</v>
      </c>
      <c r="U28" s="28">
        <f>(1-ABS(S28-T28)/S28)*100</f>
        <v/>
      </c>
    </row>
    <row r="29">
      <c r="B29" s="24" t="inlineStr">
        <is>
          <t>09/22</t>
        </is>
      </c>
      <c r="C29" s="25" t="n">
        <v>4524</v>
      </c>
      <c r="D29" s="26" t="n">
        <v>2.61</v>
      </c>
      <c r="E29" s="27" t="n">
        <v>2.532</v>
      </c>
      <c r="F29" s="28">
        <f>(1-ABS(D29-E29)/D29)*100</f>
        <v/>
      </c>
      <c r="G29" s="27" t="n">
        <v>0.169</v>
      </c>
      <c r="H29" s="27" t="n">
        <v>0.164</v>
      </c>
      <c r="I29" s="28">
        <f>(1-ABS(G29-H29)/G29)*100</f>
        <v/>
      </c>
      <c r="J29" s="26" t="n">
        <v>0.98</v>
      </c>
      <c r="K29" s="27" t="n">
        <v>1.039</v>
      </c>
      <c r="L29" s="28">
        <f>(1-ABS(J29-K29)/J29)*100</f>
        <v/>
      </c>
      <c r="M29" s="26" t="n">
        <v>0.34</v>
      </c>
      <c r="N29" s="27" t="n">
        <v>0.256</v>
      </c>
      <c r="O29" s="28">
        <f>(1-ABS(M29-N29)/M29)*100</f>
        <v/>
      </c>
      <c r="P29" s="29" t="n">
        <v>0.43</v>
      </c>
      <c r="Q29" s="30" t="n">
        <v>0.629</v>
      </c>
      <c r="R29" s="28">
        <f>(1-ABS(P29-Q29)/P29)*100</f>
        <v/>
      </c>
      <c r="S29" s="31" t="n">
        <v>15</v>
      </c>
      <c r="T29" s="29" t="n">
        <v>13.94</v>
      </c>
      <c r="U29" s="28">
        <f>(1-ABS(S29-T29)/S29)*100</f>
        <v/>
      </c>
    </row>
    <row r="30">
      <c r="B30" s="24" t="inlineStr">
        <is>
          <t>09/23</t>
        </is>
      </c>
      <c r="C30" s="25" t="n">
        <v>5740</v>
      </c>
      <c r="D30" s="26" t="n">
        <v>2.71</v>
      </c>
      <c r="E30" s="27" t="n">
        <v>2.481</v>
      </c>
      <c r="F30" s="28">
        <f>(1-ABS(D30-E30)/D30)*100</f>
        <v/>
      </c>
      <c r="G30" s="27" t="n">
        <v>0.174</v>
      </c>
      <c r="H30" s="27" t="n">
        <v>0.162</v>
      </c>
      <c r="I30" s="28">
        <f>(1-ABS(G30-H30)/G30)*100</f>
        <v/>
      </c>
      <c r="J30" s="26" t="n">
        <v>0.95</v>
      </c>
      <c r="K30" s="27" t="n">
        <v>0.997</v>
      </c>
      <c r="L30" s="28">
        <f>(1-ABS(J30-K30)/J30)*100</f>
        <v/>
      </c>
      <c r="M30" s="26" t="n">
        <v>0.33</v>
      </c>
      <c r="N30" s="27" t="n">
        <v>0.294</v>
      </c>
      <c r="O30" s="28">
        <f>(1-ABS(M30-N30)/M30)*100</f>
        <v/>
      </c>
      <c r="P30" s="29" t="n">
        <v>0.45</v>
      </c>
      <c r="Q30" s="30" t="n">
        <v>0.655</v>
      </c>
      <c r="R30" s="28">
        <f>(1-ABS(P30-Q30)/P30)*100</f>
        <v/>
      </c>
      <c r="S30" s="31" t="n">
        <v>15</v>
      </c>
      <c r="T30" s="29" t="n">
        <v>11.91</v>
      </c>
      <c r="U30" s="28">
        <f>(1-ABS(S30-T30)/S30)*100</f>
        <v/>
      </c>
    </row>
    <row r="31">
      <c r="B31" s="24" t="inlineStr">
        <is>
          <t>09/24</t>
        </is>
      </c>
      <c r="C31" s="25" t="n">
        <v>5185</v>
      </c>
      <c r="D31" s="26" t="n">
        <v>2.6</v>
      </c>
      <c r="E31" s="27" t="n">
        <v>2.418</v>
      </c>
      <c r="F31" s="28">
        <f>(1-ABS(D31-E31)/D31)*100</f>
        <v/>
      </c>
      <c r="G31" s="27" t="n">
        <v>0.177</v>
      </c>
      <c r="H31" s="27" t="n">
        <v>0.155</v>
      </c>
      <c r="I31" s="28">
        <f>(1-ABS(G31-H31)/G31)*100</f>
        <v/>
      </c>
      <c r="J31" s="26" t="n">
        <v>1.03</v>
      </c>
      <c r="K31" s="27" t="n">
        <v>0.974</v>
      </c>
      <c r="L31" s="28">
        <f>(1-ABS(J31-K31)/J31)*100</f>
        <v/>
      </c>
      <c r="M31" s="26" t="n">
        <v>0.32</v>
      </c>
      <c r="N31" s="27" t="n">
        <v>0.278</v>
      </c>
      <c r="O31" s="28">
        <f>(1-ABS(M31-N31)/M31)*100</f>
        <v/>
      </c>
      <c r="P31" s="29" t="n">
        <v>0.44</v>
      </c>
      <c r="Q31" s="30" t="n">
        <v>0.638</v>
      </c>
      <c r="R31" s="28">
        <f>(1-ABS(P31-Q31)/P31)*100</f>
        <v/>
      </c>
      <c r="S31" s="31" t="n">
        <v>14</v>
      </c>
      <c r="T31" s="29" t="n">
        <v>11.92</v>
      </c>
      <c r="U31" s="28">
        <f>(1-ABS(S31-T31)/S31)*100</f>
        <v/>
      </c>
    </row>
    <row r="32">
      <c r="B32" s="24" t="inlineStr">
        <is>
          <t>09/25</t>
        </is>
      </c>
      <c r="C32" s="25" t="n">
        <v>4730</v>
      </c>
      <c r="D32" s="26" t="n">
        <v>2.61</v>
      </c>
      <c r="E32" s="27" t="n">
        <v>2.498</v>
      </c>
      <c r="F32" s="28">
        <f>(1-ABS(D32-E32)/D32)*100</f>
        <v/>
      </c>
      <c r="G32" s="27" t="n">
        <v>0.169</v>
      </c>
      <c r="H32" s="27" t="n">
        <v>0.161</v>
      </c>
      <c r="I32" s="28">
        <f>(1-ABS(G32-H32)/G32)*100</f>
        <v/>
      </c>
      <c r="J32" s="26" t="n">
        <v>0.93</v>
      </c>
      <c r="K32" s="27" t="n">
        <v>1.022</v>
      </c>
      <c r="L32" s="28">
        <f>(1-ABS(J32-K32)/J32)*100</f>
        <v/>
      </c>
      <c r="M32" s="26" t="n">
        <v>0.33</v>
      </c>
      <c r="N32" s="27" t="n">
        <v>0.276</v>
      </c>
      <c r="O32" s="28">
        <f>(1-ABS(M32-N32)/M32)*100</f>
        <v/>
      </c>
      <c r="P32" s="29" t="n">
        <v>0.47</v>
      </c>
      <c r="Q32" s="30" t="n">
        <v>0.645</v>
      </c>
      <c r="R32" s="28">
        <f>(1-ABS(P32-Q32)/P32)*100</f>
        <v/>
      </c>
      <c r="S32" s="31" t="n">
        <v>15</v>
      </c>
      <c r="T32" s="29" t="n">
        <v>12.89</v>
      </c>
      <c r="U32" s="28">
        <f>(1-ABS(S32-T32)/S32)*100</f>
        <v/>
      </c>
    </row>
    <row r="33">
      <c r="B33" s="24" t="inlineStr">
        <is>
          <t>09/26</t>
        </is>
      </c>
      <c r="C33" s="25" t="n">
        <v>7048</v>
      </c>
      <c r="D33" s="26" t="n">
        <v>2.73</v>
      </c>
      <c r="E33" s="27" t="n">
        <v>2.337</v>
      </c>
      <c r="F33" s="28">
        <f>(1-ABS(D33-E33)/D33)*100</f>
        <v/>
      </c>
      <c r="G33" s="27" t="n">
        <v>0.166</v>
      </c>
      <c r="H33" s="27" t="n">
        <v>0.15</v>
      </c>
      <c r="I33" s="28">
        <f>(1-ABS(G33-H33)/G33)*100</f>
        <v/>
      </c>
      <c r="J33" s="26" t="n">
        <v>0.9</v>
      </c>
      <c r="K33" s="27" t="n">
        <v>0.9409999999999999</v>
      </c>
      <c r="L33" s="28">
        <f>(1-ABS(J33-K33)/J33)*100</f>
        <v/>
      </c>
      <c r="M33" s="26" t="n">
        <v>0.31</v>
      </c>
      <c r="N33" s="27" t="n">
        <v>0.276</v>
      </c>
      <c r="O33" s="28">
        <f>(1-ABS(M33-N33)/M33)*100</f>
        <v/>
      </c>
      <c r="P33" s="29" t="n">
        <v>0.51</v>
      </c>
      <c r="Q33" s="30" t="n">
        <v>0.609</v>
      </c>
      <c r="R33" s="28">
        <f>(1-ABS(P33-Q33)/P33)*100</f>
        <v/>
      </c>
      <c r="S33" s="31" t="n">
        <v>17</v>
      </c>
      <c r="T33" s="29" t="n">
        <v>12.07</v>
      </c>
      <c r="U33" s="28">
        <f>(1-ABS(S33-T33)/S33)*100</f>
        <v/>
      </c>
    </row>
    <row r="34">
      <c r="B34" s="24" t="inlineStr">
        <is>
          <t>10/01</t>
        </is>
      </c>
      <c r="C34" s="25" t="n">
        <v>2433</v>
      </c>
      <c r="D34" s="26" t="n">
        <v>2.66</v>
      </c>
      <c r="E34" s="27" t="n">
        <v>2.526</v>
      </c>
      <c r="F34" s="28">
        <f>(1-ABS(D34-E34)/D34)*100</f>
        <v/>
      </c>
      <c r="G34" s="27" t="n">
        <v>0.161</v>
      </c>
      <c r="H34" s="27" t="n">
        <v>0.164</v>
      </c>
      <c r="I34" s="28">
        <f>(1-ABS(G34-H34)/G34)*100</f>
        <v/>
      </c>
      <c r="J34" s="26" t="n">
        <v>0.9</v>
      </c>
      <c r="K34" s="27" t="n">
        <v>1.024</v>
      </c>
      <c r="L34" s="28">
        <f>(1-ABS(J34-K34)/J34)*100</f>
        <v/>
      </c>
      <c r="M34" s="26" t="n">
        <v>0.32</v>
      </c>
      <c r="N34" s="27" t="n">
        <v>0.288</v>
      </c>
      <c r="O34" s="28">
        <f>(1-ABS(M34-N34)/M34)*100</f>
        <v/>
      </c>
      <c r="P34" s="29" t="n">
        <v>0.46</v>
      </c>
      <c r="Q34" s="30" t="n">
        <v>0.644</v>
      </c>
      <c r="R34" s="28">
        <f>(1-ABS(P34-Q34)/P34)*100</f>
        <v/>
      </c>
      <c r="S34" s="31" t="n">
        <v>14</v>
      </c>
      <c r="T34" s="29" t="n">
        <v>13.93</v>
      </c>
      <c r="U34" s="28">
        <f>(1-ABS(S34-T34)/S34)*100</f>
        <v/>
      </c>
    </row>
    <row r="35">
      <c r="B35" s="24" t="inlineStr">
        <is>
          <t>10/02</t>
        </is>
      </c>
      <c r="C35" s="25" t="n">
        <v>5808</v>
      </c>
      <c r="D35" s="26" t="n">
        <v>2.55</v>
      </c>
      <c r="E35" s="27" t="n">
        <v>2.476</v>
      </c>
      <c r="F35" s="28">
        <f>(1-ABS(D35-E35)/D35)*100</f>
        <v/>
      </c>
      <c r="G35" s="27" t="n">
        <v>0.171</v>
      </c>
      <c r="H35" s="27" t="n">
        <v>0.16</v>
      </c>
      <c r="I35" s="28">
        <f>(1-ABS(G35-H35)/G35)*100</f>
        <v/>
      </c>
      <c r="J35" s="26" t="n">
        <v>0.91</v>
      </c>
      <c r="K35" s="27" t="n">
        <v>1</v>
      </c>
      <c r="L35" s="28">
        <f>(1-ABS(J35-K35)/J35)*100</f>
        <v/>
      </c>
      <c r="M35" s="26" t="n">
        <v>0.32</v>
      </c>
      <c r="N35" s="27" t="n">
        <v>0.277</v>
      </c>
      <c r="O35" s="28">
        <f>(1-ABS(M35-N35)/M35)*100</f>
        <v/>
      </c>
      <c r="P35" s="29" t="n">
        <v>0.5</v>
      </c>
      <c r="Q35" s="30" t="n">
        <v>0.634</v>
      </c>
      <c r="R35" s="28">
        <f>(1-ABS(P35-Q35)/P35)*100</f>
        <v/>
      </c>
      <c r="S35" s="31" t="n">
        <v>16</v>
      </c>
      <c r="T35" s="29" t="n">
        <v>13.5</v>
      </c>
      <c r="U35" s="28">
        <f>(1-ABS(S35-T35)/S35)*100</f>
        <v/>
      </c>
    </row>
    <row r="36">
      <c r="B36" s="24" t="inlineStr">
        <is>
          <t>10/03</t>
        </is>
      </c>
      <c r="C36" s="25" t="n">
        <v>5585</v>
      </c>
      <c r="D36" s="26" t="n">
        <v>2.62</v>
      </c>
      <c r="E36" s="27" t="n">
        <v>2.452</v>
      </c>
      <c r="F36" s="28">
        <f>(1-ABS(D36-E36)/D36)*100</f>
        <v/>
      </c>
      <c r="G36" s="27" t="n">
        <v>0.17</v>
      </c>
      <c r="H36" s="27" t="n">
        <v>0.158</v>
      </c>
      <c r="I36" s="28">
        <f>(1-ABS(G36-H36)/G36)*100</f>
        <v/>
      </c>
      <c r="J36" s="26" t="n">
        <v>1.02</v>
      </c>
      <c r="K36" s="27" t="n">
        <v>0.989</v>
      </c>
      <c r="L36" s="28">
        <f>(1-ABS(J36-K36)/J36)*100</f>
        <v/>
      </c>
      <c r="M36" s="26" t="n">
        <v>0.3</v>
      </c>
      <c r="N36" s="27" t="n">
        <v>0.28</v>
      </c>
      <c r="O36" s="28">
        <f>(1-ABS(M36-N36)/M36)*100</f>
        <v/>
      </c>
      <c r="P36" s="29" t="n">
        <v>0.44</v>
      </c>
      <c r="Q36" s="30" t="n">
        <v>0.639</v>
      </c>
      <c r="R36" s="28">
        <f>(1-ABS(P36-Q36)/P36)*100</f>
        <v/>
      </c>
      <c r="S36" s="31" t="n">
        <v>14</v>
      </c>
      <c r="T36" s="29" t="n">
        <v>12.93</v>
      </c>
      <c r="U36" s="28">
        <f>(1-ABS(S36-T36)/S36)*100</f>
        <v/>
      </c>
    </row>
    <row r="37">
      <c r="B37" s="24" t="inlineStr">
        <is>
          <t>10/04</t>
        </is>
      </c>
      <c r="C37" s="25" t="n">
        <v>6502</v>
      </c>
      <c r="D37" s="26" t="n">
        <v>2.49</v>
      </c>
      <c r="E37" s="27" t="n">
        <v>2.225</v>
      </c>
      <c r="F37" s="28">
        <f>(1-ABS(D37-E37)/D37)*100</f>
        <v/>
      </c>
      <c r="G37" s="27" t="n">
        <v>0.15</v>
      </c>
      <c r="H37" s="27" t="n">
        <v>0.139</v>
      </c>
      <c r="I37" s="28">
        <f>(1-ABS(G37-H37)/G37)*100</f>
        <v/>
      </c>
      <c r="J37" s="26" t="n">
        <v>0.83</v>
      </c>
      <c r="K37" s="27" t="n">
        <v>0.9</v>
      </c>
      <c r="L37" s="28">
        <f>(1-ABS(J37-K37)/J37)*100</f>
        <v/>
      </c>
      <c r="M37" s="26" t="n">
        <v>0.29</v>
      </c>
      <c r="N37" s="27" t="n">
        <v>0.254</v>
      </c>
      <c r="O37" s="28">
        <f>(1-ABS(M37-N37)/M37)*100</f>
        <v/>
      </c>
      <c r="P37" s="29" t="n">
        <v>0.41</v>
      </c>
      <c r="Q37" s="30" t="n">
        <v>0.577</v>
      </c>
      <c r="R37" s="28">
        <f>(1-ABS(P37-Q37)/P37)*100</f>
        <v/>
      </c>
      <c r="S37" s="31" t="n">
        <v>14</v>
      </c>
      <c r="T37" s="29" t="n">
        <v>11.06</v>
      </c>
      <c r="U37" s="28">
        <f>(1-ABS(S37-T37)/S37)*100</f>
        <v/>
      </c>
    </row>
    <row r="38">
      <c r="B38" s="24" t="inlineStr">
        <is>
          <t>11/01</t>
        </is>
      </c>
      <c r="C38" s="25" t="n">
        <v>5516</v>
      </c>
      <c r="D38" s="26" t="n">
        <v>2.59</v>
      </c>
      <c r="E38" s="27" t="n">
        <v>2.084</v>
      </c>
      <c r="F38" s="28">
        <f>(1-ABS(D38-E38)/D38)*100</f>
        <v/>
      </c>
      <c r="G38" s="27" t="n">
        <v>0.17</v>
      </c>
      <c r="H38" s="27" t="n">
        <v>0.131</v>
      </c>
      <c r="I38" s="28">
        <f>(1-ABS(G38-H38)/G38)*100</f>
        <v/>
      </c>
      <c r="J38" s="26" t="n">
        <v>0.97</v>
      </c>
      <c r="K38" s="27" t="n">
        <v>0.834</v>
      </c>
      <c r="L38" s="28">
        <f>(1-ABS(J38-K38)/J38)*100</f>
        <v/>
      </c>
      <c r="M38" s="26" t="n">
        <v>0.33</v>
      </c>
      <c r="N38" s="27" t="n">
        <v>0.255</v>
      </c>
      <c r="O38" s="28">
        <f>(1-ABS(M38-N38)/M38)*100</f>
        <v/>
      </c>
      <c r="P38" s="29" t="n">
        <v>0.47</v>
      </c>
      <c r="Q38" s="30" t="n">
        <v>0.54</v>
      </c>
      <c r="R38" s="28">
        <f>(1-ABS(P38-Q38)/P38)*100</f>
        <v/>
      </c>
      <c r="S38" s="31" t="n">
        <v>15</v>
      </c>
      <c r="T38" s="29" t="n">
        <v>10.18</v>
      </c>
      <c r="U38" s="28">
        <f>(1-ABS(S38-T38)/S38)*100</f>
        <v/>
      </c>
    </row>
    <row r="39">
      <c r="B39" s="24" t="inlineStr">
        <is>
          <t>11/02</t>
        </is>
      </c>
      <c r="C39" s="25" t="n">
        <v>2111</v>
      </c>
      <c r="D39" s="26" t="n">
        <v>2.53</v>
      </c>
      <c r="E39" s="27" t="n">
        <v>2.177</v>
      </c>
      <c r="F39" s="28">
        <f>(1-ABS(D39-E39)/D39)*100</f>
        <v/>
      </c>
      <c r="G39" s="27" t="n">
        <v>0.175</v>
      </c>
      <c r="H39" s="27" t="n">
        <v>0.136</v>
      </c>
      <c r="I39" s="28">
        <f>(1-ABS(G39-H39)/G39)*100</f>
        <v/>
      </c>
      <c r="J39" s="26" t="n">
        <v>0.91</v>
      </c>
      <c r="K39" s="27" t="n">
        <v>0.883</v>
      </c>
      <c r="L39" s="28">
        <f>(1-ABS(J39-K39)/J39)*100</f>
        <v/>
      </c>
      <c r="M39" s="26" t="n">
        <v>0.33</v>
      </c>
      <c r="N39" s="27" t="n">
        <v>0.246</v>
      </c>
      <c r="O39" s="28">
        <f>(1-ABS(M39-N39)/M39)*100</f>
        <v/>
      </c>
      <c r="P39" s="29" t="n">
        <v>0.52</v>
      </c>
      <c r="Q39" s="30" t="n">
        <v>0.5649999999999999</v>
      </c>
      <c r="R39" s="28">
        <f>(1-ABS(P39-Q39)/P39)*100</f>
        <v/>
      </c>
      <c r="S39" s="31" t="n">
        <v>17</v>
      </c>
      <c r="T39" s="29" t="n">
        <v>10.91</v>
      </c>
      <c r="U39" s="28">
        <f>(1-ABS(S39-T39)/S39)*100</f>
        <v/>
      </c>
    </row>
    <row r="40">
      <c r="B40" s="24" t="inlineStr">
        <is>
          <t>11/03</t>
        </is>
      </c>
      <c r="C40" s="25" t="n">
        <v>7500</v>
      </c>
      <c r="D40" s="26" t="n">
        <v>2.63</v>
      </c>
      <c r="E40" s="27" t="n">
        <v>2.453</v>
      </c>
      <c r="F40" s="28">
        <f>(1-ABS(D40-E40)/D40)*100</f>
        <v/>
      </c>
      <c r="G40" s="27" t="n">
        <v>0.173</v>
      </c>
      <c r="H40" s="27" t="n">
        <v>0.156</v>
      </c>
      <c r="I40" s="28">
        <f>(1-ABS(G40-H40)/G40)*100</f>
        <v/>
      </c>
      <c r="J40" s="26" t="n">
        <v>0.93</v>
      </c>
      <c r="K40" s="27" t="n">
        <v>1.017</v>
      </c>
      <c r="L40" s="28">
        <f>(1-ABS(J40-K40)/J40)*100</f>
        <v/>
      </c>
      <c r="M40" s="26" t="n">
        <v>0.33</v>
      </c>
      <c r="N40" s="27" t="n">
        <v>0.258</v>
      </c>
      <c r="O40" s="28">
        <f>(1-ABS(M40-N40)/M40)*100</f>
        <v/>
      </c>
      <c r="P40" s="29" t="n">
        <v>0.5</v>
      </c>
      <c r="Q40" s="30" t="n">
        <v>0.614</v>
      </c>
      <c r="R40" s="28">
        <f>(1-ABS(P40-Q40)/P40)*100</f>
        <v/>
      </c>
      <c r="S40" s="31" t="n">
        <v>16</v>
      </c>
      <c r="T40" s="29" t="n">
        <v>12.87</v>
      </c>
      <c r="U40" s="28">
        <f>(1-ABS(S40-T40)/S40)*100</f>
        <v/>
      </c>
    </row>
    <row r="41">
      <c r="B41" s="24" t="inlineStr">
        <is>
          <t>11/04</t>
        </is>
      </c>
      <c r="C41" s="25" t="n">
        <v>5465</v>
      </c>
      <c r="D41" s="26" t="n">
        <v>2.69</v>
      </c>
      <c r="E41" s="27" t="n">
        <v>2.581</v>
      </c>
      <c r="F41" s="28">
        <f>(1-ABS(D41-E41)/D41)*100</f>
        <v/>
      </c>
      <c r="G41" s="27" t="n">
        <v>0.163</v>
      </c>
      <c r="H41" s="27" t="n">
        <v>0.165</v>
      </c>
      <c r="I41" s="28">
        <f>(1-ABS(G41-H41)/G41)*100</f>
        <v/>
      </c>
      <c r="J41" s="26" t="n">
        <v>0.83</v>
      </c>
      <c r="K41" s="27" t="n">
        <v>1.076</v>
      </c>
      <c r="L41" s="28">
        <f>(1-ABS(J41-K41)/J41)*100</f>
        <v/>
      </c>
      <c r="M41" s="26" t="n">
        <v>0.23</v>
      </c>
      <c r="N41" s="27" t="n">
        <v>0.275</v>
      </c>
      <c r="O41" s="28">
        <f>(1-ABS(M41-N41)/M41)*100</f>
        <v/>
      </c>
      <c r="P41" s="29" t="n">
        <v>0.41</v>
      </c>
      <c r="Q41" s="30" t="n">
        <v>0.64</v>
      </c>
      <c r="R41" s="28">
        <f>(1-ABS(P41-Q41)/P41)*100</f>
        <v/>
      </c>
      <c r="S41" s="31" t="n">
        <v>11</v>
      </c>
      <c r="T41" s="29" t="n">
        <v>13.82</v>
      </c>
      <c r="U41" s="28">
        <f>(1-ABS(S41-T41)/S41)*100</f>
        <v/>
      </c>
    </row>
    <row r="42">
      <c r="B42" s="24" t="inlineStr">
        <is>
          <t>11/05</t>
        </is>
      </c>
      <c r="C42" s="25" t="n">
        <v>4469</v>
      </c>
      <c r="D42" s="26" t="n">
        <v>2.58</v>
      </c>
      <c r="E42" s="27" t="n">
        <v>2.328</v>
      </c>
      <c r="F42" s="28">
        <f>(1-ABS(D42-E42)/D42)*100</f>
        <v/>
      </c>
      <c r="G42" s="27" t="n">
        <v>0.176</v>
      </c>
      <c r="H42" s="27" t="n">
        <v>0.148</v>
      </c>
      <c r="I42" s="28">
        <f>(1-ABS(G42-H42)/G42)*100</f>
        <v/>
      </c>
      <c r="J42" s="26" t="n">
        <v>1.05</v>
      </c>
      <c r="K42" s="27" t="n">
        <v>0.949</v>
      </c>
      <c r="L42" s="28">
        <f>(1-ABS(J42-K42)/J42)*100</f>
        <v/>
      </c>
      <c r="M42" s="26" t="n">
        <v>0.32</v>
      </c>
      <c r="N42" s="27" t="n">
        <v>0.262</v>
      </c>
      <c r="O42" s="28">
        <f>(1-ABS(M42-N42)/M42)*100</f>
        <v/>
      </c>
      <c r="P42" s="29" t="n">
        <v>0.43</v>
      </c>
      <c r="Q42" s="30" t="n">
        <v>0.604</v>
      </c>
      <c r="R42" s="28">
        <f>(1-ABS(P42-Q42)/P42)*100</f>
        <v/>
      </c>
      <c r="S42" s="31" t="n">
        <v>14</v>
      </c>
      <c r="T42" s="29" t="n">
        <v>11.13</v>
      </c>
      <c r="U42" s="28">
        <f>(1-ABS(S42-T42)/S42)*100</f>
        <v/>
      </c>
    </row>
    <row r="43">
      <c r="B43" s="24" t="inlineStr">
        <is>
          <t>13/01</t>
        </is>
      </c>
      <c r="C43" s="25" t="n">
        <v>6732</v>
      </c>
      <c r="D43" s="26" t="n">
        <v>2.62</v>
      </c>
      <c r="E43" s="27" t="n">
        <v>2.37</v>
      </c>
      <c r="F43" s="28">
        <f>(1-ABS(D43-E43)/D43)*100</f>
        <v/>
      </c>
      <c r="G43" s="27" t="n">
        <v>0.174</v>
      </c>
      <c r="H43" s="27" t="n">
        <v>0.155</v>
      </c>
      <c r="I43" s="28">
        <f>(1-ABS(G43-H43)/G43)*100</f>
        <v/>
      </c>
      <c r="J43" s="26" t="n">
        <v>1.04</v>
      </c>
      <c r="K43" s="27" t="n">
        <v>0.955</v>
      </c>
      <c r="L43" s="28">
        <f>(1-ABS(J43-K43)/J43)*100</f>
        <v/>
      </c>
      <c r="M43" s="26" t="n">
        <v>0.32</v>
      </c>
      <c r="N43" s="27" t="n">
        <v>0.288</v>
      </c>
      <c r="O43" s="28">
        <f>(1-ABS(M43-N43)/M43)*100</f>
        <v/>
      </c>
      <c r="P43" s="29" t="n">
        <v>0.45</v>
      </c>
      <c r="Q43" s="30" t="n">
        <v>0.634</v>
      </c>
      <c r="R43" s="28">
        <f>(1-ABS(P43-Q43)/P43)*100</f>
        <v/>
      </c>
      <c r="S43" s="31" t="n">
        <v>14</v>
      </c>
      <c r="T43" s="29" t="n">
        <v>11.36</v>
      </c>
      <c r="U43" s="28">
        <f>(1-ABS(S43-T43)/S43)*100</f>
        <v/>
      </c>
    </row>
    <row r="44">
      <c r="B44" s="24" t="inlineStr">
        <is>
          <t>13/02</t>
        </is>
      </c>
      <c r="C44" s="25" t="n">
        <v>6432</v>
      </c>
      <c r="D44" s="26" t="n">
        <v>2.64</v>
      </c>
      <c r="E44" s="27" t="n">
        <v>2.367</v>
      </c>
      <c r="F44" s="28">
        <f>(1-ABS(D44-E44)/D44)*100</f>
        <v/>
      </c>
      <c r="G44" s="27" t="n">
        <v>0.165</v>
      </c>
      <c r="H44" s="27" t="n">
        <v>0.151</v>
      </c>
      <c r="I44" s="28">
        <f>(1-ABS(G44-H44)/G44)*100</f>
        <v/>
      </c>
      <c r="J44" s="26" t="n">
        <v>1</v>
      </c>
      <c r="K44" s="27" t="n">
        <v>0.964</v>
      </c>
      <c r="L44" s="28">
        <f>(1-ABS(J44-K44)/J44)*100</f>
        <v/>
      </c>
      <c r="M44" s="26" t="n">
        <v>0.31</v>
      </c>
      <c r="N44" s="27" t="n">
        <v>0.28</v>
      </c>
      <c r="O44" s="28">
        <f>(1-ABS(M44-N44)/M44)*100</f>
        <v/>
      </c>
      <c r="P44" s="29" t="n">
        <v>0.44</v>
      </c>
      <c r="Q44" s="30" t="n">
        <v>0.61</v>
      </c>
      <c r="R44" s="28">
        <f>(1-ABS(P44-Q44)/P44)*100</f>
        <v/>
      </c>
      <c r="S44" s="31" t="n">
        <v>14</v>
      </c>
      <c r="T44" s="29" t="n">
        <v>11.76</v>
      </c>
      <c r="U44" s="28">
        <f>(1-ABS(S44-T44)/S44)*100</f>
        <v/>
      </c>
    </row>
    <row r="45">
      <c r="B45" s="24" t="inlineStr">
        <is>
          <t>13/03</t>
        </is>
      </c>
      <c r="C45" s="25" t="n">
        <v>4288</v>
      </c>
      <c r="D45" s="26" t="n">
        <v>2.69</v>
      </c>
      <c r="E45" s="27" t="n">
        <v>2.343</v>
      </c>
      <c r="F45" s="28">
        <f>(1-ABS(D45-E45)/D45)*100</f>
        <v/>
      </c>
      <c r="G45" s="27" t="n">
        <v>0.17</v>
      </c>
      <c r="H45" s="27" t="n">
        <v>0.15</v>
      </c>
      <c r="I45" s="28">
        <f>(1-ABS(G45-H45)/G45)*100</f>
        <v/>
      </c>
      <c r="J45" s="26" t="n">
        <v>0.93</v>
      </c>
      <c r="K45" s="27" t="n">
        <v>0.951</v>
      </c>
      <c r="L45" s="28">
        <f>(1-ABS(J45-K45)/J45)*100</f>
        <v/>
      </c>
      <c r="M45" s="26" t="n">
        <v>0.33</v>
      </c>
      <c r="N45" s="27" t="n">
        <v>0.282</v>
      </c>
      <c r="O45" s="28">
        <f>(1-ABS(M45-N45)/M45)*100</f>
        <v/>
      </c>
      <c r="P45" s="29" t="n">
        <v>0.41</v>
      </c>
      <c r="Q45" s="30" t="n">
        <v>0.622</v>
      </c>
      <c r="R45" s="28">
        <f>(1-ABS(P45-Q45)/P45)*100</f>
        <v/>
      </c>
      <c r="S45" s="31" t="n">
        <v>16</v>
      </c>
      <c r="T45" s="29" t="n">
        <v>11.37</v>
      </c>
      <c r="U45" s="28">
        <f>(1-ABS(S45-T45)/S45)*100</f>
        <v/>
      </c>
    </row>
    <row r="46">
      <c r="B46" s="24" t="inlineStr">
        <is>
          <t>13/04</t>
        </is>
      </c>
      <c r="C46" s="25" t="n">
        <v>5358</v>
      </c>
      <c r="D46" s="26" t="n">
        <v>2.71</v>
      </c>
      <c r="E46" s="27" t="n">
        <v>2.3</v>
      </c>
      <c r="F46" s="28">
        <f>(1-ABS(D46-E46)/D46)*100</f>
        <v/>
      </c>
      <c r="G46" s="27" t="n">
        <v>0.168</v>
      </c>
      <c r="H46" s="27" t="n">
        <v>0.146</v>
      </c>
      <c r="I46" s="28">
        <f>(1-ABS(G46-H46)/G46)*100</f>
        <v/>
      </c>
      <c r="J46" s="26" t="n">
        <v>0.84</v>
      </c>
      <c r="K46" s="27" t="n">
        <v>0.9330000000000001</v>
      </c>
      <c r="L46" s="28">
        <f>(1-ABS(J46-K46)/J46)*100</f>
        <v/>
      </c>
      <c r="M46" s="26" t="n">
        <v>0.33</v>
      </c>
      <c r="N46" s="27" t="n">
        <v>0.27</v>
      </c>
      <c r="O46" s="28">
        <f>(1-ABS(M46-N46)/M46)*100</f>
        <v/>
      </c>
      <c r="P46" s="29" t="n">
        <v>0.48</v>
      </c>
      <c r="Q46" s="30" t="n">
        <v>0.583</v>
      </c>
      <c r="R46" s="28">
        <f>(1-ABS(P46-Q46)/P46)*100</f>
        <v/>
      </c>
      <c r="S46" s="31" t="n">
        <v>16</v>
      </c>
      <c r="T46" s="29" t="n">
        <v>11.42</v>
      </c>
      <c r="U46" s="28">
        <f>(1-ABS(S46-T46)/S46)*100</f>
        <v/>
      </c>
    </row>
    <row r="47">
      <c r="B47" s="24" t="inlineStr">
        <is>
          <t>13/05</t>
        </is>
      </c>
      <c r="C47" s="25" t="n">
        <v>6413</v>
      </c>
      <c r="D47" s="26" t="n">
        <v>2.6</v>
      </c>
      <c r="E47" s="27" t="n">
        <v>2.297</v>
      </c>
      <c r="F47" s="28">
        <f>(1-ABS(D47-E47)/D47)*100</f>
        <v/>
      </c>
      <c r="G47" s="27" t="n">
        <v>0.173</v>
      </c>
      <c r="H47" s="27" t="n">
        <v>0.148</v>
      </c>
      <c r="I47" s="28">
        <f>(1-ABS(G47-H47)/G47)*100</f>
        <v/>
      </c>
      <c r="J47" s="26" t="n">
        <v>0.85</v>
      </c>
      <c r="K47" s="27" t="n">
        <v>0.93</v>
      </c>
      <c r="L47" s="28">
        <f>(1-ABS(J47-K47)/J47)*100</f>
        <v/>
      </c>
      <c r="M47" s="26" t="n">
        <v>0.3</v>
      </c>
      <c r="N47" s="27" t="n">
        <v>0.279</v>
      </c>
      <c r="O47" s="28">
        <f>(1-ABS(M47-N47)/M47)*100</f>
        <v/>
      </c>
      <c r="P47" s="29" t="n">
        <v>0.48</v>
      </c>
      <c r="Q47" s="30" t="n">
        <v>0.608</v>
      </c>
      <c r="R47" s="28">
        <f>(1-ABS(P47-Q47)/P47)*100</f>
        <v/>
      </c>
      <c r="S47" s="31" t="n">
        <v>15</v>
      </c>
      <c r="T47" s="29" t="n">
        <v>10.98</v>
      </c>
      <c r="U47" s="28">
        <f>(1-ABS(S47-T47)/S47)*100</f>
        <v/>
      </c>
    </row>
    <row r="48">
      <c r="B48" s="24" t="inlineStr">
        <is>
          <t>13/06</t>
        </is>
      </c>
      <c r="C48" s="25" t="n">
        <v>7678</v>
      </c>
      <c r="D48" s="26" t="n">
        <v>2.56</v>
      </c>
      <c r="E48" s="27" t="n">
        <v>2.309</v>
      </c>
      <c r="F48" s="28">
        <f>(1-ABS(D48-E48)/D48)*100</f>
        <v/>
      </c>
      <c r="G48" s="27" t="n">
        <v>0.173</v>
      </c>
      <c r="H48" s="27" t="n">
        <v>0.149</v>
      </c>
      <c r="I48" s="28">
        <f>(1-ABS(G48-H48)/G48)*100</f>
        <v/>
      </c>
      <c r="J48" s="26" t="n">
        <v>0.8100000000000001</v>
      </c>
      <c r="K48" s="27" t="n">
        <v>0.9399999999999999</v>
      </c>
      <c r="L48" s="28">
        <f>(1-ABS(J48-K48)/J48)*100</f>
        <v/>
      </c>
      <c r="M48" s="26" t="n">
        <v>0.31</v>
      </c>
      <c r="N48" s="27" t="n">
        <v>0.278</v>
      </c>
      <c r="O48" s="28">
        <f>(1-ABS(M48-N48)/M48)*100</f>
        <v/>
      </c>
      <c r="P48" s="29" t="n">
        <v>0.47</v>
      </c>
      <c r="Q48" s="30" t="n">
        <v>0.599</v>
      </c>
      <c r="R48" s="28">
        <f>(1-ABS(P48-Q48)/P48)*100</f>
        <v/>
      </c>
      <c r="S48" s="31" t="n">
        <v>15</v>
      </c>
      <c r="T48" s="29" t="n">
        <v>11.4</v>
      </c>
      <c r="U48" s="28">
        <f>(1-ABS(S48-T48)/S48)*100</f>
        <v/>
      </c>
    </row>
    <row r="49">
      <c r="B49" s="24" t="inlineStr">
        <is>
          <t>13/07</t>
        </is>
      </c>
      <c r="C49" s="25" t="n">
        <v>3882</v>
      </c>
      <c r="D49" s="26" t="n">
        <v>2.63</v>
      </c>
      <c r="E49" s="27" t="n">
        <v>2.269</v>
      </c>
      <c r="F49" s="28">
        <f>(1-ABS(D49-E49)/D49)*100</f>
        <v/>
      </c>
      <c r="G49" s="27" t="n">
        <v>0.168</v>
      </c>
      <c r="H49" s="27" t="n">
        <v>0.144</v>
      </c>
      <c r="I49" s="28">
        <f>(1-ABS(G49-H49)/G49)*100</f>
        <v/>
      </c>
      <c r="J49" s="26" t="n">
        <v>0.85</v>
      </c>
      <c r="K49" s="27" t="n">
        <v>0.915</v>
      </c>
      <c r="L49" s="28">
        <f>(1-ABS(J49-K49)/J49)*100</f>
        <v/>
      </c>
      <c r="M49" s="26" t="n">
        <v>0.31</v>
      </c>
      <c r="N49" s="27" t="n">
        <v>0.269</v>
      </c>
      <c r="O49" s="28">
        <f>(1-ABS(M49-N49)/M49)*100</f>
        <v/>
      </c>
      <c r="P49" s="29" t="n">
        <v>0.45</v>
      </c>
      <c r="Q49" s="30" t="n">
        <v>0.6</v>
      </c>
      <c r="R49" s="28">
        <f>(1-ABS(P49-Q49)/P49)*100</f>
        <v/>
      </c>
      <c r="S49" s="31" t="n">
        <v>15</v>
      </c>
      <c r="T49" s="29" t="n">
        <v>11.04</v>
      </c>
      <c r="U49" s="28">
        <f>(1-ABS(S49-T49)/S49)*100</f>
        <v/>
      </c>
    </row>
    <row r="50">
      <c r="B50" s="24" t="inlineStr">
        <is>
          <t>13/08</t>
        </is>
      </c>
      <c r="C50" s="25" t="n">
        <v>5891</v>
      </c>
      <c r="D50" s="26" t="n">
        <v>2.57</v>
      </c>
      <c r="E50" s="27" t="n">
        <v>2.509</v>
      </c>
      <c r="F50" s="28">
        <f>(1-ABS(D50-E50)/D50)*100</f>
        <v/>
      </c>
      <c r="G50" s="27" t="n">
        <v>0.171</v>
      </c>
      <c r="H50" s="27" t="n">
        <v>0.162</v>
      </c>
      <c r="I50" s="28">
        <f>(1-ABS(G50-H50)/G50)*100</f>
        <v/>
      </c>
      <c r="J50" s="26" t="n">
        <v>0.92</v>
      </c>
      <c r="K50" s="27" t="n">
        <v>1.024</v>
      </c>
      <c r="L50" s="28">
        <f>(1-ABS(J50-K50)/J50)*100</f>
        <v/>
      </c>
      <c r="M50" s="26" t="n">
        <v>0.29</v>
      </c>
      <c r="N50" s="27" t="n">
        <v>0.262</v>
      </c>
      <c r="O50" s="28">
        <f>(1-ABS(M50-N50)/M50)*100</f>
        <v/>
      </c>
      <c r="P50" s="29" t="n">
        <v>0.51</v>
      </c>
      <c r="Q50" s="30" t="n">
        <v>0.631</v>
      </c>
      <c r="R50" s="28">
        <f>(1-ABS(P50-Q50)/P50)*100</f>
        <v/>
      </c>
      <c r="S50" s="31" t="n">
        <v>16</v>
      </c>
      <c r="T50" s="29" t="n">
        <v>13.41</v>
      </c>
      <c r="U50" s="28">
        <f>(1-ABS(S50-T50)/S50)*100</f>
        <v/>
      </c>
    </row>
    <row r="51">
      <c r="B51" s="24" t="inlineStr">
        <is>
          <t>13/09</t>
        </is>
      </c>
      <c r="C51" s="25" t="n">
        <v>6746</v>
      </c>
      <c r="D51" s="26" t="n">
        <v>2.61</v>
      </c>
      <c r="E51" s="27" t="n">
        <v>2.517</v>
      </c>
      <c r="F51" s="28">
        <f>(1-ABS(D51-E51)/D51)*100</f>
        <v/>
      </c>
      <c r="G51" s="27" t="n">
        <v>0.166</v>
      </c>
      <c r="H51" s="27" t="n">
        <v>0.162</v>
      </c>
      <c r="I51" s="28">
        <f>(1-ABS(G51-H51)/G51)*100</f>
        <v/>
      </c>
      <c r="J51" s="26" t="n">
        <v>1.02</v>
      </c>
      <c r="K51" s="27" t="n">
        <v>1.034</v>
      </c>
      <c r="L51" s="28">
        <f>(1-ABS(J51-K51)/J51)*100</f>
        <v/>
      </c>
      <c r="M51" s="26" t="n">
        <v>0.3</v>
      </c>
      <c r="N51" s="27" t="n">
        <v>0.273</v>
      </c>
      <c r="O51" s="28">
        <f>(1-ABS(M51-N51)/M51)*100</f>
        <v/>
      </c>
      <c r="P51" s="29" t="n">
        <v>0.49</v>
      </c>
      <c r="Q51" s="30" t="n">
        <v>0.636</v>
      </c>
      <c r="R51" s="28">
        <f>(1-ABS(P51-Q51)/P51)*100</f>
        <v/>
      </c>
      <c r="S51" s="31" t="n">
        <v>14</v>
      </c>
      <c r="T51" s="29" t="n">
        <v>13.4</v>
      </c>
      <c r="U51" s="28">
        <f>(1-ABS(S51-T51)/S51)*100</f>
        <v/>
      </c>
    </row>
    <row r="52">
      <c r="B52" s="24" t="inlineStr">
        <is>
          <t>13/10</t>
        </is>
      </c>
      <c r="C52" s="25" t="n">
        <v>6450</v>
      </c>
      <c r="D52" s="26" t="n">
        <v>2.7</v>
      </c>
      <c r="E52" s="27" t="n">
        <v>2.485</v>
      </c>
      <c r="F52" s="28">
        <f>(1-ABS(D52-E52)/D52)*100</f>
        <v/>
      </c>
      <c r="G52" s="27" t="n">
        <v>0.17</v>
      </c>
      <c r="H52" s="27" t="n">
        <v>0.159</v>
      </c>
      <c r="I52" s="28">
        <f>(1-ABS(G52-H52)/G52)*100</f>
        <v/>
      </c>
      <c r="J52" s="26" t="n">
        <v>1</v>
      </c>
      <c r="K52" s="27" t="n">
        <v>1.007</v>
      </c>
      <c r="L52" s="28">
        <f>(1-ABS(J52-K52)/J52)*100</f>
        <v/>
      </c>
      <c r="M52" s="26" t="n">
        <v>0.31</v>
      </c>
      <c r="N52" s="27" t="n">
        <v>0.266</v>
      </c>
      <c r="O52" s="28">
        <f>(1-ABS(M52-N52)/M52)*100</f>
        <v/>
      </c>
      <c r="P52" s="29" t="n">
        <v>0.5</v>
      </c>
      <c r="Q52" s="30" t="n">
        <v>0.625</v>
      </c>
      <c r="R52" s="28">
        <f>(1-ABS(P52-Q52)/P52)*100</f>
        <v/>
      </c>
      <c r="S52" s="31" t="n">
        <v>15</v>
      </c>
      <c r="T52" s="29" t="n">
        <v>12.76</v>
      </c>
      <c r="U52" s="28">
        <f>(1-ABS(S52-T52)/S52)*100</f>
        <v/>
      </c>
    </row>
    <row r="53" ht="35" customHeight="1">
      <c r="A53" s="33" t="inlineStr">
        <is>
          <t>AVG ACCURACY</t>
        </is>
      </c>
      <c r="F53" s="34">
        <f>AVERAGE(F7:F52)</f>
        <v/>
      </c>
      <c r="I53" s="34">
        <f>AVERAGE(I7:I52)</f>
        <v/>
      </c>
      <c r="L53" s="34">
        <f>AVERAGE(L7:L52)</f>
        <v/>
      </c>
      <c r="O53" s="34">
        <f>AVERAGE(O7:O52)</f>
        <v/>
      </c>
      <c r="R53" s="35">
        <f>AVERAGE(R7:R52)</f>
        <v/>
      </c>
      <c r="U53" s="34">
        <f>AVERAGE(U7:U52)</f>
        <v/>
      </c>
    </row>
    <row r="54" ht="40" customHeight="1">
      <c r="A54" s="36" t="inlineStr">
        <is>
          <t>Best result closer to 0</t>
        </is>
      </c>
      <c r="B54" s="24" t="inlineStr">
        <is>
          <t>R^2 (Coefficient of determination)</t>
        </is>
      </c>
      <c r="C54" s="37" t="n"/>
      <c r="D54" s="38">
        <f>RSQ(E7:E52, D7:D52)</f>
        <v/>
      </c>
      <c r="E54" s="39" t="n"/>
      <c r="F54" s="37" t="n"/>
      <c r="G54" s="38">
        <f>RSQ(H7:H52, G7:G52)</f>
        <v/>
      </c>
      <c r="H54" s="39" t="n"/>
      <c r="I54" s="37" t="n"/>
      <c r="J54" s="38">
        <f>RSQ(K7:K52, J7:J52)</f>
        <v/>
      </c>
      <c r="K54" s="39" t="n"/>
      <c r="L54" s="37" t="n"/>
      <c r="M54" s="38">
        <f>RSQ(N7:N52, M7:M52)</f>
        <v/>
      </c>
      <c r="N54" s="39" t="n"/>
      <c r="O54" s="37" t="n"/>
      <c r="P54" s="40">
        <f>RSQ(Q7:Q52, P7:P52)</f>
        <v/>
      </c>
      <c r="Q54" s="39" t="n"/>
      <c r="R54" s="37" t="n"/>
      <c r="S54" s="40">
        <f>RSQ(T7:T52, S7:S52)</f>
        <v/>
      </c>
      <c r="T54" s="39" t="n"/>
      <c r="U54" s="37" t="n"/>
    </row>
    <row r="55" ht="39" customHeight="1">
      <c r="A55" s="36" t="inlineStr">
        <is>
          <t>Best result closer to 1</t>
        </is>
      </c>
      <c r="B55" s="24" t="inlineStr">
        <is>
          <t>MAE (Average size of prediction errors)</t>
        </is>
      </c>
      <c r="C55" s="37" t="n"/>
      <c r="D55" s="38">
        <f>SUMPRODUCT(ABS(D7:D52-E7:E52))/COUNT(D7:D52)</f>
        <v/>
      </c>
      <c r="E55" s="39" t="n"/>
      <c r="F55" s="37" t="n"/>
      <c r="G55" s="38">
        <f>SUMPRODUCT(ABS(G7:G52-H7:H52))/COUNT(G7:G52)</f>
        <v/>
      </c>
      <c r="H55" s="39" t="n"/>
      <c r="I55" s="37" t="n"/>
      <c r="J55" s="38">
        <f>SUMPRODUCT(ABS(J7:J52-K7:K52))/COUNT(J7:J52)</f>
        <v/>
      </c>
      <c r="K55" s="39" t="n"/>
      <c r="L55" s="37" t="n"/>
      <c r="M55" s="38">
        <f>SUMPRODUCT(ABS(M7:M52-N7:N52))/COUNT(M7:M52)</f>
        <v/>
      </c>
      <c r="N55" s="39" t="n"/>
      <c r="O55" s="37" t="n"/>
      <c r="P55" s="40">
        <f>SUMPRODUCT(ABS(P7:P52-Q7:Q52))/COUNT(P7:P52)</f>
        <v/>
      </c>
      <c r="Q55" s="39" t="n"/>
      <c r="R55" s="37" t="n"/>
      <c r="S55" s="40">
        <f>SUMPRODUCT(ABS(S7:S52-T7:T52))/COUNT(S7:S52)</f>
        <v/>
      </c>
      <c r="T55" s="39" t="n"/>
      <c r="U55" s="37" t="n"/>
    </row>
    <row r="56" ht="66" customHeight="1">
      <c r="A56" s="36" t="inlineStr">
        <is>
          <t>Best result closer to 1</t>
        </is>
      </c>
      <c r="B56" s="24" t="inlineStr">
        <is>
          <t>RMSE (Prediction error, with larger mistakes penalised more)</t>
        </is>
      </c>
      <c r="C56" s="37" t="n"/>
      <c r="D56" s="38">
        <f>SQRT(SUMXMY2(D7:D52, E7:E52)/COUNT(D7:D52))</f>
        <v/>
      </c>
      <c r="E56" s="39" t="n"/>
      <c r="F56" s="37" t="n"/>
      <c r="G56" s="38">
        <f>SQRT(SUMXMY2(G7:G52, H7:H52)/COUNT(G7:G52))</f>
        <v/>
      </c>
      <c r="H56" s="39" t="n"/>
      <c r="I56" s="37" t="n"/>
      <c r="J56" s="38">
        <f>SQRT(SUMXMY2(J7:J52, K7:K52)/COUNT(J7:J52))</f>
        <v/>
      </c>
      <c r="K56" s="39" t="n"/>
      <c r="L56" s="37" t="n"/>
      <c r="M56" s="38">
        <f>SQRT(SUMXMY2(M7:M52, N7:N52)/COUNT(M7:M52))</f>
        <v/>
      </c>
      <c r="N56" s="39" t="n"/>
      <c r="O56" s="37" t="n"/>
      <c r="P56" s="40">
        <f>SQRT(SUMXMY2(P7:P52, Q7:Q52)/COUNT(P7:P52))</f>
        <v/>
      </c>
      <c r="Q56" s="39" t="n"/>
      <c r="R56" s="37" t="n"/>
      <c r="S56" s="40">
        <f>SQRT(SUMXMY2(S7:S52, T7:T52)/COUNT(S7:S52))</f>
        <v/>
      </c>
      <c r="T56" s="39" t="n"/>
      <c r="U56" s="37" t="n"/>
    </row>
  </sheetData>
  <mergeCells count="31">
    <mergeCell ref="B54:C54"/>
    <mergeCell ref="B4:O4"/>
    <mergeCell ref="M54:O54"/>
    <mergeCell ref="J55:L55"/>
    <mergeCell ref="B56:C56"/>
    <mergeCell ref="J54:L54"/>
    <mergeCell ref="G5:I5"/>
    <mergeCell ref="D56:F56"/>
    <mergeCell ref="G55:I55"/>
    <mergeCell ref="J56:L56"/>
    <mergeCell ref="S55:U55"/>
    <mergeCell ref="D55:F55"/>
    <mergeCell ref="G54:I54"/>
    <mergeCell ref="S5:U5"/>
    <mergeCell ref="S54:U54"/>
    <mergeCell ref="D5:F5"/>
    <mergeCell ref="P5:R5"/>
    <mergeCell ref="D54:F54"/>
    <mergeCell ref="M56:O56"/>
    <mergeCell ref="P54:R54"/>
    <mergeCell ref="G56:I56"/>
    <mergeCell ref="P55:R55"/>
    <mergeCell ref="S56:U56"/>
    <mergeCell ref="B5:B6"/>
    <mergeCell ref="P4:U4"/>
    <mergeCell ref="J5:L5"/>
    <mergeCell ref="B55:C55"/>
    <mergeCell ref="M55:O55"/>
    <mergeCell ref="M5:O5"/>
    <mergeCell ref="P56:R56"/>
    <mergeCell ref="C5:C6"/>
  </mergeCells>
  <conditionalFormatting sqref="F7:F52 I7:I52 L7:L52 O7:O52 R7:R52 U7:U52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2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10/01</t>
        </is>
      </c>
      <c r="C7" s="25" t="n">
        <v>4575</v>
      </c>
      <c r="D7" s="26" t="n">
        <v>2.54</v>
      </c>
      <c r="E7" s="27" t="n">
        <v>1.997</v>
      </c>
      <c r="F7" s="28">
        <f>(1-ABS(D7-E7)/D7)*100</f>
        <v/>
      </c>
      <c r="G7" s="27" t="n">
        <v>0.17</v>
      </c>
      <c r="H7" s="27" t="n">
        <v>0.123</v>
      </c>
      <c r="I7" s="28">
        <f>(1-ABS(G7-H7)/G7)*100</f>
        <v/>
      </c>
      <c r="J7" s="26" t="n">
        <v>0.82</v>
      </c>
      <c r="K7" s="27" t="n">
        <v>0.789</v>
      </c>
      <c r="L7" s="28">
        <f>(1-ABS(J7-K7)/J7)*100</f>
        <v/>
      </c>
      <c r="M7" s="26" t="n">
        <v>0.29</v>
      </c>
      <c r="N7" s="27" t="n">
        <v>0.243</v>
      </c>
      <c r="O7" s="28">
        <f>(1-ABS(M7-N7)/M7)*100</f>
        <v/>
      </c>
      <c r="P7" s="29" t="n">
        <v>0.49</v>
      </c>
      <c r="Q7" s="30" t="n">
        <v>0.503</v>
      </c>
      <c r="R7" s="28">
        <f>(1-ABS(P7-Q7)/P7)*100</f>
        <v/>
      </c>
      <c r="S7" s="31" t="n">
        <v>17</v>
      </c>
      <c r="T7" s="29" t="n">
        <v>9.109999999999999</v>
      </c>
      <c r="U7" s="28">
        <f>(1-ABS(S7-T7)/S7)*100</f>
        <v/>
      </c>
    </row>
    <row r="8">
      <c r="B8" s="24" t="inlineStr">
        <is>
          <t>10/02</t>
        </is>
      </c>
      <c r="C8" s="25" t="n">
        <v>4509</v>
      </c>
      <c r="D8" s="26" t="n">
        <v>2.62</v>
      </c>
      <c r="E8" s="27" t="n">
        <v>2.439</v>
      </c>
      <c r="F8" s="28">
        <f>(1-ABS(D8-E8)/D8)*100</f>
        <v/>
      </c>
      <c r="G8" s="27" t="n">
        <v>0.162</v>
      </c>
      <c r="H8" s="27" t="n">
        <v>0.154</v>
      </c>
      <c r="I8" s="28">
        <f>(1-ABS(G8-H8)/G8)*100</f>
        <v/>
      </c>
      <c r="J8" s="26" t="n">
        <v>0.85</v>
      </c>
      <c r="K8" s="27" t="n">
        <v>0.994</v>
      </c>
      <c r="L8" s="28">
        <f>(1-ABS(J8-K8)/J8)*100</f>
        <v/>
      </c>
      <c r="M8" s="26" t="n">
        <v>0.27</v>
      </c>
      <c r="N8" s="27" t="n">
        <v>0.274</v>
      </c>
      <c r="O8" s="28">
        <f>(1-ABS(M8-N8)/M8)*100</f>
        <v/>
      </c>
      <c r="P8" s="29" t="n">
        <v>0.47</v>
      </c>
      <c r="Q8" s="30" t="n">
        <v>0.622</v>
      </c>
      <c r="R8" s="28">
        <f>(1-ABS(P8-Q8)/P8)*100</f>
        <v/>
      </c>
      <c r="S8" s="31" t="n">
        <v>14</v>
      </c>
      <c r="T8" s="29" t="n">
        <v>12.09</v>
      </c>
      <c r="U8" s="28">
        <f>(1-ABS(S8-T8)/S8)*100</f>
        <v/>
      </c>
    </row>
    <row r="9">
      <c r="B9" s="24" t="inlineStr">
        <is>
          <t>10/03</t>
        </is>
      </c>
      <c r="C9" s="25" t="n">
        <v>2287</v>
      </c>
      <c r="D9" s="26" t="n">
        <v>2.59</v>
      </c>
      <c r="E9" s="27" t="n">
        <v>2.489</v>
      </c>
      <c r="F9" s="28">
        <f>(1-ABS(D9-E9)/D9)*100</f>
        <v/>
      </c>
      <c r="G9" s="27" t="n">
        <v>0.175</v>
      </c>
      <c r="H9" s="27" t="n">
        <v>0.16</v>
      </c>
      <c r="I9" s="28">
        <f>(1-ABS(G9-H9)/G9)*100</f>
        <v/>
      </c>
      <c r="J9" s="26" t="n">
        <v>0.99</v>
      </c>
      <c r="K9" s="27" t="n">
        <v>1.021</v>
      </c>
      <c r="L9" s="28">
        <f>(1-ABS(J9-K9)/J9)*100</f>
        <v/>
      </c>
      <c r="M9" s="26" t="n">
        <v>0.32</v>
      </c>
      <c r="N9" s="27" t="n">
        <v>0.269</v>
      </c>
      <c r="O9" s="28">
        <f>(1-ABS(M9-N9)/M9)*100</f>
        <v/>
      </c>
      <c r="P9" s="29" t="n">
        <v>0.48</v>
      </c>
      <c r="Q9" s="30" t="n">
        <v>0.647</v>
      </c>
      <c r="R9" s="28">
        <f>(1-ABS(P9-Q9)/P9)*100</f>
        <v/>
      </c>
      <c r="S9" s="31" t="n">
        <v>16</v>
      </c>
      <c r="T9" s="29" t="n">
        <v>12.84</v>
      </c>
      <c r="U9" s="28">
        <f>(1-ABS(S9-T9)/S9)*100</f>
        <v/>
      </c>
    </row>
    <row r="10">
      <c r="B10" s="24" t="inlineStr">
        <is>
          <t>10/04</t>
        </is>
      </c>
      <c r="C10" s="25" t="n">
        <v>5984</v>
      </c>
      <c r="D10" s="26" t="n">
        <v>2.53</v>
      </c>
      <c r="E10" s="27" t="n">
        <v>1.952</v>
      </c>
      <c r="F10" s="28">
        <f>(1-ABS(D10-E10)/D10)*100</f>
        <v/>
      </c>
      <c r="G10" s="27" t="n">
        <v>0.172</v>
      </c>
      <c r="H10" s="27" t="n">
        <v>0.118</v>
      </c>
      <c r="I10" s="28">
        <f>(1-ABS(G10-H10)/G10)*100</f>
        <v/>
      </c>
      <c r="J10" s="26" t="n">
        <v>0.9399999999999999</v>
      </c>
      <c r="K10" s="27" t="n">
        <v>0.788</v>
      </c>
      <c r="L10" s="28">
        <f>(1-ABS(J10-K10)/J10)*100</f>
        <v/>
      </c>
      <c r="M10" s="26" t="n">
        <v>0.31</v>
      </c>
      <c r="N10" s="27" t="n">
        <v>0.234</v>
      </c>
      <c r="O10" s="28">
        <f>(1-ABS(M10-N10)/M10)*100</f>
        <v/>
      </c>
      <c r="P10" s="29" t="n">
        <v>0.65</v>
      </c>
      <c r="Q10" s="30" t="n">
        <v>0.469</v>
      </c>
      <c r="R10" s="28">
        <f>(1-ABS(P10-Q10)/P10)*100</f>
        <v/>
      </c>
      <c r="S10" s="31" t="n">
        <v>14</v>
      </c>
      <c r="T10" s="29" t="n">
        <v>10.12</v>
      </c>
      <c r="U10" s="28">
        <f>(1-ABS(S10-T10)/S10)*100</f>
        <v/>
      </c>
    </row>
    <row r="11">
      <c r="B11" s="24" t="inlineStr">
        <is>
          <t>10/06</t>
        </is>
      </c>
      <c r="C11" s="25" t="n">
        <v>5304</v>
      </c>
      <c r="D11" s="26" t="n">
        <v>2.65</v>
      </c>
      <c r="E11" s="27" t="n">
        <v>2.114</v>
      </c>
      <c r="F11" s="28">
        <f>(1-ABS(D11-E11)/D11)*100</f>
        <v/>
      </c>
      <c r="G11" s="27" t="n">
        <v>0.164</v>
      </c>
      <c r="H11" s="27" t="n">
        <v>0.129</v>
      </c>
      <c r="I11" s="28">
        <f>(1-ABS(G11-H11)/G11)*100</f>
        <v/>
      </c>
      <c r="J11" s="26" t="n">
        <v>0.92</v>
      </c>
      <c r="K11" s="27" t="n">
        <v>0.862</v>
      </c>
      <c r="L11" s="28">
        <f>(1-ABS(J11-K11)/J11)*100</f>
        <v/>
      </c>
      <c r="M11" s="26" t="n">
        <v>0.3</v>
      </c>
      <c r="N11" s="27" t="n">
        <v>0.247</v>
      </c>
      <c r="O11" s="28">
        <f>(1-ABS(M11-N11)/M11)*100</f>
        <v/>
      </c>
      <c r="P11" s="29" t="n">
        <v>0.43</v>
      </c>
      <c r="Q11" s="30" t="n">
        <v>0.52</v>
      </c>
      <c r="R11" s="28">
        <f>(1-ABS(P11-Q11)/P11)*100</f>
        <v/>
      </c>
      <c r="S11" s="31" t="n">
        <v>15</v>
      </c>
      <c r="T11" s="29" t="n">
        <v>10.73</v>
      </c>
      <c r="U11" s="28">
        <f>(1-ABS(S11-T11)/S11)*100</f>
        <v/>
      </c>
    </row>
    <row r="12">
      <c r="B12" s="24" t="inlineStr">
        <is>
          <t>10/09</t>
        </is>
      </c>
      <c r="C12" s="25" t="n">
        <v>2646</v>
      </c>
      <c r="D12" s="26" t="n">
        <v>2.56</v>
      </c>
      <c r="E12" s="27" t="n">
        <v>2.099</v>
      </c>
      <c r="F12" s="28">
        <f>(1-ABS(D12-E12)/D12)*100</f>
        <v/>
      </c>
      <c r="G12" s="27" t="n">
        <v>0.171</v>
      </c>
      <c r="H12" s="27" t="n">
        <v>0.132</v>
      </c>
      <c r="I12" s="28">
        <f>(1-ABS(G12-H12)/G12)*100</f>
        <v/>
      </c>
      <c r="J12" s="26" t="n">
        <v>0.93</v>
      </c>
      <c r="K12" s="27" t="n">
        <v>0.837</v>
      </c>
      <c r="L12" s="28">
        <f>(1-ABS(J12-K12)/J12)*100</f>
        <v/>
      </c>
      <c r="M12" s="26" t="n">
        <v>0.32</v>
      </c>
      <c r="N12" s="27" t="n">
        <v>0.248</v>
      </c>
      <c r="O12" s="28">
        <f>(1-ABS(M12-N12)/M12)*100</f>
        <v/>
      </c>
      <c r="P12" s="29" t="n">
        <v>0.41</v>
      </c>
      <c r="Q12" s="30" t="n">
        <v>0.539</v>
      </c>
      <c r="R12" s="28">
        <f>(1-ABS(P12-Q12)/P12)*100</f>
        <v/>
      </c>
      <c r="S12" s="31" t="n">
        <v>15</v>
      </c>
      <c r="T12" s="29" t="n">
        <v>10.34</v>
      </c>
      <c r="U12" s="28">
        <f>(1-ABS(S12-T12)/S12)*100</f>
        <v/>
      </c>
    </row>
    <row r="13">
      <c r="B13" s="24" t="inlineStr">
        <is>
          <t>10/10</t>
        </is>
      </c>
      <c r="C13" s="25" t="n">
        <v>3148</v>
      </c>
      <c r="D13" s="26" t="n">
        <v>2.64</v>
      </c>
      <c r="E13" s="27" t="n">
        <v>2.414</v>
      </c>
      <c r="F13" s="28">
        <f>(1-ABS(D13-E13)/D13)*100</f>
        <v/>
      </c>
      <c r="G13" s="27" t="n">
        <v>0.161</v>
      </c>
      <c r="H13" s="27" t="n">
        <v>0.153</v>
      </c>
      <c r="I13" s="28">
        <f>(1-ABS(G13-H13)/G13)*100</f>
        <v/>
      </c>
      <c r="J13" s="26" t="n">
        <v>0.87</v>
      </c>
      <c r="K13" s="27" t="n">
        <v>0.986</v>
      </c>
      <c r="L13" s="28">
        <f>(1-ABS(J13-K13)/J13)*100</f>
        <v/>
      </c>
      <c r="M13" s="26" t="n">
        <v>0.29</v>
      </c>
      <c r="N13" s="27" t="n">
        <v>0.257</v>
      </c>
      <c r="O13" s="28">
        <f>(1-ABS(M13-N13)/M13)*100</f>
        <v/>
      </c>
      <c r="P13" s="29" t="n">
        <v>0.4</v>
      </c>
      <c r="Q13" s="30" t="n">
        <v>0.63</v>
      </c>
      <c r="R13" s="28">
        <f>(1-ABS(P13-Q13)/P13)*100</f>
        <v/>
      </c>
      <c r="S13" s="31" t="n">
        <v>14</v>
      </c>
      <c r="T13" s="29" t="n">
        <v>12.24</v>
      </c>
      <c r="U13" s="28">
        <f>(1-ABS(S13-T13)/S13)*100</f>
        <v/>
      </c>
    </row>
    <row r="14">
      <c r="B14" s="24" t="inlineStr">
        <is>
          <t>10/11</t>
        </is>
      </c>
      <c r="C14" s="25" t="n">
        <v>5121</v>
      </c>
      <c r="D14" s="26" t="n">
        <v>2.63</v>
      </c>
      <c r="E14" s="27" t="n">
        <v>2.304</v>
      </c>
      <c r="F14" s="28">
        <f>(1-ABS(D14-E14)/D14)*100</f>
        <v/>
      </c>
      <c r="G14" s="27" t="n">
        <v>0.161</v>
      </c>
      <c r="H14" s="27" t="n">
        <v>0.143</v>
      </c>
      <c r="I14" s="28">
        <f>(1-ABS(G14-H14)/G14)*100</f>
        <v/>
      </c>
      <c r="J14" s="26" t="n">
        <v>0.87</v>
      </c>
      <c r="K14" s="27" t="n">
        <v>0.951</v>
      </c>
      <c r="L14" s="28">
        <f>(1-ABS(J14-K14)/J14)*100</f>
        <v/>
      </c>
      <c r="M14" s="26" t="n">
        <v>0.29</v>
      </c>
      <c r="N14" s="27" t="n">
        <v>0.244</v>
      </c>
      <c r="O14" s="28">
        <f>(1-ABS(M14-N14)/M14)*100</f>
        <v/>
      </c>
      <c r="P14" s="29" t="n">
        <v>0.4</v>
      </c>
      <c r="Q14" s="30" t="n">
        <v>0.575</v>
      </c>
      <c r="R14" s="28">
        <f>(1-ABS(P14-Q14)/P14)*100</f>
        <v/>
      </c>
      <c r="S14" s="31" t="n">
        <v>14</v>
      </c>
      <c r="T14" s="29" t="n">
        <v>12.31</v>
      </c>
      <c r="U14" s="28">
        <f>(1-ABS(S14-T14)/S14)*100</f>
        <v/>
      </c>
    </row>
    <row r="15">
      <c r="B15" s="24" t="inlineStr">
        <is>
          <t>10/12</t>
        </is>
      </c>
      <c r="C15" s="25" t="n">
        <v>3548</v>
      </c>
      <c r="D15" s="26" t="n">
        <v>2.53</v>
      </c>
      <c r="E15" s="27" t="n">
        <v>2.399</v>
      </c>
      <c r="F15" s="28">
        <f>(1-ABS(D15-E15)/D15)*100</f>
        <v/>
      </c>
      <c r="G15" s="27" t="n">
        <v>0.158</v>
      </c>
      <c r="H15" s="27" t="n">
        <v>0.15</v>
      </c>
      <c r="I15" s="28">
        <f>(1-ABS(G15-H15)/G15)*100</f>
        <v/>
      </c>
      <c r="J15" s="26" t="n">
        <v>0.95</v>
      </c>
      <c r="K15" s="27" t="n">
        <v>0.991</v>
      </c>
      <c r="L15" s="28">
        <f>(1-ABS(J15-K15)/J15)*100</f>
        <v/>
      </c>
      <c r="M15" s="26" t="n">
        <v>0.3</v>
      </c>
      <c r="N15" s="27" t="n">
        <v>0.246</v>
      </c>
      <c r="O15" s="28">
        <f>(1-ABS(M15-N15)/M15)*100</f>
        <v/>
      </c>
      <c r="P15" s="29" t="n">
        <v>0.41</v>
      </c>
      <c r="Q15" s="30" t="n">
        <v>0.602</v>
      </c>
      <c r="R15" s="28">
        <f>(1-ABS(P15-Q15)/P15)*100</f>
        <v/>
      </c>
      <c r="S15" s="31" t="n">
        <v>14</v>
      </c>
      <c r="T15" s="29" t="n">
        <v>13.21</v>
      </c>
      <c r="U15" s="28">
        <f>(1-ABS(S15-T15)/S15)*100</f>
        <v/>
      </c>
    </row>
    <row r="16">
      <c r="B16" s="24" t="inlineStr">
        <is>
          <t>10/13</t>
        </is>
      </c>
      <c r="C16" s="25" t="n">
        <v>3677</v>
      </c>
      <c r="D16" s="26" t="n">
        <v>2.57</v>
      </c>
      <c r="E16" s="27" t="n">
        <v>2.386</v>
      </c>
      <c r="F16" s="28">
        <f>(1-ABS(D16-E16)/D16)*100</f>
        <v/>
      </c>
      <c r="G16" s="27" t="n">
        <v>0.161</v>
      </c>
      <c r="H16" s="27" t="n">
        <v>0.151</v>
      </c>
      <c r="I16" s="28">
        <f>(1-ABS(G16-H16)/G16)*100</f>
        <v/>
      </c>
      <c r="J16" s="26" t="n">
        <v>0.88</v>
      </c>
      <c r="K16" s="27" t="n">
        <v>0.991</v>
      </c>
      <c r="L16" s="28">
        <f>(1-ABS(J16-K16)/J16)*100</f>
        <v/>
      </c>
      <c r="M16" s="26" t="n">
        <v>0.28</v>
      </c>
      <c r="N16" s="27" t="n">
        <v>0.255</v>
      </c>
      <c r="O16" s="28">
        <f>(1-ABS(M16-N16)/M16)*100</f>
        <v/>
      </c>
      <c r="P16" s="29" t="n">
        <v>0.59</v>
      </c>
      <c r="Q16" s="30" t="n">
        <v>0.618</v>
      </c>
      <c r="R16" s="28">
        <f>(1-ABS(P16-Q16)/P16)*100</f>
        <v/>
      </c>
      <c r="S16" s="31" t="n">
        <v>14</v>
      </c>
      <c r="T16" s="29" t="n">
        <v>12.33</v>
      </c>
      <c r="U16" s="28">
        <f>(1-ABS(S16-T16)/S16)*100</f>
        <v/>
      </c>
    </row>
    <row r="17" ht="40" customHeight="1">
      <c r="A17" s="32" t="inlineStr">
        <is>
          <t>Best result closer to 1</t>
        </is>
      </c>
      <c r="B17" s="24" t="inlineStr">
        <is>
          <t>10/14</t>
        </is>
      </c>
      <c r="C17" s="25" t="n">
        <v>4603</v>
      </c>
      <c r="D17" s="26" t="n">
        <v>2.51</v>
      </c>
      <c r="E17" s="27" t="n">
        <v>2.445</v>
      </c>
      <c r="F17" s="28">
        <f>(1-ABS(D17-E17)/D17)*100</f>
        <v/>
      </c>
      <c r="G17" s="27" t="n">
        <v>0.169</v>
      </c>
      <c r="H17" s="27" t="n">
        <v>0.155</v>
      </c>
      <c r="I17" s="28">
        <f>(1-ABS(G17-H17)/G17)*100</f>
        <v/>
      </c>
      <c r="J17" s="26" t="n">
        <v>0.86</v>
      </c>
      <c r="K17" s="27" t="n">
        <v>0.996</v>
      </c>
      <c r="L17" s="28">
        <f>(1-ABS(J17-K17)/J17)*100</f>
        <v/>
      </c>
      <c r="M17" s="26" t="n">
        <v>0.29</v>
      </c>
      <c r="N17" s="27" t="n">
        <v>0.256</v>
      </c>
      <c r="O17" s="28">
        <f>(1-ABS(M17-N17)/M17)*100</f>
        <v/>
      </c>
      <c r="P17" s="29" t="n">
        <v>0.51</v>
      </c>
      <c r="Q17" s="30" t="n">
        <v>0.65</v>
      </c>
      <c r="R17" s="28">
        <f>(1-ABS(P17-Q17)/P17)*100</f>
        <v/>
      </c>
      <c r="S17" s="31" t="n">
        <v>17</v>
      </c>
      <c r="T17" s="29" t="n">
        <v>11.95</v>
      </c>
      <c r="U17" s="28">
        <f>(1-ABS(S17-T17)/S17)*100</f>
        <v/>
      </c>
    </row>
    <row r="18" ht="39" customHeight="1">
      <c r="A18" s="32" t="inlineStr">
        <is>
          <t>Best result closer to 0</t>
        </is>
      </c>
      <c r="B18" s="24" t="inlineStr">
        <is>
          <t>10/15</t>
        </is>
      </c>
      <c r="C18" s="25" t="n">
        <v>2561</v>
      </c>
      <c r="D18" s="26" t="n">
        <v>2.49</v>
      </c>
      <c r="E18" s="27" t="n">
        <v>2.312</v>
      </c>
      <c r="F18" s="28">
        <f>(1-ABS(D18-E18)/D18)*100</f>
        <v/>
      </c>
      <c r="G18" s="27" t="n">
        <v>0.162</v>
      </c>
      <c r="H18" s="27" t="n">
        <v>0.147</v>
      </c>
      <c r="I18" s="28">
        <f>(1-ABS(G18-H18)/G18)*100</f>
        <v/>
      </c>
      <c r="J18" s="26" t="n">
        <v>0.87</v>
      </c>
      <c r="K18" s="27" t="n">
        <v>0.922</v>
      </c>
      <c r="L18" s="28">
        <f>(1-ABS(J18-K18)/J18)*100</f>
        <v/>
      </c>
      <c r="M18" s="26" t="n">
        <v>0.27</v>
      </c>
      <c r="N18" s="27" t="n">
        <v>0.256</v>
      </c>
      <c r="O18" s="28">
        <f>(1-ABS(M18-N18)/M18)*100</f>
        <v/>
      </c>
      <c r="P18" s="29" t="n">
        <v>0.48</v>
      </c>
      <c r="Q18" s="30" t="n">
        <v>0.591</v>
      </c>
      <c r="R18" s="28">
        <f>(1-ABS(P18-Q18)/P18)*100</f>
        <v/>
      </c>
      <c r="S18" s="31" t="n">
        <v>17</v>
      </c>
      <c r="T18" s="29" t="n">
        <v>12.29</v>
      </c>
      <c r="U18" s="28">
        <f>(1-ABS(S18-T18)/S18)*100</f>
        <v/>
      </c>
    </row>
    <row r="19" ht="66" customHeight="1">
      <c r="A19" s="32" t="inlineStr">
        <is>
          <t>Best result closer to 1</t>
        </is>
      </c>
      <c r="B19" s="24" t="inlineStr">
        <is>
          <t>10/16</t>
        </is>
      </c>
      <c r="C19" s="25" t="n">
        <v>5307</v>
      </c>
      <c r="D19" s="26" t="n">
        <v>2.59</v>
      </c>
      <c r="E19" s="27" t="n">
        <v>1.946</v>
      </c>
      <c r="F19" s="28">
        <f>(1-ABS(D19-E19)/D19)*100</f>
        <v/>
      </c>
      <c r="G19" s="27" t="n">
        <v>0.164</v>
      </c>
      <c r="H19" s="27" t="n">
        <v>0.118</v>
      </c>
      <c r="I19" s="28">
        <f>(1-ABS(G19-H19)/G19)*100</f>
        <v/>
      </c>
      <c r="J19" s="26" t="n">
        <v>0.83</v>
      </c>
      <c r="K19" s="27" t="n">
        <v>0.774</v>
      </c>
      <c r="L19" s="28">
        <f>(1-ABS(J19-K19)/J19)*100</f>
        <v/>
      </c>
      <c r="M19" s="26" t="n">
        <v>0.24</v>
      </c>
      <c r="N19" s="27" t="n">
        <v>0.228</v>
      </c>
      <c r="O19" s="28">
        <f>(1-ABS(M19-N19)/M19)*100</f>
        <v/>
      </c>
      <c r="P19" s="29" t="n">
        <v>0.48</v>
      </c>
      <c r="Q19" s="30" t="n">
        <v>0.491</v>
      </c>
      <c r="R19" s="28">
        <f>(1-ABS(P19-Q19)/P19)*100</f>
        <v/>
      </c>
      <c r="S19" s="31" t="n">
        <v>17</v>
      </c>
      <c r="T19" s="29" t="n">
        <v>9.07</v>
      </c>
      <c r="U19" s="28">
        <f>(1-ABS(S19-T19)/S19)*100</f>
        <v/>
      </c>
    </row>
    <row r="20">
      <c r="B20" s="24" t="inlineStr">
        <is>
          <t>10/17</t>
        </is>
      </c>
      <c r="C20" s="25" t="n">
        <v>5900</v>
      </c>
      <c r="D20" s="26" t="n">
        <v>2.56</v>
      </c>
      <c r="E20" s="27" t="n">
        <v>2.227</v>
      </c>
      <c r="F20" s="28">
        <f>(1-ABS(D20-E20)/D20)*100</f>
        <v/>
      </c>
      <c r="G20" s="27" t="n">
        <v>0.161</v>
      </c>
      <c r="H20" s="27" t="n">
        <v>0.141</v>
      </c>
      <c r="I20" s="28">
        <f>(1-ABS(G20-H20)/G20)*100</f>
        <v/>
      </c>
      <c r="J20" s="26" t="n">
        <v>0.87</v>
      </c>
      <c r="K20" s="27" t="n">
        <v>0.879</v>
      </c>
      <c r="L20" s="28">
        <f>(1-ABS(J20-K20)/J20)*100</f>
        <v/>
      </c>
      <c r="M20" s="26" t="n">
        <v>0.24</v>
      </c>
      <c r="N20" s="27" t="n">
        <v>0.253</v>
      </c>
      <c r="O20" s="28">
        <f>(1-ABS(M20-N20)/M20)*100</f>
        <v/>
      </c>
      <c r="P20" s="29" t="n">
        <v>0.51</v>
      </c>
      <c r="Q20" s="30" t="n">
        <v>0.588</v>
      </c>
      <c r="R20" s="28">
        <f>(1-ABS(P20-Q20)/P20)*100</f>
        <v/>
      </c>
      <c r="S20" s="31" t="n">
        <v>17</v>
      </c>
      <c r="T20" s="29" t="n">
        <v>10.42</v>
      </c>
      <c r="U20" s="28">
        <f>(1-ABS(S20-T20)/S20)*100</f>
        <v/>
      </c>
    </row>
    <row r="21">
      <c r="B21" s="24" t="inlineStr">
        <is>
          <t>10/18</t>
        </is>
      </c>
      <c r="C21" s="25" t="n">
        <v>5092</v>
      </c>
      <c r="D21" s="26" t="n">
        <v>2.59</v>
      </c>
      <c r="E21" s="27" t="n">
        <v>2.366</v>
      </c>
      <c r="F21" s="28">
        <f>(1-ABS(D21-E21)/D21)*100</f>
        <v/>
      </c>
      <c r="G21" s="27" t="n">
        <v>0.163</v>
      </c>
      <c r="H21" s="27" t="n">
        <v>0.148</v>
      </c>
      <c r="I21" s="28">
        <f>(1-ABS(G21-H21)/G21)*100</f>
        <v/>
      </c>
      <c r="J21" s="26" t="n">
        <v>0.85</v>
      </c>
      <c r="K21" s="27" t="n">
        <v>0.98</v>
      </c>
      <c r="L21" s="28">
        <f>(1-ABS(J21-K21)/J21)*100</f>
        <v/>
      </c>
      <c r="M21" s="26" t="n">
        <v>0.28</v>
      </c>
      <c r="N21" s="27" t="n">
        <v>0.252</v>
      </c>
      <c r="O21" s="28">
        <f>(1-ABS(M21-N21)/M21)*100</f>
        <v/>
      </c>
      <c r="P21" s="29" t="n">
        <v>0.48</v>
      </c>
      <c r="Q21" s="30" t="n">
        <v>0.588</v>
      </c>
      <c r="R21" s="28">
        <f>(1-ABS(P21-Q21)/P21)*100</f>
        <v/>
      </c>
      <c r="S21" s="31" t="n">
        <v>16</v>
      </c>
      <c r="T21" s="29" t="n">
        <v>12.58</v>
      </c>
      <c r="U21" s="28">
        <f>(1-ABS(S21-T21)/S21)*100</f>
        <v/>
      </c>
    </row>
    <row r="22">
      <c r="B22" s="24" t="inlineStr">
        <is>
          <t>10/19</t>
        </is>
      </c>
      <c r="C22" s="25" t="n">
        <v>4826</v>
      </c>
      <c r="D22" s="26" t="n">
        <v>2.63</v>
      </c>
      <c r="E22" s="27" t="n">
        <v>1.916</v>
      </c>
      <c r="F22" s="28">
        <f>(1-ABS(D22-E22)/D22)*100</f>
        <v/>
      </c>
      <c r="G22" s="27" t="n">
        <v>0.16</v>
      </c>
      <c r="H22" s="27" t="n">
        <v>0.116</v>
      </c>
      <c r="I22" s="28">
        <f>(1-ABS(G22-H22)/G22)*100</f>
        <v/>
      </c>
      <c r="J22" s="26" t="n">
        <v>0.86</v>
      </c>
      <c r="K22" s="27" t="n">
        <v>0.778</v>
      </c>
      <c r="L22" s="28">
        <f>(1-ABS(J22-K22)/J22)*100</f>
        <v/>
      </c>
      <c r="M22" s="26" t="n">
        <v>0.3</v>
      </c>
      <c r="N22" s="27" t="n">
        <v>0.224</v>
      </c>
      <c r="O22" s="28">
        <f>(1-ABS(M22-N22)/M22)*100</f>
        <v/>
      </c>
      <c r="P22" s="29" t="n">
        <v>0.42</v>
      </c>
      <c r="Q22" s="30" t="n">
        <v>0.467</v>
      </c>
      <c r="R22" s="28">
        <f>(1-ABS(P22-Q22)/P22)*100</f>
        <v/>
      </c>
      <c r="S22" s="31" t="n">
        <v>15</v>
      </c>
      <c r="T22" s="29" t="n">
        <v>9.24</v>
      </c>
      <c r="U22" s="28">
        <f>(1-ABS(S22-T22)/S22)*100</f>
        <v/>
      </c>
    </row>
    <row r="23">
      <c r="B23" s="24" t="inlineStr">
        <is>
          <t>10/20</t>
        </is>
      </c>
      <c r="C23" s="25" t="n">
        <v>3939</v>
      </c>
      <c r="D23" s="26" t="n">
        <v>2.49</v>
      </c>
      <c r="E23" s="27" t="n">
        <v>1.763</v>
      </c>
      <c r="F23" s="28">
        <f>(1-ABS(D23-E23)/D23)*100</f>
        <v/>
      </c>
      <c r="G23" s="27" t="n">
        <v>0.159</v>
      </c>
      <c r="H23" s="27" t="n">
        <v>0.107</v>
      </c>
      <c r="I23" s="28">
        <f>(1-ABS(G23-H23)/G23)*100</f>
        <v/>
      </c>
      <c r="J23" s="26" t="n">
        <v>0.87</v>
      </c>
      <c r="K23" s="27" t="n">
        <v>0.695</v>
      </c>
      <c r="L23" s="28">
        <f>(1-ABS(J23-K23)/J23)*100</f>
        <v/>
      </c>
      <c r="M23" s="26" t="n">
        <v>0.24</v>
      </c>
      <c r="N23" s="27" t="n">
        <v>0.213</v>
      </c>
      <c r="O23" s="28">
        <f>(1-ABS(M23-N23)/M23)*100</f>
        <v/>
      </c>
      <c r="P23" s="29" t="n">
        <v>0.46</v>
      </c>
      <c r="Q23" s="30" t="n">
        <v>0.434</v>
      </c>
      <c r="R23" s="28">
        <f>(1-ABS(P23-Q23)/P23)*100</f>
        <v/>
      </c>
      <c r="S23" s="31" t="n">
        <v>15</v>
      </c>
      <c r="T23" s="29" t="n">
        <v>8.57</v>
      </c>
      <c r="U23" s="28">
        <f>(1-ABS(S23-T23)/S23)*100</f>
        <v/>
      </c>
    </row>
    <row r="24">
      <c r="B24" s="24" t="inlineStr">
        <is>
          <t>10/21</t>
        </is>
      </c>
      <c r="C24" s="25" t="n">
        <v>4689</v>
      </c>
      <c r="D24" s="26" t="n">
        <v>2.59</v>
      </c>
      <c r="E24" s="27" t="n">
        <v>1.546</v>
      </c>
      <c r="F24" s="28">
        <f>(1-ABS(D24-E24)/D24)*100</f>
        <v/>
      </c>
      <c r="G24" s="27" t="n">
        <v>0.162</v>
      </c>
      <c r="H24" s="27" t="n">
        <v>0.091</v>
      </c>
      <c r="I24" s="28">
        <f>(1-ABS(G24-H24)/G24)*100</f>
        <v/>
      </c>
      <c r="J24" s="26" t="n">
        <v>0.83</v>
      </c>
      <c r="K24" s="27" t="n">
        <v>0.601</v>
      </c>
      <c r="L24" s="28">
        <f>(1-ABS(J24-K24)/J24)*100</f>
        <v/>
      </c>
      <c r="M24" s="26" t="n">
        <v>0.24</v>
      </c>
      <c r="N24" s="27" t="n">
        <v>0.194</v>
      </c>
      <c r="O24" s="28">
        <f>(1-ABS(M24-N24)/M24)*100</f>
        <v/>
      </c>
      <c r="P24" s="29" t="n">
        <v>0.48</v>
      </c>
      <c r="Q24" s="30" t="n">
        <v>0.366</v>
      </c>
      <c r="R24" s="28">
        <f>(1-ABS(P24-Q24)/P24)*100</f>
        <v/>
      </c>
      <c r="S24" s="31" t="n">
        <v>17</v>
      </c>
      <c r="T24" s="29" t="n">
        <v>7.52</v>
      </c>
      <c r="U24" s="28">
        <f>(1-ABS(S24-T24)/S24)*100</f>
        <v/>
      </c>
    </row>
    <row r="25">
      <c r="B25" s="24" t="inlineStr">
        <is>
          <t>11/22</t>
        </is>
      </c>
      <c r="C25" s="25" t="n">
        <v>5791</v>
      </c>
      <c r="D25" s="26" t="n">
        <v>2.57</v>
      </c>
      <c r="E25" s="27" t="n">
        <v>2.03</v>
      </c>
      <c r="F25" s="28">
        <f>(1-ABS(D25-E25)/D25)*100</f>
        <v/>
      </c>
      <c r="G25" s="27" t="n">
        <v>0.154</v>
      </c>
      <c r="H25" s="27" t="n">
        <v>0.127</v>
      </c>
      <c r="I25" s="28">
        <f>(1-ABS(G25-H25)/G25)*100</f>
        <v/>
      </c>
      <c r="J25" s="26" t="n">
        <v>0.85</v>
      </c>
      <c r="K25" s="27" t="n">
        <v>0.8129999999999999</v>
      </c>
      <c r="L25" s="28">
        <f>(1-ABS(J25-K25)/J25)*100</f>
        <v/>
      </c>
      <c r="M25" s="26" t="n">
        <v>0.25</v>
      </c>
      <c r="N25" s="27" t="n">
        <v>0.237</v>
      </c>
      <c r="O25" s="28">
        <f>(1-ABS(M25-N25)/M25)*100</f>
        <v/>
      </c>
      <c r="P25" s="29" t="n">
        <v>0.46</v>
      </c>
      <c r="Q25" s="30" t="n">
        <v>0.514</v>
      </c>
      <c r="R25" s="28">
        <f>(1-ABS(P25-Q25)/P25)*100</f>
        <v/>
      </c>
      <c r="S25" s="31" t="n">
        <v>14</v>
      </c>
      <c r="T25" s="29" t="n">
        <v>9.76</v>
      </c>
      <c r="U25" s="28">
        <f>(1-ABS(S25-T25)/S25)*100</f>
        <v/>
      </c>
    </row>
    <row r="26">
      <c r="B26" s="24" t="inlineStr">
        <is>
          <t>11/23</t>
        </is>
      </c>
      <c r="C26" s="25" t="n">
        <v>4682</v>
      </c>
      <c r="D26" s="26" t="n">
        <v>2.58</v>
      </c>
      <c r="E26" s="27" t="n">
        <v>1.451</v>
      </c>
      <c r="F26" s="28">
        <f>(1-ABS(D26-E26)/D26)*100</f>
        <v/>
      </c>
      <c r="G26" s="27" t="n">
        <v>0.16</v>
      </c>
      <c r="H26" s="27" t="n">
        <v>0.082</v>
      </c>
      <c r="I26" s="28">
        <f>(1-ABS(G26-H26)/G26)*100</f>
        <v/>
      </c>
      <c r="J26" s="26" t="n">
        <v>0.85</v>
      </c>
      <c r="K26" s="27" t="n">
        <v>0.552</v>
      </c>
      <c r="L26" s="28">
        <f>(1-ABS(J26-K26)/J26)*100</f>
        <v/>
      </c>
      <c r="M26" s="26" t="n">
        <v>0.28</v>
      </c>
      <c r="N26" s="27" t="n">
        <v>0.189</v>
      </c>
      <c r="O26" s="28">
        <f>(1-ABS(M26-N26)/M26)*100</f>
        <v/>
      </c>
      <c r="P26" s="29" t="n">
        <v>0.79</v>
      </c>
      <c r="Q26" s="30" t="n">
        <v>0.327</v>
      </c>
      <c r="R26" s="28">
        <f>(1-ABS(P26-Q26)/P26)*100</f>
        <v/>
      </c>
      <c r="S26" s="31" t="n">
        <v>14</v>
      </c>
      <c r="T26" s="29" t="n">
        <v>6.72</v>
      </c>
      <c r="U26" s="28">
        <f>(1-ABS(S26-T26)/S26)*100</f>
        <v/>
      </c>
    </row>
    <row r="27">
      <c r="B27" s="24" t="inlineStr">
        <is>
          <t>11/24</t>
        </is>
      </c>
      <c r="C27" s="25" t="n">
        <v>3975</v>
      </c>
      <c r="D27" s="26" t="n">
        <v>2.53</v>
      </c>
      <c r="E27" s="27" t="n">
        <v>2.226</v>
      </c>
      <c r="F27" s="28">
        <f>(1-ABS(D27-E27)/D27)*100</f>
        <v/>
      </c>
      <c r="G27" s="27" t="n">
        <v>0.162</v>
      </c>
      <c r="H27" s="27" t="n">
        <v>0.138</v>
      </c>
      <c r="I27" s="28">
        <f>(1-ABS(G27-H27)/G27)*100</f>
        <v/>
      </c>
      <c r="J27" s="26" t="n">
        <v>0.88</v>
      </c>
      <c r="K27" s="27" t="n">
        <v>0.889</v>
      </c>
      <c r="L27" s="28">
        <f>(1-ABS(J27-K27)/J27)*100</f>
        <v/>
      </c>
      <c r="M27" s="26" t="n">
        <v>0.3</v>
      </c>
      <c r="N27" s="27" t="n">
        <v>0.257</v>
      </c>
      <c r="O27" s="28">
        <f>(1-ABS(M27-N27)/M27)*100</f>
        <v/>
      </c>
      <c r="P27" s="29" t="n">
        <v>0.48</v>
      </c>
      <c r="Q27" s="30" t="n">
        <v>0.5610000000000001</v>
      </c>
      <c r="R27" s="28">
        <f>(1-ABS(P27-Q27)/P27)*100</f>
        <v/>
      </c>
      <c r="S27" s="31" t="n">
        <v>15</v>
      </c>
      <c r="T27" s="29" t="n">
        <v>10.54</v>
      </c>
      <c r="U27" s="28">
        <f>(1-ABS(S27-T27)/S27)*100</f>
        <v/>
      </c>
    </row>
    <row r="28">
      <c r="B28" s="24" t="inlineStr">
        <is>
          <t>11/25</t>
        </is>
      </c>
      <c r="C28" s="25" t="n">
        <v>4168</v>
      </c>
      <c r="D28" s="26" t="n">
        <v>2.63</v>
      </c>
      <c r="E28" s="27" t="n">
        <v>2.395</v>
      </c>
      <c r="F28" s="28">
        <f>(1-ABS(D28-E28)/D28)*100</f>
        <v/>
      </c>
      <c r="G28" s="27" t="n">
        <v>0.167</v>
      </c>
      <c r="H28" s="27" t="n">
        <v>0.151</v>
      </c>
      <c r="I28" s="28">
        <f>(1-ABS(G28-H28)/G28)*100</f>
        <v/>
      </c>
      <c r="J28" s="26" t="n">
        <v>0.87</v>
      </c>
      <c r="K28" s="27" t="n">
        <v>0.987</v>
      </c>
      <c r="L28" s="28">
        <f>(1-ABS(J28-K28)/J28)*100</f>
        <v/>
      </c>
      <c r="M28" s="26" t="n">
        <v>0.29</v>
      </c>
      <c r="N28" s="27" t="n">
        <v>0.265</v>
      </c>
      <c r="O28" s="28">
        <f>(1-ABS(M28-N28)/M28)*100</f>
        <v/>
      </c>
      <c r="P28" s="29" t="n">
        <v>0.49</v>
      </c>
      <c r="Q28" s="30" t="n">
        <v>0.616</v>
      </c>
      <c r="R28" s="28">
        <f>(1-ABS(P28-Q28)/P28)*100</f>
        <v/>
      </c>
      <c r="S28" s="31" t="n">
        <v>17</v>
      </c>
      <c r="T28" s="29" t="n">
        <v>11.95</v>
      </c>
      <c r="U28" s="28">
        <f>(1-ABS(S28-T28)/S28)*100</f>
        <v/>
      </c>
    </row>
    <row r="29">
      <c r="B29" s="24" t="inlineStr">
        <is>
          <t>11/26</t>
        </is>
      </c>
      <c r="C29" s="25" t="n">
        <v>5302</v>
      </c>
      <c r="D29" s="26" t="n">
        <v>2.68</v>
      </c>
      <c r="E29" s="27" t="n">
        <v>2.171</v>
      </c>
      <c r="F29" s="28">
        <f>(1-ABS(D29-E29)/D29)*100</f>
        <v/>
      </c>
      <c r="G29" s="27" t="n">
        <v>0.167</v>
      </c>
      <c r="H29" s="27" t="n">
        <v>0.136</v>
      </c>
      <c r="I29" s="28">
        <f>(1-ABS(G29-H29)/G29)*100</f>
        <v/>
      </c>
      <c r="J29" s="26" t="n">
        <v>0.84</v>
      </c>
      <c r="K29" s="27" t="n">
        <v>0.859</v>
      </c>
      <c r="L29" s="28">
        <f>(1-ABS(J29-K29)/J29)*100</f>
        <v/>
      </c>
      <c r="M29" s="26" t="n">
        <v>0.29</v>
      </c>
      <c r="N29" s="27" t="n">
        <v>0.257</v>
      </c>
      <c r="O29" s="28">
        <f>(1-ABS(M29-N29)/M29)*100</f>
        <v/>
      </c>
      <c r="P29" s="29" t="n">
        <v>0.49</v>
      </c>
      <c r="Q29" s="30" t="n">
        <v>0.5629999999999999</v>
      </c>
      <c r="R29" s="28">
        <f>(1-ABS(P29-Q29)/P29)*100</f>
        <v/>
      </c>
      <c r="S29" s="31" t="n">
        <v>17</v>
      </c>
      <c r="T29" s="29" t="n">
        <v>9.74</v>
      </c>
      <c r="U29" s="28">
        <f>(1-ABS(S29-T29)/S29)*100</f>
        <v/>
      </c>
    </row>
    <row r="30">
      <c r="B30" s="24" t="inlineStr">
        <is>
          <t>11/27</t>
        </is>
      </c>
      <c r="C30" s="25" t="n">
        <v>4074</v>
      </c>
      <c r="D30" s="26" t="n">
        <v>2.55</v>
      </c>
      <c r="E30" s="27" t="n">
        <v>2.292</v>
      </c>
      <c r="F30" s="28">
        <f>(1-ABS(D30-E30)/D30)*100</f>
        <v/>
      </c>
      <c r="G30" s="27" t="n">
        <v>0.161</v>
      </c>
      <c r="H30" s="27" t="n">
        <v>0.144</v>
      </c>
      <c r="I30" s="28">
        <f>(1-ABS(G30-H30)/G30)*100</f>
        <v/>
      </c>
      <c r="J30" s="26" t="n">
        <v>0.89</v>
      </c>
      <c r="K30" s="27" t="n">
        <v>0.916</v>
      </c>
      <c r="L30" s="28">
        <f>(1-ABS(J30-K30)/J30)*100</f>
        <v/>
      </c>
      <c r="M30" s="26" t="n">
        <v>0.25</v>
      </c>
      <c r="N30" s="27" t="n">
        <v>0.27</v>
      </c>
      <c r="O30" s="28">
        <f>(1-ABS(M30-N30)/M30)*100</f>
        <v/>
      </c>
      <c r="P30" s="29" t="n">
        <v>0.53</v>
      </c>
      <c r="Q30" s="30" t="n">
        <v>0.598</v>
      </c>
      <c r="R30" s="28">
        <f>(1-ABS(P30-Q30)/P30)*100</f>
        <v/>
      </c>
      <c r="S30" s="31" t="n">
        <v>17</v>
      </c>
      <c r="T30" s="29" t="n">
        <v>10.39</v>
      </c>
      <c r="U30" s="28">
        <f>(1-ABS(S30-T30)/S30)*100</f>
        <v/>
      </c>
    </row>
    <row r="31">
      <c r="B31" s="24" t="inlineStr">
        <is>
          <t>11/28</t>
        </is>
      </c>
      <c r="C31" s="25" t="n">
        <v>3183</v>
      </c>
      <c r="D31" s="26" t="n">
        <v>2.65</v>
      </c>
      <c r="E31" s="27" t="n">
        <v>2.64</v>
      </c>
      <c r="F31" s="28">
        <f>(1-ABS(D31-E31)/D31)*100</f>
        <v/>
      </c>
      <c r="G31" s="27" t="n">
        <v>0.154</v>
      </c>
      <c r="H31" s="27" t="n">
        <v>0.167</v>
      </c>
      <c r="I31" s="28">
        <f>(1-ABS(G31-H31)/G31)*100</f>
        <v/>
      </c>
      <c r="J31" s="26" t="n">
        <v>0.83</v>
      </c>
      <c r="K31" s="27" t="n">
        <v>1.077</v>
      </c>
      <c r="L31" s="28">
        <f>(1-ABS(J31-K31)/J31)*100</f>
        <v/>
      </c>
      <c r="M31" s="26" t="n">
        <v>0.25</v>
      </c>
      <c r="N31" s="27" t="n">
        <v>0.294</v>
      </c>
      <c r="O31" s="28">
        <f>(1-ABS(M31-N31)/M31)*100</f>
        <v/>
      </c>
      <c r="P31" s="29" t="n">
        <v>0.71</v>
      </c>
      <c r="Q31" s="30" t="n">
        <v>0.6820000000000001</v>
      </c>
      <c r="R31" s="28">
        <f>(1-ABS(P31-Q31)/P31)*100</f>
        <v/>
      </c>
      <c r="S31" s="31" t="n">
        <v>14</v>
      </c>
      <c r="T31" s="29" t="n">
        <v>12.11</v>
      </c>
      <c r="U31" s="28">
        <f>(1-ABS(S31-T31)/S31)*100</f>
        <v/>
      </c>
    </row>
    <row r="32">
      <c r="B32" s="24" t="inlineStr">
        <is>
          <t>11/29</t>
        </is>
      </c>
      <c r="C32" s="25" t="n">
        <v>3041</v>
      </c>
      <c r="D32" s="26" t="n">
        <v>2.57</v>
      </c>
      <c r="E32" s="27" t="n">
        <v>2.58</v>
      </c>
      <c r="F32" s="28">
        <f>(1-ABS(D32-E32)/D32)*100</f>
        <v/>
      </c>
      <c r="G32" s="27" t="n">
        <v>0.174</v>
      </c>
      <c r="H32" s="27" t="n">
        <v>0.164</v>
      </c>
      <c r="I32" s="28">
        <f>(1-ABS(G32-H32)/G32)*100</f>
        <v/>
      </c>
      <c r="J32" s="26" t="n">
        <v>0.95</v>
      </c>
      <c r="K32" s="27" t="n">
        <v>1.063</v>
      </c>
      <c r="L32" s="28">
        <f>(1-ABS(J32-K32)/J32)*100</f>
        <v/>
      </c>
      <c r="M32" s="26" t="n">
        <v>0.29</v>
      </c>
      <c r="N32" s="27" t="n">
        <v>0.282</v>
      </c>
      <c r="O32" s="28">
        <f>(1-ABS(M32-N32)/M32)*100</f>
        <v/>
      </c>
      <c r="P32" s="29" t="n">
        <v>0.48</v>
      </c>
      <c r="Q32" s="30" t="n">
        <v>0.664</v>
      </c>
      <c r="R32" s="28">
        <f>(1-ABS(P32-Q32)/P32)*100</f>
        <v/>
      </c>
      <c r="S32" s="31" t="n">
        <v>14</v>
      </c>
      <c r="T32" s="29" t="n">
        <v>12.59</v>
      </c>
      <c r="U32" s="28">
        <f>(1-ABS(S32-T32)/S32)*100</f>
        <v/>
      </c>
    </row>
    <row r="33">
      <c r="B33" s="24" t="inlineStr">
        <is>
          <t>11/30</t>
        </is>
      </c>
      <c r="C33" s="25" t="n">
        <v>4000</v>
      </c>
      <c r="D33" s="26" t="n">
        <v>2.54</v>
      </c>
      <c r="E33" s="27" t="n">
        <v>2.664</v>
      </c>
      <c r="F33" s="28">
        <f>(1-ABS(D33-E33)/D33)*100</f>
        <v/>
      </c>
      <c r="G33" s="27" t="n">
        <v>0.166</v>
      </c>
      <c r="H33" s="27" t="n">
        <v>0.169</v>
      </c>
      <c r="I33" s="28">
        <f>(1-ABS(G33-H33)/G33)*100</f>
        <v/>
      </c>
      <c r="J33" s="26" t="n">
        <v>0.85</v>
      </c>
      <c r="K33" s="27" t="n">
        <v>1.083</v>
      </c>
      <c r="L33" s="28">
        <f>(1-ABS(J33-K33)/J33)*100</f>
        <v/>
      </c>
      <c r="M33" s="26" t="n">
        <v>0.25</v>
      </c>
      <c r="N33" s="27" t="n">
        <v>0.299</v>
      </c>
      <c r="O33" s="28">
        <f>(1-ABS(M33-N33)/M33)*100</f>
        <v/>
      </c>
      <c r="P33" s="29" t="n">
        <v>0.49</v>
      </c>
      <c r="Q33" s="30" t="n">
        <v>0.6899999999999999</v>
      </c>
      <c r="R33" s="28">
        <f>(1-ABS(P33-Q33)/P33)*100</f>
        <v/>
      </c>
      <c r="S33" s="31" t="n">
        <v>17</v>
      </c>
      <c r="T33" s="29" t="n">
        <v>12.11</v>
      </c>
      <c r="U33" s="28">
        <f>(1-ABS(S33-T33)/S33)*100</f>
        <v/>
      </c>
    </row>
    <row r="34">
      <c r="B34" s="24" t="inlineStr">
        <is>
          <t>11/31</t>
        </is>
      </c>
      <c r="C34" s="25" t="n">
        <v>3630</v>
      </c>
      <c r="D34" s="26" t="n">
        <v>2.54</v>
      </c>
      <c r="E34" s="27" t="n">
        <v>2.663</v>
      </c>
      <c r="F34" s="28">
        <f>(1-ABS(D34-E34)/D34)*100</f>
        <v/>
      </c>
      <c r="G34" s="27" t="n">
        <v>0.168</v>
      </c>
      <c r="H34" s="27" t="n">
        <v>0.168</v>
      </c>
      <c r="I34" s="28">
        <f>(1-ABS(G34-H34)/G34)*100</f>
        <v/>
      </c>
      <c r="J34" s="26" t="n">
        <v>0.86</v>
      </c>
      <c r="K34" s="27" t="n">
        <v>1.082</v>
      </c>
      <c r="L34" s="28">
        <f>(1-ABS(J34-K34)/J34)*100</f>
        <v/>
      </c>
      <c r="M34" s="26" t="n">
        <v>0.29</v>
      </c>
      <c r="N34" s="27" t="n">
        <v>0.299</v>
      </c>
      <c r="O34" s="28">
        <f>(1-ABS(M34-N34)/M34)*100</f>
        <v/>
      </c>
      <c r="P34" s="29" t="n">
        <v>0.48</v>
      </c>
      <c r="Q34" s="30" t="n">
        <v>0.6909999999999999</v>
      </c>
      <c r="R34" s="28">
        <f>(1-ABS(P34-Q34)/P34)*100</f>
        <v/>
      </c>
      <c r="S34" s="31" t="n">
        <v>17</v>
      </c>
      <c r="T34" s="29" t="n">
        <v>12.07</v>
      </c>
      <c r="U34" s="28">
        <f>(1-ABS(S34-T34)/S34)*100</f>
        <v/>
      </c>
    </row>
    <row r="35">
      <c r="B35" s="24" t="inlineStr">
        <is>
          <t>12/32</t>
        </is>
      </c>
      <c r="C35" s="25" t="n">
        <v>4300</v>
      </c>
      <c r="D35" s="26" t="n">
        <v>2.54</v>
      </c>
      <c r="E35" s="27" t="n">
        <v>1.985</v>
      </c>
      <c r="F35" s="28">
        <f>(1-ABS(D35-E35)/D35)*100</f>
        <v/>
      </c>
      <c r="G35" s="27" t="n">
        <v>0.161</v>
      </c>
      <c r="H35" s="27" t="n">
        <v>0.122</v>
      </c>
      <c r="I35" s="28">
        <f>(1-ABS(G35-H35)/G35)*100</f>
        <v/>
      </c>
      <c r="J35" s="26" t="n">
        <v>0.9</v>
      </c>
      <c r="K35" s="27" t="n">
        <v>0.794</v>
      </c>
      <c r="L35" s="28">
        <f>(1-ABS(J35-K35)/J35)*100</f>
        <v/>
      </c>
      <c r="M35" s="26" t="n">
        <v>0.3</v>
      </c>
      <c r="N35" s="27" t="n">
        <v>0.232</v>
      </c>
      <c r="O35" s="28">
        <f>(1-ABS(M35-N35)/M35)*100</f>
        <v/>
      </c>
      <c r="P35" s="29" t="n">
        <v>0.6</v>
      </c>
      <c r="Q35" s="30" t="n">
        <v>0.499</v>
      </c>
      <c r="R35" s="28">
        <f>(1-ABS(P35-Q35)/P35)*100</f>
        <v/>
      </c>
      <c r="S35" s="31" t="n">
        <v>17</v>
      </c>
      <c r="T35" s="29" t="n">
        <v>9.27</v>
      </c>
      <c r="U35" s="28">
        <f>(1-ABS(S35-T35)/S35)*100</f>
        <v/>
      </c>
    </row>
    <row r="36">
      <c r="B36" s="24" t="inlineStr">
        <is>
          <t>12/33</t>
        </is>
      </c>
      <c r="C36" s="25" t="n">
        <v>5276</v>
      </c>
      <c r="D36" s="26" t="n">
        <v>2.51</v>
      </c>
      <c r="E36" s="27" t="n">
        <v>2.155</v>
      </c>
      <c r="F36" s="28">
        <f>(1-ABS(D36-E36)/D36)*100</f>
        <v/>
      </c>
      <c r="G36" s="27" t="n">
        <v>0.167</v>
      </c>
      <c r="H36" s="27" t="n">
        <v>0.136</v>
      </c>
      <c r="I36" s="28">
        <f>(1-ABS(G36-H36)/G36)*100</f>
        <v/>
      </c>
      <c r="J36" s="26" t="n">
        <v>0.85</v>
      </c>
      <c r="K36" s="27" t="n">
        <v>0.848</v>
      </c>
      <c r="L36" s="28">
        <f>(1-ABS(J36-K36)/J36)*100</f>
        <v/>
      </c>
      <c r="M36" s="26" t="n">
        <v>0.28</v>
      </c>
      <c r="N36" s="27" t="n">
        <v>0.258</v>
      </c>
      <c r="O36" s="28">
        <f>(1-ABS(M36-N36)/M36)*100</f>
        <v/>
      </c>
      <c r="P36" s="29" t="n">
        <v>0.48</v>
      </c>
      <c r="Q36" s="30" t="n">
        <v>0.571</v>
      </c>
      <c r="R36" s="28">
        <f>(1-ABS(P36-Q36)/P36)*100</f>
        <v/>
      </c>
      <c r="S36" s="31" t="n">
        <v>18</v>
      </c>
      <c r="T36" s="29" t="n">
        <v>9.68</v>
      </c>
      <c r="U36" s="28">
        <f>(1-ABS(S36-T36)/S36)*100</f>
        <v/>
      </c>
    </row>
    <row r="37">
      <c r="B37" s="24" t="inlineStr">
        <is>
          <t>12/34</t>
        </is>
      </c>
      <c r="C37" s="25" t="n">
        <v>2819</v>
      </c>
      <c r="D37" s="26" t="n">
        <v>2.52</v>
      </c>
      <c r="E37" s="27" t="n">
        <v>2.33</v>
      </c>
      <c r="F37" s="28">
        <f>(1-ABS(D37-E37)/D37)*100</f>
        <v/>
      </c>
      <c r="G37" s="27" t="n">
        <v>0.166</v>
      </c>
      <c r="H37" s="27" t="n">
        <v>0.149</v>
      </c>
      <c r="I37" s="28">
        <f>(1-ABS(G37-H37)/G37)*100</f>
        <v/>
      </c>
      <c r="J37" s="26" t="n">
        <v>0.83</v>
      </c>
      <c r="K37" s="27" t="n">
        <v>0.947</v>
      </c>
      <c r="L37" s="28">
        <f>(1-ABS(J37-K37)/J37)*100</f>
        <v/>
      </c>
      <c r="M37" s="26" t="n">
        <v>0.28</v>
      </c>
      <c r="N37" s="27" t="n">
        <v>0.249</v>
      </c>
      <c r="O37" s="28">
        <f>(1-ABS(M37-N37)/M37)*100</f>
        <v/>
      </c>
      <c r="P37" s="29" t="n">
        <v>0.47</v>
      </c>
      <c r="Q37" s="30" t="n">
        <v>0.621</v>
      </c>
      <c r="R37" s="28">
        <f>(1-ABS(P37-Q37)/P37)*100</f>
        <v/>
      </c>
      <c r="S37" s="31" t="n">
        <v>17</v>
      </c>
      <c r="T37" s="29" t="n">
        <v>11.15</v>
      </c>
      <c r="U37" s="28">
        <f>(1-ABS(S37-T37)/S37)*100</f>
        <v/>
      </c>
    </row>
    <row r="38">
      <c r="B38" s="24" t="inlineStr">
        <is>
          <t>12/35</t>
        </is>
      </c>
      <c r="C38" s="25" t="n">
        <v>4554</v>
      </c>
      <c r="D38" s="26" t="n">
        <v>2.66</v>
      </c>
      <c r="E38" s="27" t="n">
        <v>1.95</v>
      </c>
      <c r="F38" s="28">
        <f>(1-ABS(D38-E38)/D38)*100</f>
        <v/>
      </c>
      <c r="G38" s="27" t="n">
        <v>0.163</v>
      </c>
      <c r="H38" s="27" t="n">
        <v>0.121</v>
      </c>
      <c r="I38" s="28">
        <f>(1-ABS(G38-H38)/G38)*100</f>
        <v/>
      </c>
      <c r="J38" s="26" t="n">
        <v>0.87</v>
      </c>
      <c r="K38" s="27" t="n">
        <v>0.764</v>
      </c>
      <c r="L38" s="28">
        <f>(1-ABS(J38-K38)/J38)*100</f>
        <v/>
      </c>
      <c r="M38" s="26" t="n">
        <v>0.3</v>
      </c>
      <c r="N38" s="27" t="n">
        <v>0.236</v>
      </c>
      <c r="O38" s="28">
        <f>(1-ABS(M38-N38)/M38)*100</f>
        <v/>
      </c>
      <c r="P38" s="29" t="n">
        <v>0.5</v>
      </c>
      <c r="Q38" s="30" t="n">
        <v>0.485</v>
      </c>
      <c r="R38" s="28">
        <f>(1-ABS(P38-Q38)/P38)*100</f>
        <v/>
      </c>
      <c r="S38" s="31" t="n">
        <v>18</v>
      </c>
      <c r="T38" s="29" t="n">
        <v>10.09</v>
      </c>
      <c r="U38" s="28">
        <f>(1-ABS(S38-T38)/S38)*100</f>
        <v/>
      </c>
    </row>
    <row r="39">
      <c r="B39" s="24" t="inlineStr">
        <is>
          <t>12/36</t>
        </is>
      </c>
      <c r="C39" s="25" t="n">
        <v>1474</v>
      </c>
      <c r="D39" s="26" t="n">
        <v>2.65</v>
      </c>
      <c r="E39" s="27" t="n">
        <v>2.215</v>
      </c>
      <c r="F39" s="28">
        <f>(1-ABS(D39-E39)/D39)*100</f>
        <v/>
      </c>
      <c r="G39" s="27" t="n">
        <v>0.168</v>
      </c>
      <c r="H39" s="27" t="n">
        <v>0.139</v>
      </c>
      <c r="I39" s="28">
        <f>(1-ABS(G39-H39)/G39)*100</f>
        <v/>
      </c>
      <c r="J39" s="26" t="n">
        <v>0.8100000000000001</v>
      </c>
      <c r="K39" s="27" t="n">
        <v>0.896</v>
      </c>
      <c r="L39" s="28">
        <f>(1-ABS(J39-K39)/J39)*100</f>
        <v/>
      </c>
      <c r="M39" s="26" t="n">
        <v>0.32</v>
      </c>
      <c r="N39" s="27" t="n">
        <v>0.239</v>
      </c>
      <c r="O39" s="28">
        <f>(1-ABS(M39-N39)/M39)*100</f>
        <v/>
      </c>
      <c r="P39" s="29" t="n">
        <v>0.45</v>
      </c>
      <c r="Q39" s="30" t="n">
        <v>0.5679999999999999</v>
      </c>
      <c r="R39" s="28">
        <f>(1-ABS(P39-Q39)/P39)*100</f>
        <v/>
      </c>
      <c r="S39" s="31" t="n">
        <v>17</v>
      </c>
      <c r="T39" s="29" t="n">
        <v>10.46</v>
      </c>
      <c r="U39" s="28">
        <f>(1-ABS(S39-T39)/S39)*100</f>
        <v/>
      </c>
    </row>
    <row r="40">
      <c r="B40" s="24" t="inlineStr">
        <is>
          <t>12/37</t>
        </is>
      </c>
      <c r="C40" s="25" t="n">
        <v>4148</v>
      </c>
      <c r="D40" s="26" t="n">
        <v>2.54</v>
      </c>
      <c r="E40" s="27" t="n">
        <v>2.323</v>
      </c>
      <c r="F40" s="28">
        <f>(1-ABS(D40-E40)/D40)*100</f>
        <v/>
      </c>
      <c r="G40" s="27" t="n">
        <v>0.171</v>
      </c>
      <c r="H40" s="27" t="n">
        <v>0.145</v>
      </c>
      <c r="I40" s="28">
        <f>(1-ABS(G40-H40)/G40)*100</f>
        <v/>
      </c>
      <c r="J40" s="26" t="n">
        <v>0.8100000000000001</v>
      </c>
      <c r="K40" s="27" t="n">
        <v>0.962</v>
      </c>
      <c r="L40" s="28">
        <f>(1-ABS(J40-K40)/J40)*100</f>
        <v/>
      </c>
      <c r="M40" s="26" t="n">
        <v>0.32</v>
      </c>
      <c r="N40" s="27" t="n">
        <v>0.255</v>
      </c>
      <c r="O40" s="28">
        <f>(1-ABS(M40-N40)/M40)*100</f>
        <v/>
      </c>
      <c r="P40" s="29" t="n">
        <v>0.45</v>
      </c>
      <c r="Q40" s="30" t="n">
        <v>0.584</v>
      </c>
      <c r="R40" s="28">
        <f>(1-ABS(P40-Q40)/P40)*100</f>
        <v/>
      </c>
      <c r="S40" s="31" t="n">
        <v>16</v>
      </c>
      <c r="T40" s="29" t="n">
        <v>11.77</v>
      </c>
      <c r="U40" s="28">
        <f>(1-ABS(S40-T40)/S40)*100</f>
        <v/>
      </c>
    </row>
    <row r="41">
      <c r="B41" s="24" t="inlineStr">
        <is>
          <t>12/38</t>
        </is>
      </c>
      <c r="C41" s="25" t="n">
        <v>3931</v>
      </c>
      <c r="D41" s="26" t="n">
        <v>2.56</v>
      </c>
      <c r="E41" s="27" t="n">
        <v>2.423</v>
      </c>
      <c r="F41" s="28">
        <f>(1-ABS(D41-E41)/D41)*100</f>
        <v/>
      </c>
      <c r="G41" s="27" t="n">
        <v>0.178</v>
      </c>
      <c r="H41" s="27" t="n">
        <v>0.151</v>
      </c>
      <c r="I41" s="28">
        <f>(1-ABS(G41-H41)/G41)*100</f>
        <v/>
      </c>
      <c r="J41" s="26" t="n">
        <v>0.9</v>
      </c>
      <c r="K41" s="27" t="n">
        <v>1.019</v>
      </c>
      <c r="L41" s="28">
        <f>(1-ABS(J41-K41)/J41)*100</f>
        <v/>
      </c>
      <c r="M41" s="26" t="n">
        <v>0.33</v>
      </c>
      <c r="N41" s="27" t="n">
        <v>0.261</v>
      </c>
      <c r="O41" s="28">
        <f>(1-ABS(M41-N41)/M41)*100</f>
        <v/>
      </c>
      <c r="P41" s="29" t="n">
        <v>0.62</v>
      </c>
      <c r="Q41" s="30" t="n">
        <v>0.601</v>
      </c>
      <c r="R41" s="28">
        <f>(1-ABS(P41-Q41)/P41)*100</f>
        <v/>
      </c>
      <c r="S41" s="31" t="n">
        <v>15</v>
      </c>
      <c r="T41" s="29" t="n">
        <v>12.43</v>
      </c>
      <c r="U41" s="28">
        <f>(1-ABS(S41-T41)/S41)*100</f>
        <v/>
      </c>
    </row>
    <row r="42">
      <c r="B42" s="24" t="inlineStr">
        <is>
          <t>12/39</t>
        </is>
      </c>
      <c r="C42" s="25" t="n">
        <v>4020</v>
      </c>
      <c r="D42" s="26" t="n">
        <v>2.5</v>
      </c>
      <c r="E42" s="27" t="n">
        <v>2.553</v>
      </c>
      <c r="F42" s="28">
        <f>(1-ABS(D42-E42)/D42)*100</f>
        <v/>
      </c>
      <c r="G42" s="27" t="n">
        <v>0.164</v>
      </c>
      <c r="H42" s="27" t="n">
        <v>0.16</v>
      </c>
      <c r="I42" s="28">
        <f>(1-ABS(G42-H42)/G42)*100</f>
        <v/>
      </c>
      <c r="J42" s="26" t="n">
        <v>0.87</v>
      </c>
      <c r="K42" s="27" t="n">
        <v>1.086</v>
      </c>
      <c r="L42" s="28">
        <f>(1-ABS(J42-K42)/J42)*100</f>
        <v/>
      </c>
      <c r="M42" s="26" t="n">
        <v>0.3</v>
      </c>
      <c r="N42" s="27" t="n">
        <v>0.261</v>
      </c>
      <c r="O42" s="28">
        <f>(1-ABS(M42-N42)/M42)*100</f>
        <v/>
      </c>
      <c r="P42" s="29" t="n">
        <v>0.49</v>
      </c>
      <c r="Q42" s="30" t="n">
        <v>0.645</v>
      </c>
      <c r="R42" s="28">
        <f>(1-ABS(P42-Q42)/P42)*100</f>
        <v/>
      </c>
      <c r="S42" s="31" t="n">
        <v>15</v>
      </c>
      <c r="T42" s="29" t="n">
        <v>13.73</v>
      </c>
      <c r="U42" s="28">
        <f>(1-ABS(S42-T42)/S42)*100</f>
        <v/>
      </c>
    </row>
    <row r="43">
      <c r="B43" s="24" t="inlineStr">
        <is>
          <t>12/40</t>
        </is>
      </c>
      <c r="C43" s="25" t="n">
        <v>2545</v>
      </c>
      <c r="D43" s="26" t="n">
        <v>2.6</v>
      </c>
      <c r="E43" s="27" t="n">
        <v>2.629</v>
      </c>
      <c r="F43" s="28">
        <f>(1-ABS(D43-E43)/D43)*100</f>
        <v/>
      </c>
      <c r="G43" s="27" t="n">
        <v>0.177</v>
      </c>
      <c r="H43" s="27" t="n">
        <v>0.165</v>
      </c>
      <c r="I43" s="28">
        <f>(1-ABS(G43-H43)/G43)*100</f>
        <v/>
      </c>
      <c r="J43" s="26" t="n">
        <v>0.93</v>
      </c>
      <c r="K43" s="27" t="n">
        <v>1.105</v>
      </c>
      <c r="L43" s="28">
        <f>(1-ABS(J43-K43)/J43)*100</f>
        <v/>
      </c>
      <c r="M43" s="26" t="n">
        <v>0.32</v>
      </c>
      <c r="N43" s="27" t="n">
        <v>0.285</v>
      </c>
      <c r="O43" s="28">
        <f>(1-ABS(M43-N43)/M43)*100</f>
        <v/>
      </c>
      <c r="P43" s="29" t="n">
        <v>0.79</v>
      </c>
      <c r="Q43" s="30" t="n">
        <v>0.665</v>
      </c>
      <c r="R43" s="28">
        <f>(1-ABS(P43-Q43)/P43)*100</f>
        <v/>
      </c>
      <c r="S43" s="31" t="n">
        <v>17</v>
      </c>
      <c r="T43" s="29" t="n">
        <v>13.11</v>
      </c>
      <c r="U43" s="28">
        <f>(1-ABS(S43-T43)/S43)*100</f>
        <v/>
      </c>
    </row>
    <row r="44">
      <c r="B44" s="24" t="inlineStr">
        <is>
          <t>12/41</t>
        </is>
      </c>
      <c r="C44" s="25" t="n">
        <v>2755</v>
      </c>
      <c r="D44" s="26" t="n">
        <v>2.74</v>
      </c>
      <c r="E44" s="27" t="n">
        <v>2.663</v>
      </c>
      <c r="F44" s="28">
        <f>(1-ABS(D44-E44)/D44)*100</f>
        <v/>
      </c>
      <c r="G44" s="27" t="n">
        <v>0.166</v>
      </c>
      <c r="H44" s="27" t="n">
        <v>0.168</v>
      </c>
      <c r="I44" s="28">
        <f>(1-ABS(G44-H44)/G44)*100</f>
        <v/>
      </c>
      <c r="J44" s="26" t="n">
        <v>0.86</v>
      </c>
      <c r="K44" s="27" t="n">
        <v>1.091</v>
      </c>
      <c r="L44" s="28">
        <f>(1-ABS(J44-K44)/J44)*100</f>
        <v/>
      </c>
      <c r="M44" s="26" t="n">
        <v>0.26</v>
      </c>
      <c r="N44" s="27" t="n">
        <v>0.295</v>
      </c>
      <c r="O44" s="28">
        <f>(1-ABS(M44-N44)/M44)*100</f>
        <v/>
      </c>
      <c r="P44" s="29" t="n">
        <v>0.49</v>
      </c>
      <c r="Q44" s="30" t="n">
        <v>0.6840000000000001</v>
      </c>
      <c r="R44" s="28">
        <f>(1-ABS(P44-Q44)/P44)*100</f>
        <v/>
      </c>
      <c r="S44" s="31" t="n">
        <v>17</v>
      </c>
      <c r="T44" s="29" t="n">
        <v>12.24</v>
      </c>
      <c r="U44" s="28">
        <f>(1-ABS(S44-T44)/S44)*100</f>
        <v/>
      </c>
    </row>
    <row r="45">
      <c r="B45" s="24" t="inlineStr">
        <is>
          <t>12/42</t>
        </is>
      </c>
      <c r="C45" s="25" t="n">
        <v>3109</v>
      </c>
      <c r="D45" s="26" t="n">
        <v>2.51</v>
      </c>
      <c r="E45" s="27" t="n">
        <v>2.185</v>
      </c>
      <c r="F45" s="28">
        <f>(1-ABS(D45-E45)/D45)*100</f>
        <v/>
      </c>
      <c r="G45" s="27" t="n">
        <v>0.167</v>
      </c>
      <c r="H45" s="27" t="n">
        <v>0.137</v>
      </c>
      <c r="I45" s="28">
        <f>(1-ABS(G45-H45)/G45)*100</f>
        <v/>
      </c>
      <c r="J45" s="26" t="n">
        <v>0.87</v>
      </c>
      <c r="K45" s="27" t="n">
        <v>0.863</v>
      </c>
      <c r="L45" s="28">
        <f>(1-ABS(J45-K45)/J45)*100</f>
        <v/>
      </c>
      <c r="M45" s="26" t="n">
        <v>0.29</v>
      </c>
      <c r="N45" s="27" t="n">
        <v>0.262</v>
      </c>
      <c r="O45" s="28">
        <f>(1-ABS(M45-N45)/M45)*100</f>
        <v/>
      </c>
      <c r="P45" s="29" t="n">
        <v>0.48</v>
      </c>
      <c r="Q45" s="30" t="n">
        <v>0.57</v>
      </c>
      <c r="R45" s="28">
        <f>(1-ABS(P45-Q45)/P45)*100</f>
        <v/>
      </c>
      <c r="S45" s="31" t="n">
        <v>15</v>
      </c>
      <c r="T45" s="29" t="n">
        <v>10.18</v>
      </c>
      <c r="U45" s="28">
        <f>(1-ABS(S45-T45)/S45)*100</f>
        <v/>
      </c>
    </row>
    <row r="46">
      <c r="B46" s="24" t="inlineStr">
        <is>
          <t>12/43</t>
        </is>
      </c>
      <c r="C46" s="25" t="n">
        <v>4624</v>
      </c>
      <c r="D46" s="26" t="n">
        <v>2.55</v>
      </c>
      <c r="E46" s="27" t="n">
        <v>2.586</v>
      </c>
      <c r="F46" s="28">
        <f>(1-ABS(D46-E46)/D46)*100</f>
        <v/>
      </c>
      <c r="G46" s="27" t="n">
        <v>0.169</v>
      </c>
      <c r="H46" s="27" t="n">
        <v>0.163</v>
      </c>
      <c r="I46" s="28">
        <f>(1-ABS(G46-H46)/G46)*100</f>
        <v/>
      </c>
      <c r="J46" s="26" t="n">
        <v>0.87</v>
      </c>
      <c r="K46" s="27" t="n">
        <v>1.072</v>
      </c>
      <c r="L46" s="28">
        <f>(1-ABS(J46-K46)/J46)*100</f>
        <v/>
      </c>
      <c r="M46" s="26" t="n">
        <v>0.31</v>
      </c>
      <c r="N46" s="27" t="n">
        <v>0.274</v>
      </c>
      <c r="O46" s="28">
        <f>(1-ABS(M46-N46)/M46)*100</f>
        <v/>
      </c>
      <c r="P46" s="29" t="n">
        <v>0.41</v>
      </c>
      <c r="Q46" s="30" t="n">
        <v>0.655</v>
      </c>
      <c r="R46" s="28">
        <f>(1-ABS(P46-Q46)/P46)*100</f>
        <v/>
      </c>
      <c r="S46" s="31" t="n">
        <v>16</v>
      </c>
      <c r="T46" s="29" t="n">
        <v>13.42</v>
      </c>
      <c r="U46" s="28">
        <f>(1-ABS(S46-T46)/S46)*100</f>
        <v/>
      </c>
    </row>
    <row r="47">
      <c r="B47" s="24" t="inlineStr">
        <is>
          <t>12/44</t>
        </is>
      </c>
      <c r="C47" s="25" t="n">
        <v>5821</v>
      </c>
      <c r="D47" s="26" t="n">
        <v>2.59</v>
      </c>
      <c r="E47" s="27" t="n">
        <v>2.375</v>
      </c>
      <c r="F47" s="28">
        <f>(1-ABS(D47-E47)/D47)*100</f>
        <v/>
      </c>
      <c r="G47" s="27" t="n">
        <v>0.15</v>
      </c>
      <c r="H47" s="27" t="n">
        <v>0.149</v>
      </c>
      <c r="I47" s="28">
        <f>(1-ABS(G47-H47)/G47)*100</f>
        <v/>
      </c>
      <c r="J47" s="26" t="n">
        <v>0.85</v>
      </c>
      <c r="K47" s="27" t="n">
        <v>0.974</v>
      </c>
      <c r="L47" s="28">
        <f>(1-ABS(J47-K47)/J47)*100</f>
        <v/>
      </c>
      <c r="M47" s="26" t="n">
        <v>0.23</v>
      </c>
      <c r="N47" s="27" t="n">
        <v>0.273</v>
      </c>
      <c r="O47" s="28">
        <f>(1-ABS(M47-N47)/M47)*100</f>
        <v/>
      </c>
      <c r="P47" s="29" t="n">
        <v>0.44</v>
      </c>
      <c r="Q47" s="30" t="n">
        <v>0.61</v>
      </c>
      <c r="R47" s="28">
        <f>(1-ABS(P47-Q47)/P47)*100</f>
        <v/>
      </c>
      <c r="S47" s="31" t="n">
        <v>15</v>
      </c>
      <c r="T47" s="29" t="n">
        <v>11.83</v>
      </c>
      <c r="U47" s="28">
        <f>(1-ABS(S47-T47)/S47)*100</f>
        <v/>
      </c>
    </row>
    <row r="48">
      <c r="B48" s="24" t="inlineStr">
        <is>
          <t>12/45</t>
        </is>
      </c>
      <c r="C48" s="25" t="n">
        <v>2790</v>
      </c>
      <c r="D48" s="26" t="n">
        <v>2.65</v>
      </c>
      <c r="E48" s="27" t="n">
        <v>2.064</v>
      </c>
      <c r="F48" s="28">
        <f>(1-ABS(D48-E48)/D48)*100</f>
        <v/>
      </c>
      <c r="G48" s="27" t="n">
        <v>0.159</v>
      </c>
      <c r="H48" s="27" t="n">
        <v>0.128</v>
      </c>
      <c r="I48" s="28">
        <f>(1-ABS(G48-H48)/G48)*100</f>
        <v/>
      </c>
      <c r="J48" s="26" t="n">
        <v>0.9</v>
      </c>
      <c r="K48" s="27" t="n">
        <v>0.824</v>
      </c>
      <c r="L48" s="28">
        <f>(1-ABS(J48-K48)/J48)*100</f>
        <v/>
      </c>
      <c r="M48" s="26" t="n">
        <v>0.29</v>
      </c>
      <c r="N48" s="27" t="n">
        <v>0.254</v>
      </c>
      <c r="O48" s="28">
        <f>(1-ABS(M48-N48)/M48)*100</f>
        <v/>
      </c>
      <c r="P48" s="29" t="n">
        <v>0.49</v>
      </c>
      <c r="Q48" s="30" t="n">
        <v>0.528</v>
      </c>
      <c r="R48" s="28">
        <f>(1-ABS(P48-Q48)/P48)*100</f>
        <v/>
      </c>
      <c r="S48" s="31" t="n">
        <v>17</v>
      </c>
      <c r="T48" s="29" t="n">
        <v>10.06</v>
      </c>
      <c r="U48" s="28">
        <f>(1-ABS(S48-T48)/S48)*100</f>
        <v/>
      </c>
    </row>
    <row r="49" ht="35" customHeight="1">
      <c r="A49" s="33" t="inlineStr">
        <is>
          <t>AVG ACCURACY</t>
        </is>
      </c>
      <c r="F49" s="34">
        <f>AVERAGE(F7:F48)</f>
        <v/>
      </c>
      <c r="I49" s="34">
        <f>AVERAGE(I7:I48)</f>
        <v/>
      </c>
      <c r="L49" s="34">
        <f>AVERAGE(L7:L48)</f>
        <v/>
      </c>
      <c r="O49" s="34">
        <f>AVERAGE(O7:O48)</f>
        <v/>
      </c>
      <c r="R49" s="35">
        <f>AVERAGE(R7:R48)</f>
        <v/>
      </c>
      <c r="U49" s="35">
        <f>AVERAGE(U7:U48)</f>
        <v/>
      </c>
    </row>
    <row r="50" ht="40" customHeight="1">
      <c r="A50" s="36" t="inlineStr">
        <is>
          <t>Best result closer to 0</t>
        </is>
      </c>
      <c r="B50" s="24" t="inlineStr">
        <is>
          <t>R^2 (Coefficient of determination)</t>
        </is>
      </c>
      <c r="C50" s="37" t="n"/>
      <c r="D50" s="38">
        <f>RSQ(E7:E48, D7:D48)</f>
        <v/>
      </c>
      <c r="E50" s="39" t="n"/>
      <c r="F50" s="37" t="n"/>
      <c r="G50" s="38">
        <f>RSQ(H7:H48, G7:G48)</f>
        <v/>
      </c>
      <c r="H50" s="39" t="n"/>
      <c r="I50" s="37" t="n"/>
      <c r="J50" s="38">
        <f>RSQ(K7:K48, J7:J48)</f>
        <v/>
      </c>
      <c r="K50" s="39" t="n"/>
      <c r="L50" s="37" t="n"/>
      <c r="M50" s="38">
        <f>RSQ(N7:N48, M7:M48)</f>
        <v/>
      </c>
      <c r="N50" s="39" t="n"/>
      <c r="O50" s="37" t="n"/>
      <c r="P50" s="40">
        <f>RSQ(Q7:Q48, P7:P48)</f>
        <v/>
      </c>
      <c r="Q50" s="39" t="n"/>
      <c r="R50" s="37" t="n"/>
      <c r="S50" s="40">
        <f>RSQ(T7:T48, S7:S48)</f>
        <v/>
      </c>
      <c r="T50" s="39" t="n"/>
      <c r="U50" s="37" t="n"/>
    </row>
    <row r="51" ht="39" customHeight="1">
      <c r="A51" s="36" t="inlineStr">
        <is>
          <t>Best result closer to 1</t>
        </is>
      </c>
      <c r="B51" s="24" t="inlineStr">
        <is>
          <t>MAE (Average size of prediction errors)</t>
        </is>
      </c>
      <c r="C51" s="37" t="n"/>
      <c r="D51" s="38">
        <f>SUMPRODUCT(ABS(D7:D48-E7:E48))/COUNT(D7:D48)</f>
        <v/>
      </c>
      <c r="E51" s="39" t="n"/>
      <c r="F51" s="37" t="n"/>
      <c r="G51" s="38">
        <f>SUMPRODUCT(ABS(G7:G48-H7:H48))/COUNT(G7:G48)</f>
        <v/>
      </c>
      <c r="H51" s="39" t="n"/>
      <c r="I51" s="37" t="n"/>
      <c r="J51" s="38">
        <f>SUMPRODUCT(ABS(J7:J48-K7:K48))/COUNT(J7:J48)</f>
        <v/>
      </c>
      <c r="K51" s="39" t="n"/>
      <c r="L51" s="37" t="n"/>
      <c r="M51" s="38">
        <f>SUMPRODUCT(ABS(M7:M48-N7:N48))/COUNT(M7:M48)</f>
        <v/>
      </c>
      <c r="N51" s="39" t="n"/>
      <c r="O51" s="37" t="n"/>
      <c r="P51" s="40">
        <f>SUMPRODUCT(ABS(P7:P48-Q7:Q48))/COUNT(P7:P48)</f>
        <v/>
      </c>
      <c r="Q51" s="39" t="n"/>
      <c r="R51" s="37" t="n"/>
      <c r="S51" s="40">
        <f>SUMPRODUCT(ABS(S7:S48-T7:T48))/COUNT(S7:S48)</f>
        <v/>
      </c>
      <c r="T51" s="39" t="n"/>
      <c r="U51" s="37" t="n"/>
    </row>
    <row r="52" ht="66" customHeight="1">
      <c r="A52" s="36" t="inlineStr">
        <is>
          <t>Best result closer to 1</t>
        </is>
      </c>
      <c r="B52" s="24" t="inlineStr">
        <is>
          <t>RMSE (Prediction error, with larger mistakes penalised more)</t>
        </is>
      </c>
      <c r="C52" s="37" t="n"/>
      <c r="D52" s="38">
        <f>SQRT(SUMXMY2(D7:D48, E7:E48)/COUNT(D7:D48))</f>
        <v/>
      </c>
      <c r="E52" s="39" t="n"/>
      <c r="F52" s="37" t="n"/>
      <c r="G52" s="38">
        <f>SQRT(SUMXMY2(G7:G48, H7:H48)/COUNT(G7:G48))</f>
        <v/>
      </c>
      <c r="H52" s="39" t="n"/>
      <c r="I52" s="37" t="n"/>
      <c r="J52" s="38">
        <f>SQRT(SUMXMY2(J7:J48, K7:K48)/COUNT(J7:J48))</f>
        <v/>
      </c>
      <c r="K52" s="39" t="n"/>
      <c r="L52" s="37" t="n"/>
      <c r="M52" s="38">
        <f>SQRT(SUMXMY2(M7:M48, N7:N48)/COUNT(M7:M48))</f>
        <v/>
      </c>
      <c r="N52" s="39" t="n"/>
      <c r="O52" s="37" t="n"/>
      <c r="P52" s="40">
        <f>SQRT(SUMXMY2(P7:P48, Q7:Q48)/COUNT(P7:P48))</f>
        <v/>
      </c>
      <c r="Q52" s="39" t="n"/>
      <c r="R52" s="37" t="n"/>
      <c r="S52" s="40">
        <f>SQRT(SUMXMY2(S7:S48, T7:T48)/COUNT(S7:S48))</f>
        <v/>
      </c>
      <c r="T52" s="39" t="n"/>
      <c r="U52" s="37" t="n"/>
    </row>
  </sheetData>
  <mergeCells count="31">
    <mergeCell ref="P52:R52"/>
    <mergeCell ref="B4:O4"/>
    <mergeCell ref="B52:C52"/>
    <mergeCell ref="G5:I5"/>
    <mergeCell ref="J50:L50"/>
    <mergeCell ref="G51:I51"/>
    <mergeCell ref="D51:F51"/>
    <mergeCell ref="J51:L51"/>
    <mergeCell ref="S5:U5"/>
    <mergeCell ref="G50:I50"/>
    <mergeCell ref="D5:F5"/>
    <mergeCell ref="P5:R5"/>
    <mergeCell ref="J52:L52"/>
    <mergeCell ref="M50:O50"/>
    <mergeCell ref="S50:U50"/>
    <mergeCell ref="S51:U51"/>
    <mergeCell ref="D50:F50"/>
    <mergeCell ref="G52:I52"/>
    <mergeCell ref="P51:R51"/>
    <mergeCell ref="B5:B6"/>
    <mergeCell ref="P4:U4"/>
    <mergeCell ref="J5:L5"/>
    <mergeCell ref="B51:C51"/>
    <mergeCell ref="P50:R50"/>
    <mergeCell ref="M52:O52"/>
    <mergeCell ref="M5:O5"/>
    <mergeCell ref="S52:U52"/>
    <mergeCell ref="B50:C50"/>
    <mergeCell ref="D52:F52"/>
    <mergeCell ref="M51:O51"/>
    <mergeCell ref="C5:C6"/>
  </mergeCells>
  <conditionalFormatting sqref="F7:F48 I7:I48 L7:L48 O7:O48 R7:R48 U7:U48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4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08/06</t>
        </is>
      </c>
      <c r="C7" s="25" t="n">
        <v>5390</v>
      </c>
      <c r="D7" s="26" t="n">
        <v>2.59</v>
      </c>
      <c r="E7" s="27" t="n">
        <v>2.547</v>
      </c>
      <c r="F7" s="28">
        <f>(1-ABS(D7-E7)/D7)*100</f>
        <v/>
      </c>
      <c r="G7" s="27" t="n">
        <v>0.143</v>
      </c>
      <c r="H7" s="27" t="n">
        <v>0.165</v>
      </c>
      <c r="I7" s="28">
        <f>(1-ABS(G7-H7)/G7)*100</f>
        <v/>
      </c>
      <c r="J7" s="26" t="n">
        <v>0.86</v>
      </c>
      <c r="K7" s="27" t="n">
        <v>1.044</v>
      </c>
      <c r="L7" s="28">
        <f>(1-ABS(J7-K7)/J7)*100</f>
        <v/>
      </c>
      <c r="M7" s="26" t="n">
        <v>0.23</v>
      </c>
      <c r="N7" s="27" t="n">
        <v>0.269</v>
      </c>
      <c r="O7" s="28">
        <f>(1-ABS(M7-N7)/M7)*100</f>
        <v/>
      </c>
      <c r="P7" s="29" t="n">
        <v>0.48</v>
      </c>
      <c r="Q7" s="30" t="n">
        <v>0.648</v>
      </c>
      <c r="R7" s="28">
        <f>(1-ABS(P7-Q7)/P7)*100</f>
        <v/>
      </c>
      <c r="S7" s="31" t="n">
        <v>15</v>
      </c>
      <c r="T7" s="29" t="n">
        <v>14.34</v>
      </c>
      <c r="U7" s="28">
        <f>(1-ABS(S7-T7)/S7)*100</f>
        <v/>
      </c>
    </row>
    <row r="8">
      <c r="B8" s="24" t="inlineStr">
        <is>
          <t>08/08</t>
        </is>
      </c>
      <c r="C8" s="25" t="n">
        <v>3443</v>
      </c>
      <c r="D8" s="26" t="n">
        <v>2.63</v>
      </c>
      <c r="E8" s="27" t="n">
        <v>2.547</v>
      </c>
      <c r="F8" s="28">
        <f>(1-ABS(D8-E8)/D8)*100</f>
        <v/>
      </c>
      <c r="G8" s="27" t="n">
        <v>0.167</v>
      </c>
      <c r="H8" s="27" t="n">
        <v>0.166</v>
      </c>
      <c r="I8" s="28">
        <f>(1-ABS(G8-H8)/G8)*100</f>
        <v/>
      </c>
      <c r="J8" s="26" t="n">
        <v>1.15</v>
      </c>
      <c r="K8" s="27" t="n">
        <v>1.053</v>
      </c>
      <c r="L8" s="28">
        <f>(1-ABS(J8-K8)/J8)*100</f>
        <v/>
      </c>
      <c r="M8" s="26" t="n">
        <v>0.25</v>
      </c>
      <c r="N8" s="27" t="n">
        <v>0.269</v>
      </c>
      <c r="O8" s="28">
        <f>(1-ABS(M8-N8)/M8)*100</f>
        <v/>
      </c>
      <c r="P8" s="29" t="n">
        <v>0.46</v>
      </c>
      <c r="Q8" s="30" t="n">
        <v>0.648</v>
      </c>
      <c r="R8" s="28">
        <f>(1-ABS(P8-Q8)/P8)*100</f>
        <v/>
      </c>
      <c r="S8" s="31" t="n">
        <v>13</v>
      </c>
      <c r="T8" s="29" t="n">
        <v>14.5</v>
      </c>
      <c r="U8" s="28">
        <f>(1-ABS(S8-T8)/S8)*100</f>
        <v/>
      </c>
    </row>
    <row r="9">
      <c r="B9" s="24" t="inlineStr">
        <is>
          <t>08/09</t>
        </is>
      </c>
      <c r="C9" s="25" t="n">
        <v>4325</v>
      </c>
      <c r="D9" s="26" t="n">
        <v>2.63</v>
      </c>
      <c r="E9" s="27" t="n">
        <v>2.554</v>
      </c>
      <c r="F9" s="28">
        <f>(1-ABS(D9-E9)/D9)*100</f>
        <v/>
      </c>
      <c r="G9" s="27" t="n">
        <v>0.156</v>
      </c>
      <c r="H9" s="27" t="n">
        <v>0.166</v>
      </c>
      <c r="I9" s="28">
        <f>(1-ABS(G9-H9)/G9)*100</f>
        <v/>
      </c>
      <c r="J9" s="26" t="n">
        <v>0.89</v>
      </c>
      <c r="K9" s="27" t="n">
        <v>1.033</v>
      </c>
      <c r="L9" s="28">
        <f>(1-ABS(J9-K9)/J9)*100</f>
        <v/>
      </c>
      <c r="M9" s="26" t="n">
        <v>0.28</v>
      </c>
      <c r="N9" s="27" t="n">
        <v>0.284</v>
      </c>
      <c r="O9" s="28">
        <f>(1-ABS(M9-N9)/M9)*100</f>
        <v/>
      </c>
      <c r="P9" s="29" t="n">
        <v>0.48</v>
      </c>
      <c r="Q9" s="30" t="n">
        <v>0.652</v>
      </c>
      <c r="R9" s="28">
        <f>(1-ABS(P9-Q9)/P9)*100</f>
        <v/>
      </c>
      <c r="S9" s="31" t="n">
        <v>15</v>
      </c>
      <c r="T9" s="29" t="n">
        <v>14.39</v>
      </c>
      <c r="U9" s="28">
        <f>(1-ABS(S9-T9)/S9)*100</f>
        <v/>
      </c>
    </row>
    <row r="10">
      <c r="B10" s="24" t="inlineStr">
        <is>
          <t>08/10</t>
        </is>
      </c>
      <c r="C10" s="25" t="n">
        <v>3735</v>
      </c>
      <c r="D10" s="26" t="n">
        <v>2.51</v>
      </c>
      <c r="E10" s="27" t="n">
        <v>2.545</v>
      </c>
      <c r="F10" s="28">
        <f>(1-ABS(D10-E10)/D10)*100</f>
        <v/>
      </c>
      <c r="G10" s="27" t="n">
        <v>0.159</v>
      </c>
      <c r="H10" s="27" t="n">
        <v>0.165</v>
      </c>
      <c r="I10" s="28">
        <f>(1-ABS(G10-H10)/G10)*100</f>
        <v/>
      </c>
      <c r="J10" s="26" t="n">
        <v>0.8100000000000001</v>
      </c>
      <c r="K10" s="27" t="n">
        <v>1.062</v>
      </c>
      <c r="L10" s="28">
        <f>(1-ABS(J10-K10)/J10)*100</f>
        <v/>
      </c>
      <c r="M10" s="26" t="n">
        <v>0.3</v>
      </c>
      <c r="N10" s="27" t="n">
        <v>0.266</v>
      </c>
      <c r="O10" s="28">
        <f>(1-ABS(M10-N10)/M10)*100</f>
        <v/>
      </c>
      <c r="P10" s="29" t="n">
        <v>0.59</v>
      </c>
      <c r="Q10" s="30" t="n">
        <v>0.64</v>
      </c>
      <c r="R10" s="28">
        <f>(1-ABS(P10-Q10)/P10)*100</f>
        <v/>
      </c>
      <c r="S10" s="31" t="n">
        <v>19</v>
      </c>
      <c r="T10" s="29" t="n">
        <v>14.36</v>
      </c>
      <c r="U10" s="28">
        <f>(1-ABS(S10-T10)/S10)*100</f>
        <v/>
      </c>
    </row>
    <row r="11">
      <c r="B11" s="24" t="inlineStr">
        <is>
          <t>08/12</t>
        </is>
      </c>
      <c r="C11" s="25" t="n">
        <v>4879</v>
      </c>
      <c r="D11" s="26" t="n">
        <v>2.5</v>
      </c>
      <c r="E11" s="27" t="n">
        <v>2.521</v>
      </c>
      <c r="F11" s="28">
        <f>(1-ABS(D11-E11)/D11)*100</f>
        <v/>
      </c>
      <c r="G11" s="27" t="n">
        <v>0.168</v>
      </c>
      <c r="H11" s="27" t="n">
        <v>0.163</v>
      </c>
      <c r="I11" s="28">
        <f>(1-ABS(G11-H11)/G11)*100</f>
        <v/>
      </c>
      <c r="J11" s="26" t="n">
        <v>1.12</v>
      </c>
      <c r="K11" s="27" t="n">
        <v>1.043</v>
      </c>
      <c r="L11" s="28">
        <f>(1-ABS(J11-K11)/J11)*100</f>
        <v/>
      </c>
      <c r="M11" s="26" t="n">
        <v>0.26</v>
      </c>
      <c r="N11" s="27" t="n">
        <v>0.269</v>
      </c>
      <c r="O11" s="28">
        <f>(1-ABS(M11-N11)/M11)*100</f>
        <v/>
      </c>
      <c r="P11" s="29" t="n">
        <v>0.46</v>
      </c>
      <c r="Q11" s="30" t="n">
        <v>0.635</v>
      </c>
      <c r="R11" s="28">
        <f>(1-ABS(P11-Q11)/P11)*100</f>
        <v/>
      </c>
      <c r="S11" s="31" t="n">
        <v>13</v>
      </c>
      <c r="T11" s="29" t="n">
        <v>14.05</v>
      </c>
      <c r="U11" s="28">
        <f>(1-ABS(S11-T11)/S11)*100</f>
        <v/>
      </c>
    </row>
    <row r="12">
      <c r="B12" s="24" t="inlineStr">
        <is>
          <t>08/13</t>
        </is>
      </c>
      <c r="C12" s="25" t="n">
        <v>2958</v>
      </c>
      <c r="D12" s="26" t="n">
        <v>2.67</v>
      </c>
      <c r="E12" s="27" t="n">
        <v>2.557</v>
      </c>
      <c r="F12" s="28">
        <f>(1-ABS(D12-E12)/D12)*100</f>
        <v/>
      </c>
      <c r="G12" s="27" t="n">
        <v>0.157</v>
      </c>
      <c r="H12" s="27" t="n">
        <v>0.165</v>
      </c>
      <c r="I12" s="28">
        <f>(1-ABS(G12-H12)/G12)*100</f>
        <v/>
      </c>
      <c r="J12" s="26" t="n">
        <v>0.8</v>
      </c>
      <c r="K12" s="27" t="n">
        <v>1.049</v>
      </c>
      <c r="L12" s="28">
        <f>(1-ABS(J12-K12)/J12)*100</f>
        <v/>
      </c>
      <c r="M12" s="26" t="n">
        <v>0.27</v>
      </c>
      <c r="N12" s="27" t="n">
        <v>0.271</v>
      </c>
      <c r="O12" s="28">
        <f>(1-ABS(M12-N12)/M12)*100</f>
        <v/>
      </c>
      <c r="P12" s="29" t="n">
        <v>0.5600000000000001</v>
      </c>
      <c r="Q12" s="30" t="n">
        <v>0.65</v>
      </c>
      <c r="R12" s="28">
        <f>(1-ABS(P12-Q12)/P12)*100</f>
        <v/>
      </c>
      <c r="S12" s="31" t="n">
        <v>17</v>
      </c>
      <c r="T12" s="29" t="n">
        <v>14.35</v>
      </c>
      <c r="U12" s="28">
        <f>(1-ABS(S12-T12)/S12)*100</f>
        <v/>
      </c>
    </row>
    <row r="13">
      <c r="B13" s="24" t="inlineStr">
        <is>
          <t>08/14</t>
        </is>
      </c>
      <c r="C13" s="25" t="n">
        <v>3595</v>
      </c>
      <c r="D13" s="26" t="n">
        <v>2.6</v>
      </c>
      <c r="E13" s="27" t="n">
        <v>2.559</v>
      </c>
      <c r="F13" s="28">
        <f>(1-ABS(D13-E13)/D13)*100</f>
        <v/>
      </c>
      <c r="G13" s="27" t="n">
        <v>0.169</v>
      </c>
      <c r="H13" s="27" t="n">
        <v>0.166</v>
      </c>
      <c r="I13" s="28">
        <f>(1-ABS(G13-H13)/G13)*100</f>
        <v/>
      </c>
      <c r="J13" s="26" t="n">
        <v>1.17</v>
      </c>
      <c r="K13" s="27" t="n">
        <v>1.042</v>
      </c>
      <c r="L13" s="28">
        <f>(1-ABS(J13-K13)/J13)*100</f>
        <v/>
      </c>
      <c r="M13" s="26" t="n">
        <v>0.26</v>
      </c>
      <c r="N13" s="27" t="n">
        <v>0.28</v>
      </c>
      <c r="O13" s="28">
        <f>(1-ABS(M13-N13)/M13)*100</f>
        <v/>
      </c>
      <c r="P13" s="29" t="n">
        <v>0.41</v>
      </c>
      <c r="Q13" s="30" t="n">
        <v>0.654</v>
      </c>
      <c r="R13" s="28">
        <f>(1-ABS(P13-Q13)/P13)*100</f>
        <v/>
      </c>
      <c r="S13" s="31" t="n">
        <v>13</v>
      </c>
      <c r="T13" s="29" t="n">
        <v>14.23</v>
      </c>
      <c r="U13" s="28">
        <f>(1-ABS(S13-T13)/S13)*100</f>
        <v/>
      </c>
    </row>
    <row r="14">
      <c r="B14" s="24" t="inlineStr">
        <is>
          <t>09/35</t>
        </is>
      </c>
      <c r="C14" s="25" t="n">
        <v>4975</v>
      </c>
      <c r="D14" s="26" t="n">
        <v>2.47</v>
      </c>
      <c r="E14" s="27" t="n">
        <v>2.526</v>
      </c>
      <c r="F14" s="28">
        <f>(1-ABS(D14-E14)/D14)*100</f>
        <v/>
      </c>
      <c r="G14" s="27" t="n">
        <v>0.164</v>
      </c>
      <c r="H14" s="27" t="n">
        <v>0.164</v>
      </c>
      <c r="I14" s="28">
        <f>(1-ABS(G14-H14)/G14)*100</f>
        <v/>
      </c>
      <c r="J14" s="26" t="n">
        <v>1</v>
      </c>
      <c r="K14" s="27" t="n">
        <v>1.018</v>
      </c>
      <c r="L14" s="28">
        <f>(1-ABS(J14-K14)/J14)*100</f>
        <v/>
      </c>
      <c r="M14" s="26" t="n">
        <v>0.26</v>
      </c>
      <c r="N14" s="27" t="n">
        <v>0.256</v>
      </c>
      <c r="O14" s="28">
        <f>(1-ABS(M14-N14)/M14)*100</f>
        <v/>
      </c>
      <c r="P14" s="29" t="n">
        <v>0.41</v>
      </c>
      <c r="Q14" s="30" t="n">
        <v>0.644</v>
      </c>
      <c r="R14" s="28">
        <f>(1-ABS(P14-Q14)/P14)*100</f>
        <v/>
      </c>
      <c r="S14" s="31" t="n">
        <v>15</v>
      </c>
      <c r="T14" s="29" t="n">
        <v>14.28</v>
      </c>
      <c r="U14" s="28">
        <f>(1-ABS(S14-T14)/S14)*100</f>
        <v/>
      </c>
    </row>
    <row r="15">
      <c r="B15" s="24" t="inlineStr">
        <is>
          <t>09/36</t>
        </is>
      </c>
      <c r="C15" s="25" t="n">
        <v>3015</v>
      </c>
      <c r="D15" s="26" t="n">
        <v>2.51</v>
      </c>
      <c r="E15" s="27" t="n">
        <v>2.528</v>
      </c>
      <c r="F15" s="28">
        <f>(1-ABS(D15-E15)/D15)*100</f>
        <v/>
      </c>
      <c r="G15" s="27" t="n">
        <v>0.149</v>
      </c>
      <c r="H15" s="27" t="n">
        <v>0.164</v>
      </c>
      <c r="I15" s="28">
        <f>(1-ABS(G15-H15)/G15)*100</f>
        <v/>
      </c>
      <c r="J15" s="26" t="n">
        <v>0.93</v>
      </c>
      <c r="K15" s="27" t="n">
        <v>1.012</v>
      </c>
      <c r="L15" s="28">
        <f>(1-ABS(J15-K15)/J15)*100</f>
        <v/>
      </c>
      <c r="M15" s="26" t="n">
        <v>0.22</v>
      </c>
      <c r="N15" s="27" t="n">
        <v>0.25</v>
      </c>
      <c r="O15" s="28">
        <f>(1-ABS(M15-N15)/M15)*100</f>
        <v/>
      </c>
      <c r="P15" s="29" t="n">
        <v>0.42</v>
      </c>
      <c r="Q15" s="30" t="n">
        <v>0.647</v>
      </c>
      <c r="R15" s="28">
        <f>(1-ABS(P15-Q15)/P15)*100</f>
        <v/>
      </c>
      <c r="S15" s="31" t="n">
        <v>12</v>
      </c>
      <c r="T15" s="29" t="n">
        <v>14.6</v>
      </c>
      <c r="U15" s="28">
        <f>(1-ABS(S15-T15)/S15)*100</f>
        <v/>
      </c>
    </row>
    <row r="16">
      <c r="B16" s="24" t="inlineStr">
        <is>
          <t>09/37</t>
        </is>
      </c>
      <c r="C16" s="25" t="n">
        <v>6673</v>
      </c>
      <c r="D16" s="26" t="n">
        <v>2.49</v>
      </c>
      <c r="E16" s="27" t="n">
        <v>2.529</v>
      </c>
      <c r="F16" s="28">
        <f>(1-ABS(D16-E16)/D16)*100</f>
        <v/>
      </c>
      <c r="G16" s="27" t="n">
        <v>0.16</v>
      </c>
      <c r="H16" s="27" t="n">
        <v>0.165</v>
      </c>
      <c r="I16" s="28">
        <f>(1-ABS(G16-H16)/G16)*100</f>
        <v/>
      </c>
      <c r="J16" s="26" t="n">
        <v>0.93</v>
      </c>
      <c r="K16" s="27" t="n">
        <v>1.014</v>
      </c>
      <c r="L16" s="28">
        <f>(1-ABS(J16-K16)/J16)*100</f>
        <v/>
      </c>
      <c r="M16" s="26" t="n">
        <v>0.27</v>
      </c>
      <c r="N16" s="27" t="n">
        <v>0.264</v>
      </c>
      <c r="O16" s="28">
        <f>(1-ABS(M16-N16)/M16)*100</f>
        <v/>
      </c>
      <c r="P16" s="29" t="n">
        <v>0.4</v>
      </c>
      <c r="Q16" s="30" t="n">
        <v>0.656</v>
      </c>
      <c r="R16" s="28">
        <f>(1-ABS(P16-Q16)/P16)*100</f>
        <v/>
      </c>
      <c r="S16" s="31" t="n">
        <v>16</v>
      </c>
      <c r="T16" s="29" t="n">
        <v>13.88</v>
      </c>
      <c r="U16" s="28">
        <f>(1-ABS(S16-T16)/S16)*100</f>
        <v/>
      </c>
    </row>
    <row r="17" ht="40" customHeight="1">
      <c r="A17" s="32" t="inlineStr">
        <is>
          <t>Best result closer to 1</t>
        </is>
      </c>
      <c r="B17" s="24" t="inlineStr">
        <is>
          <t>09/38</t>
        </is>
      </c>
      <c r="C17" s="25" t="n">
        <v>5519</v>
      </c>
      <c r="D17" s="26" t="n">
        <v>2.57</v>
      </c>
      <c r="E17" s="27" t="n">
        <v>2.36</v>
      </c>
      <c r="F17" s="28">
        <f>(1-ABS(D17-E17)/D17)*100</f>
        <v/>
      </c>
      <c r="G17" s="27" t="n">
        <v>0.169</v>
      </c>
      <c r="H17" s="27" t="n">
        <v>0.153</v>
      </c>
      <c r="I17" s="28">
        <f>(1-ABS(G17-H17)/G17)*100</f>
        <v/>
      </c>
      <c r="J17" s="26" t="n">
        <v>0.91</v>
      </c>
      <c r="K17" s="27" t="n">
        <v>0.951</v>
      </c>
      <c r="L17" s="28">
        <f>(1-ABS(J17-K17)/J17)*100</f>
        <v/>
      </c>
      <c r="M17" s="26" t="n">
        <v>0.29</v>
      </c>
      <c r="N17" s="27" t="n">
        <v>0.259</v>
      </c>
      <c r="O17" s="28">
        <f>(1-ABS(M17-N17)/M17)*100</f>
        <v/>
      </c>
      <c r="P17" s="29" t="n">
        <v>0.4</v>
      </c>
      <c r="Q17" s="30" t="n">
        <v>0.609</v>
      </c>
      <c r="R17" s="28">
        <f>(1-ABS(P17-Q17)/P17)*100</f>
        <v/>
      </c>
      <c r="S17" s="31" t="n">
        <v>18</v>
      </c>
      <c r="T17" s="29" t="n">
        <v>12.71</v>
      </c>
      <c r="U17" s="28">
        <f>(1-ABS(S17-T17)/S17)*100</f>
        <v/>
      </c>
    </row>
    <row r="18" ht="39" customHeight="1">
      <c r="A18" s="32" t="inlineStr">
        <is>
          <t>Best result closer to 0</t>
        </is>
      </c>
      <c r="B18" s="24" t="inlineStr">
        <is>
          <t>09/39</t>
        </is>
      </c>
      <c r="C18" s="25" t="n">
        <v>3551</v>
      </c>
      <c r="D18" s="26" t="n">
        <v>2.66</v>
      </c>
      <c r="E18" s="27" t="n">
        <v>2.399</v>
      </c>
      <c r="F18" s="28">
        <f>(1-ABS(D18-E18)/D18)*100</f>
        <v/>
      </c>
      <c r="G18" s="27" t="n">
        <v>0.157</v>
      </c>
      <c r="H18" s="27" t="n">
        <v>0.155</v>
      </c>
      <c r="I18" s="28">
        <f>(1-ABS(G18-H18)/G18)*100</f>
        <v/>
      </c>
      <c r="J18" s="26" t="n">
        <v>1.05</v>
      </c>
      <c r="K18" s="27" t="n">
        <v>0.975</v>
      </c>
      <c r="L18" s="28">
        <f>(1-ABS(J18-K18)/J18)*100</f>
        <v/>
      </c>
      <c r="M18" s="26" t="n">
        <v>0.23</v>
      </c>
      <c r="N18" s="27" t="n">
        <v>0.266</v>
      </c>
      <c r="O18" s="28">
        <f>(1-ABS(M18-N18)/M18)*100</f>
        <v/>
      </c>
      <c r="P18" s="29" t="n">
        <v>0.48</v>
      </c>
      <c r="Q18" s="30" t="n">
        <v>0.622</v>
      </c>
      <c r="R18" s="28">
        <f>(1-ABS(P18-Q18)/P18)*100</f>
        <v/>
      </c>
      <c r="S18" s="31" t="n">
        <v>15</v>
      </c>
      <c r="T18" s="29" t="n">
        <v>12.39</v>
      </c>
      <c r="U18" s="28">
        <f>(1-ABS(S18-T18)/S18)*100</f>
        <v/>
      </c>
    </row>
    <row r="19" ht="66" customHeight="1">
      <c r="A19" s="32" t="inlineStr">
        <is>
          <t>Best result closer to 1</t>
        </is>
      </c>
      <c r="B19" s="24" t="inlineStr">
        <is>
          <t>08/43</t>
        </is>
      </c>
      <c r="C19" s="25" t="n">
        <v>5014</v>
      </c>
      <c r="D19" s="26" t="n">
        <v>2.62</v>
      </c>
      <c r="E19" s="27" t="n">
        <v>2.515</v>
      </c>
      <c r="F19" s="28">
        <f>(1-ABS(D19-E19)/D19)*100</f>
        <v/>
      </c>
      <c r="G19" s="27" t="n">
        <v>0.166</v>
      </c>
      <c r="H19" s="27" t="n">
        <v>0.162</v>
      </c>
      <c r="I19" s="28">
        <f>(1-ABS(G19-H19)/G19)*100</f>
        <v/>
      </c>
      <c r="J19" s="26" t="n">
        <v>0.93</v>
      </c>
      <c r="K19" s="27" t="n">
        <v>1.044</v>
      </c>
      <c r="L19" s="28">
        <f>(1-ABS(J19-K19)/J19)*100</f>
        <v/>
      </c>
      <c r="M19" s="26" t="n">
        <v>0.28</v>
      </c>
      <c r="N19" s="27" t="n">
        <v>0.257</v>
      </c>
      <c r="O19" s="28">
        <f>(1-ABS(M19-N19)/M19)*100</f>
        <v/>
      </c>
      <c r="P19" s="29" t="n">
        <v>0.43</v>
      </c>
      <c r="Q19" s="30" t="n">
        <v>0.628</v>
      </c>
      <c r="R19" s="28">
        <f>(1-ABS(P19-Q19)/P19)*100</f>
        <v/>
      </c>
      <c r="S19" s="31" t="n">
        <v>17</v>
      </c>
      <c r="T19" s="29" t="n">
        <v>13.83</v>
      </c>
      <c r="U19" s="28">
        <f>(1-ABS(S19-T19)/S19)*100</f>
        <v/>
      </c>
    </row>
    <row r="20">
      <c r="B20" s="24" t="inlineStr">
        <is>
          <t>08/50</t>
        </is>
      </c>
      <c r="C20" s="25" t="n">
        <v>6815</v>
      </c>
      <c r="D20" s="26" t="n">
        <v>2.55</v>
      </c>
      <c r="E20" s="27" t="n">
        <v>2.548</v>
      </c>
      <c r="F20" s="28">
        <f>(1-ABS(D20-E20)/D20)*100</f>
        <v/>
      </c>
      <c r="G20" s="27" t="n">
        <v>0.175</v>
      </c>
      <c r="H20" s="27" t="n">
        <v>0.164</v>
      </c>
      <c r="I20" s="28">
        <f>(1-ABS(G20-H20)/G20)*100</f>
        <v/>
      </c>
      <c r="J20" s="26" t="n">
        <v>1.01</v>
      </c>
      <c r="K20" s="27" t="n">
        <v>1.054</v>
      </c>
      <c r="L20" s="28">
        <f>(1-ABS(J20-K20)/J20)*100</f>
        <v/>
      </c>
      <c r="M20" s="26" t="n">
        <v>0.28</v>
      </c>
      <c r="N20" s="27" t="n">
        <v>0.257</v>
      </c>
      <c r="O20" s="28">
        <f>(1-ABS(M20-N20)/M20)*100</f>
        <v/>
      </c>
      <c r="P20" s="29" t="n">
        <v>0.41</v>
      </c>
      <c r="Q20" s="30" t="n">
        <v>0.645</v>
      </c>
      <c r="R20" s="28">
        <f>(1-ABS(P20-Q20)/P20)*100</f>
        <v/>
      </c>
      <c r="S20" s="31" t="n">
        <v>16</v>
      </c>
      <c r="T20" s="29" t="n">
        <v>13.92</v>
      </c>
      <c r="U20" s="28">
        <f>(1-ABS(S20-T20)/S20)*100</f>
        <v/>
      </c>
    </row>
    <row r="21">
      <c r="B21" s="24" t="inlineStr">
        <is>
          <t>08/23</t>
        </is>
      </c>
      <c r="C21" s="25" t="n">
        <v>5268</v>
      </c>
      <c r="D21" s="26" t="n">
        <v>2.54</v>
      </c>
      <c r="E21" s="27" t="n">
        <v>2.53</v>
      </c>
      <c r="F21" s="28">
        <f>(1-ABS(D21-E21)/D21)*100</f>
        <v/>
      </c>
      <c r="G21" s="27" t="n">
        <v>0.164</v>
      </c>
      <c r="H21" s="27" t="n">
        <v>0.164</v>
      </c>
      <c r="I21" s="28">
        <f>(1-ABS(G21-H21)/G21)*100</f>
        <v/>
      </c>
      <c r="J21" s="26" t="n">
        <v>0.95</v>
      </c>
      <c r="K21" s="27" t="n">
        <v>1.013</v>
      </c>
      <c r="L21" s="28">
        <f>(1-ABS(J21-K21)/J21)*100</f>
        <v/>
      </c>
      <c r="M21" s="26" t="n">
        <v>0.29</v>
      </c>
      <c r="N21" s="27" t="n">
        <v>0.251</v>
      </c>
      <c r="O21" s="28">
        <f>(1-ABS(M21-N21)/M21)*100</f>
        <v/>
      </c>
      <c r="P21" s="29" t="n">
        <v>0.5</v>
      </c>
      <c r="Q21" s="30" t="n">
        <v>0.652</v>
      </c>
      <c r="R21" s="28">
        <f>(1-ABS(P21-Q21)/P21)*100</f>
        <v/>
      </c>
      <c r="S21" s="31" t="n">
        <v>16</v>
      </c>
      <c r="T21" s="29" t="n">
        <v>14.62</v>
      </c>
      <c r="U21" s="28">
        <f>(1-ABS(S21-T21)/S21)*100</f>
        <v/>
      </c>
    </row>
    <row r="22">
      <c r="B22" s="24" t="inlineStr">
        <is>
          <t>08/24</t>
        </is>
      </c>
      <c r="C22" s="25" t="n">
        <v>5611</v>
      </c>
      <c r="D22" s="26" t="n">
        <v>2.51</v>
      </c>
      <c r="E22" s="27" t="n">
        <v>2.536</v>
      </c>
      <c r="F22" s="28">
        <f>(1-ABS(D22-E22)/D22)*100</f>
        <v/>
      </c>
      <c r="G22" s="27" t="n">
        <v>0.176</v>
      </c>
      <c r="H22" s="27" t="n">
        <v>0.165</v>
      </c>
      <c r="I22" s="28">
        <f>(1-ABS(G22-H22)/G22)*100</f>
        <v/>
      </c>
      <c r="J22" s="26" t="n">
        <v>1.12</v>
      </c>
      <c r="K22" s="27" t="n">
        <v>1.032</v>
      </c>
      <c r="L22" s="28">
        <f>(1-ABS(J22-K22)/J22)*100</f>
        <v/>
      </c>
      <c r="M22" s="26" t="n">
        <v>0.34</v>
      </c>
      <c r="N22" s="27" t="n">
        <v>0.263</v>
      </c>
      <c r="O22" s="28">
        <f>(1-ABS(M22-N22)/M22)*100</f>
        <v/>
      </c>
      <c r="P22" s="29" t="n">
        <v>0.63</v>
      </c>
      <c r="Q22" s="30" t="n">
        <v>0.648</v>
      </c>
      <c r="R22" s="28">
        <f>(1-ABS(P22-Q22)/P22)*100</f>
        <v/>
      </c>
      <c r="S22" s="31" t="n">
        <v>18</v>
      </c>
      <c r="T22" s="29" t="n">
        <v>14.19</v>
      </c>
      <c r="U22" s="28">
        <f>(1-ABS(S22-T22)/S22)*100</f>
        <v/>
      </c>
    </row>
    <row r="23">
      <c r="B23" s="24" t="inlineStr">
        <is>
          <t>08/25</t>
        </is>
      </c>
      <c r="C23" s="25" t="n">
        <v>4492</v>
      </c>
      <c r="D23" s="26" t="n">
        <v>2.63</v>
      </c>
      <c r="E23" s="27" t="n">
        <v>2.527</v>
      </c>
      <c r="F23" s="28">
        <f>(1-ABS(D23-E23)/D23)*100</f>
        <v/>
      </c>
      <c r="G23" s="27" t="n">
        <v>0.166</v>
      </c>
      <c r="H23" s="27" t="n">
        <v>0.165</v>
      </c>
      <c r="I23" s="28">
        <f>(1-ABS(G23-H23)/G23)*100</f>
        <v/>
      </c>
      <c r="J23" s="26" t="n">
        <v>0.97</v>
      </c>
      <c r="K23" s="27" t="n">
        <v>1.022</v>
      </c>
      <c r="L23" s="28">
        <f>(1-ABS(J23-K23)/J23)*100</f>
        <v/>
      </c>
      <c r="M23" s="26" t="n">
        <v>0.29</v>
      </c>
      <c r="N23" s="27" t="n">
        <v>0.264</v>
      </c>
      <c r="O23" s="28">
        <f>(1-ABS(M23-N23)/M23)*100</f>
        <v/>
      </c>
      <c r="P23" s="29" t="n">
        <v>0.5</v>
      </c>
      <c r="Q23" s="30" t="n">
        <v>0.645</v>
      </c>
      <c r="R23" s="28">
        <f>(1-ABS(P23-Q23)/P23)*100</f>
        <v/>
      </c>
      <c r="S23" s="31" t="n">
        <v>16</v>
      </c>
      <c r="T23" s="29" t="n">
        <v>14.16</v>
      </c>
      <c r="U23" s="28">
        <f>(1-ABS(S23-T23)/S23)*100</f>
        <v/>
      </c>
    </row>
    <row r="24">
      <c r="B24" s="24" t="inlineStr">
        <is>
          <t>08/26</t>
        </is>
      </c>
      <c r="C24" s="25" t="n">
        <v>3625</v>
      </c>
      <c r="D24" s="26" t="n">
        <v>2.61</v>
      </c>
      <c r="E24" s="27" t="n">
        <v>2.512</v>
      </c>
      <c r="F24" s="28">
        <f>(1-ABS(D24-E24)/D24)*100</f>
        <v/>
      </c>
      <c r="G24" s="27" t="n">
        <v>0.163</v>
      </c>
      <c r="H24" s="27" t="n">
        <v>0.163</v>
      </c>
      <c r="I24" s="28">
        <f>(1-ABS(G24-H24)/G24)*100</f>
        <v/>
      </c>
      <c r="J24" s="26" t="n">
        <v>0.96</v>
      </c>
      <c r="K24" s="27" t="n">
        <v>1.011</v>
      </c>
      <c r="L24" s="28">
        <f>(1-ABS(J24-K24)/J24)*100</f>
        <v/>
      </c>
      <c r="M24" s="26" t="n">
        <v>0.28</v>
      </c>
      <c r="N24" s="27" t="n">
        <v>0.264</v>
      </c>
      <c r="O24" s="28">
        <f>(1-ABS(M24-N24)/M24)*100</f>
        <v/>
      </c>
      <c r="P24" s="29" t="n">
        <v>0.59</v>
      </c>
      <c r="Q24" s="30" t="n">
        <v>0.651</v>
      </c>
      <c r="R24" s="28">
        <f>(1-ABS(P24-Q24)/P24)*100</f>
        <v/>
      </c>
      <c r="S24" s="31" t="n">
        <v>18</v>
      </c>
      <c r="T24" s="29" t="n">
        <v>13.84</v>
      </c>
      <c r="U24" s="28">
        <f>(1-ABS(S24-T24)/S24)*100</f>
        <v/>
      </c>
    </row>
    <row r="25">
      <c r="B25" s="24" t="inlineStr">
        <is>
          <t>08/27</t>
        </is>
      </c>
      <c r="C25" s="25" t="n">
        <v>4638</v>
      </c>
      <c r="D25" s="26" t="n">
        <v>2.58</v>
      </c>
      <c r="E25" s="27" t="n">
        <v>2.521</v>
      </c>
      <c r="F25" s="28">
        <f>(1-ABS(D25-E25)/D25)*100</f>
        <v/>
      </c>
      <c r="G25" s="27" t="n">
        <v>0.165</v>
      </c>
      <c r="H25" s="27" t="n">
        <v>0.164</v>
      </c>
      <c r="I25" s="28">
        <f>(1-ABS(G25-H25)/G25)*100</f>
        <v/>
      </c>
      <c r="J25" s="26" t="n">
        <v>0.93</v>
      </c>
      <c r="K25" s="27" t="n">
        <v>1.011</v>
      </c>
      <c r="L25" s="28">
        <f>(1-ABS(J25-K25)/J25)*100</f>
        <v/>
      </c>
      <c r="M25" s="26" t="n">
        <v>0.28</v>
      </c>
      <c r="N25" s="27" t="n">
        <v>0.266</v>
      </c>
      <c r="O25" s="28">
        <f>(1-ABS(M25-N25)/M25)*100</f>
        <v/>
      </c>
      <c r="P25" s="29" t="n">
        <v>0.61</v>
      </c>
      <c r="Q25" s="30" t="n">
        <v>0.649</v>
      </c>
      <c r="R25" s="28">
        <f>(1-ABS(P25-Q25)/P25)*100</f>
        <v/>
      </c>
      <c r="S25" s="31" t="n">
        <v>18</v>
      </c>
      <c r="T25" s="29" t="n">
        <v>14.08</v>
      </c>
      <c r="U25" s="28">
        <f>(1-ABS(S25-T25)/S25)*100</f>
        <v/>
      </c>
    </row>
    <row r="26">
      <c r="B26" s="24" t="inlineStr">
        <is>
          <t>08/28</t>
        </is>
      </c>
      <c r="C26" s="25" t="n">
        <v>4749</v>
      </c>
      <c r="D26" s="26" t="n">
        <v>2.45</v>
      </c>
      <c r="E26" s="27" t="n">
        <v>2.528</v>
      </c>
      <c r="F26" s="28">
        <f>(1-ABS(D26-E26)/D26)*100</f>
        <v/>
      </c>
      <c r="G26" s="27" t="n">
        <v>0.15</v>
      </c>
      <c r="H26" s="27" t="n">
        <v>0.165</v>
      </c>
      <c r="I26" s="28">
        <f>(1-ABS(G26-H26)/G26)*100</f>
        <v/>
      </c>
      <c r="J26" s="26" t="n">
        <v>0.84</v>
      </c>
      <c r="K26" s="27" t="n">
        <v>1.017</v>
      </c>
      <c r="L26" s="28">
        <f>(1-ABS(J26-K26)/J26)*100</f>
        <v/>
      </c>
      <c r="M26" s="26" t="n">
        <v>0.22</v>
      </c>
      <c r="N26" s="27" t="n">
        <v>0.257</v>
      </c>
      <c r="O26" s="28">
        <f>(1-ABS(M26-N26)/M26)*100</f>
        <v/>
      </c>
      <c r="P26" s="29" t="n">
        <v>0.49</v>
      </c>
      <c r="Q26" s="30" t="n">
        <v>0.651</v>
      </c>
      <c r="R26" s="28">
        <f>(1-ABS(P26-Q26)/P26)*100</f>
        <v/>
      </c>
      <c r="S26" s="31" t="n">
        <v>15</v>
      </c>
      <c r="T26" s="29" t="n">
        <v>14.54</v>
      </c>
      <c r="U26" s="28">
        <f>(1-ABS(S26-T26)/S26)*100</f>
        <v/>
      </c>
    </row>
    <row r="27">
      <c r="B27" s="24" t="inlineStr">
        <is>
          <t>08/29</t>
        </is>
      </c>
      <c r="C27" s="25" t="n">
        <v>5671</v>
      </c>
      <c r="D27" s="26" t="n">
        <v>2.58</v>
      </c>
      <c r="E27" s="27" t="n">
        <v>2.46</v>
      </c>
      <c r="F27" s="28">
        <f>(1-ABS(D27-E27)/D27)*100</f>
        <v/>
      </c>
      <c r="G27" s="27" t="n">
        <v>0.171</v>
      </c>
      <c r="H27" s="27" t="n">
        <v>0.16</v>
      </c>
      <c r="I27" s="28">
        <f>(1-ABS(G27-H27)/G27)*100</f>
        <v/>
      </c>
      <c r="J27" s="26" t="n">
        <v>1.15</v>
      </c>
      <c r="K27" s="27" t="n">
        <v>0.989</v>
      </c>
      <c r="L27" s="28">
        <f>(1-ABS(J27-K27)/J27)*100</f>
        <v/>
      </c>
      <c r="M27" s="26" t="n">
        <v>0.27</v>
      </c>
      <c r="N27" s="27" t="n">
        <v>0.272</v>
      </c>
      <c r="O27" s="28">
        <f>(1-ABS(M27-N27)/M27)*100</f>
        <v/>
      </c>
      <c r="P27" s="29" t="n">
        <v>0.4</v>
      </c>
      <c r="Q27" s="30" t="n">
        <v>0.645</v>
      </c>
      <c r="R27" s="28">
        <f>(1-ABS(P27-Q27)/P27)*100</f>
        <v/>
      </c>
      <c r="S27" s="31" t="n">
        <v>13</v>
      </c>
      <c r="T27" s="29" t="n">
        <v>13.03</v>
      </c>
      <c r="U27" s="28">
        <f>(1-ABS(S27-T27)/S27)*100</f>
        <v/>
      </c>
    </row>
    <row r="28">
      <c r="B28" s="24" t="inlineStr">
        <is>
          <t>08/30</t>
        </is>
      </c>
      <c r="C28" s="25" t="n">
        <v>4934</v>
      </c>
      <c r="D28" s="26" t="n">
        <v>2.61</v>
      </c>
      <c r="E28" s="27" t="n">
        <v>2.544</v>
      </c>
      <c r="F28" s="28">
        <f>(1-ABS(D28-E28)/D28)*100</f>
        <v/>
      </c>
      <c r="G28" s="27" t="n">
        <v>0.157</v>
      </c>
      <c r="H28" s="27" t="n">
        <v>0.165</v>
      </c>
      <c r="I28" s="28">
        <f>(1-ABS(G28-H28)/G28)*100</f>
        <v/>
      </c>
      <c r="J28" s="26" t="n">
        <v>0.87</v>
      </c>
      <c r="K28" s="27" t="n">
        <v>1.018</v>
      </c>
      <c r="L28" s="28">
        <f>(1-ABS(J28-K28)/J28)*100</f>
        <v/>
      </c>
      <c r="M28" s="26" t="n">
        <v>0.25</v>
      </c>
      <c r="N28" s="27" t="n">
        <v>0.257</v>
      </c>
      <c r="O28" s="28">
        <f>(1-ABS(M28-N28)/M28)*100</f>
        <v/>
      </c>
      <c r="P28" s="29" t="n">
        <v>0.49</v>
      </c>
      <c r="Q28" s="30" t="n">
        <v>0.647</v>
      </c>
      <c r="R28" s="28">
        <f>(1-ABS(P28-Q28)/P28)*100</f>
        <v/>
      </c>
      <c r="S28" s="31" t="n">
        <v>15</v>
      </c>
      <c r="T28" s="29" t="n">
        <v>14.93</v>
      </c>
      <c r="U28" s="28">
        <f>(1-ABS(S28-T28)/S28)*100</f>
        <v/>
      </c>
    </row>
    <row r="29">
      <c r="B29" s="24" t="inlineStr">
        <is>
          <t>08/31</t>
        </is>
      </c>
      <c r="C29" s="25" t="n">
        <v>4081</v>
      </c>
      <c r="D29" s="26" t="n">
        <v>2.56</v>
      </c>
      <c r="E29" s="27" t="n">
        <v>2.517</v>
      </c>
      <c r="F29" s="28">
        <f>(1-ABS(D29-E29)/D29)*100</f>
        <v/>
      </c>
      <c r="G29" s="27" t="n">
        <v>0.161</v>
      </c>
      <c r="H29" s="27" t="n">
        <v>0.163</v>
      </c>
      <c r="I29" s="28">
        <f>(1-ABS(G29-H29)/G29)*100</f>
        <v/>
      </c>
      <c r="J29" s="26" t="n">
        <v>1.11</v>
      </c>
      <c r="K29" s="27" t="n">
        <v>1.007</v>
      </c>
      <c r="L29" s="28">
        <f>(1-ABS(J29-K29)/J29)*100</f>
        <v/>
      </c>
      <c r="M29" s="26" t="n">
        <v>0.24</v>
      </c>
      <c r="N29" s="27" t="n">
        <v>0.267</v>
      </c>
      <c r="O29" s="28">
        <f>(1-ABS(M29-N29)/M29)*100</f>
        <v/>
      </c>
      <c r="P29" s="29" t="n">
        <v>0.49</v>
      </c>
      <c r="Q29" s="30" t="n">
        <v>0.643</v>
      </c>
      <c r="R29" s="28">
        <f>(1-ABS(P29-Q29)/P29)*100</f>
        <v/>
      </c>
      <c r="S29" s="31" t="n">
        <v>15</v>
      </c>
      <c r="T29" s="29" t="n">
        <v>14.3</v>
      </c>
      <c r="U29" s="28">
        <f>(1-ABS(S29-T29)/S29)*100</f>
        <v/>
      </c>
    </row>
    <row r="30">
      <c r="B30" s="24" t="inlineStr">
        <is>
          <t>08/32</t>
        </is>
      </c>
      <c r="C30" s="25" t="n">
        <v>5148</v>
      </c>
      <c r="D30" s="26" t="n">
        <v>2.65</v>
      </c>
      <c r="E30" s="27" t="n">
        <v>2.492</v>
      </c>
      <c r="F30" s="28">
        <f>(1-ABS(D30-E30)/D30)*100</f>
        <v/>
      </c>
      <c r="G30" s="27" t="n">
        <v>0.166</v>
      </c>
      <c r="H30" s="27" t="n">
        <v>0.162</v>
      </c>
      <c r="I30" s="28">
        <f>(1-ABS(G30-H30)/G30)*100</f>
        <v/>
      </c>
      <c r="J30" s="26" t="n">
        <v>1.06</v>
      </c>
      <c r="K30" s="27" t="n">
        <v>0.998</v>
      </c>
      <c r="L30" s="28">
        <f>(1-ABS(J30-K30)/J30)*100</f>
        <v/>
      </c>
      <c r="M30" s="26" t="n">
        <v>0.27</v>
      </c>
      <c r="N30" s="27" t="n">
        <v>0.271</v>
      </c>
      <c r="O30" s="28">
        <f>(1-ABS(M30-N30)/M30)*100</f>
        <v/>
      </c>
      <c r="P30" s="29" t="n">
        <v>0.42</v>
      </c>
      <c r="Q30" s="30" t="n">
        <v>0.647</v>
      </c>
      <c r="R30" s="28">
        <f>(1-ABS(P30-Q30)/P30)*100</f>
        <v/>
      </c>
      <c r="S30" s="31" t="n">
        <v>15</v>
      </c>
      <c r="T30" s="29" t="n">
        <v>13.55</v>
      </c>
      <c r="U30" s="28">
        <f>(1-ABS(S30-T30)/S30)*100</f>
        <v/>
      </c>
    </row>
    <row r="31">
      <c r="B31" s="24" t="inlineStr">
        <is>
          <t>08/33</t>
        </is>
      </c>
      <c r="C31" s="25" t="n">
        <v>3414</v>
      </c>
      <c r="D31" s="26" t="n">
        <v>2.48</v>
      </c>
      <c r="E31" s="27" t="n">
        <v>2.474</v>
      </c>
      <c r="F31" s="28">
        <f>(1-ABS(D31-E31)/D31)*100</f>
        <v/>
      </c>
      <c r="G31" s="27" t="n">
        <v>0.163</v>
      </c>
      <c r="H31" s="27" t="n">
        <v>0.16</v>
      </c>
      <c r="I31" s="28">
        <f>(1-ABS(G31-H31)/G31)*100</f>
        <v/>
      </c>
      <c r="J31" s="26" t="n">
        <v>0.98</v>
      </c>
      <c r="K31" s="27" t="n">
        <v>0.988</v>
      </c>
      <c r="L31" s="28">
        <f>(1-ABS(J31-K31)/J31)*100</f>
        <v/>
      </c>
      <c r="M31" s="26" t="n">
        <v>0.27</v>
      </c>
      <c r="N31" s="27" t="n">
        <v>0.278</v>
      </c>
      <c r="O31" s="28">
        <f>(1-ABS(M31-N31)/M31)*100</f>
        <v/>
      </c>
      <c r="P31" s="29" t="n">
        <v>0.55</v>
      </c>
      <c r="Q31" s="30" t="n">
        <v>0.642</v>
      </c>
      <c r="R31" s="28">
        <f>(1-ABS(P31-Q31)/P31)*100</f>
        <v/>
      </c>
      <c r="S31" s="31" t="n">
        <v>17</v>
      </c>
      <c r="T31" s="29" t="n">
        <v>13.2</v>
      </c>
      <c r="U31" s="28">
        <f>(1-ABS(S31-T31)/S31)*100</f>
        <v/>
      </c>
    </row>
    <row r="32">
      <c r="B32" s="24" t="inlineStr">
        <is>
          <t>08/34</t>
        </is>
      </c>
      <c r="C32" s="25" t="n">
        <v>4912</v>
      </c>
      <c r="D32" s="26" t="n">
        <v>2.55</v>
      </c>
      <c r="E32" s="27" t="n">
        <v>2.506</v>
      </c>
      <c r="F32" s="28">
        <f>(1-ABS(D32-E32)/D32)*100</f>
        <v/>
      </c>
      <c r="G32" s="27" t="n">
        <v>0.167</v>
      </c>
      <c r="H32" s="27" t="n">
        <v>0.163</v>
      </c>
      <c r="I32" s="28">
        <f>(1-ABS(G32-H32)/G32)*100</f>
        <v/>
      </c>
      <c r="J32" s="26" t="n">
        <v>0.95</v>
      </c>
      <c r="K32" s="27" t="n">
        <v>1.006</v>
      </c>
      <c r="L32" s="28">
        <f>(1-ABS(J32-K32)/J32)*100</f>
        <v/>
      </c>
      <c r="M32" s="26" t="n">
        <v>0.3</v>
      </c>
      <c r="N32" s="27" t="n">
        <v>0.276</v>
      </c>
      <c r="O32" s="28">
        <f>(1-ABS(M32-N32)/M32)*100</f>
        <v/>
      </c>
      <c r="P32" s="29" t="n">
        <v>0.41</v>
      </c>
      <c r="Q32" s="30" t="n">
        <v>0.657</v>
      </c>
      <c r="R32" s="28">
        <f>(1-ABS(P32-Q32)/P32)*100</f>
        <v/>
      </c>
      <c r="S32" s="31" t="n">
        <v>18</v>
      </c>
      <c r="T32" s="29" t="n">
        <v>13.28</v>
      </c>
      <c r="U32" s="28">
        <f>(1-ABS(S32-T32)/S32)*100</f>
        <v/>
      </c>
    </row>
    <row r="33">
      <c r="B33" s="24" t="inlineStr">
        <is>
          <t>08/51</t>
        </is>
      </c>
      <c r="C33" s="25" t="n">
        <v>3290</v>
      </c>
      <c r="D33" s="26" t="n">
        <v>2.61</v>
      </c>
      <c r="E33" s="27" t="n">
        <v>2.409</v>
      </c>
      <c r="F33" s="28">
        <f>(1-ABS(D33-E33)/D33)*100</f>
        <v/>
      </c>
      <c r="G33" s="27" t="n">
        <v>0.159</v>
      </c>
      <c r="H33" s="27" t="n">
        <v>0.156</v>
      </c>
      <c r="I33" s="28">
        <f>(1-ABS(G33-H33)/G33)*100</f>
        <v/>
      </c>
      <c r="J33" s="26" t="n">
        <v>1.11</v>
      </c>
      <c r="K33" s="27" t="n">
        <v>0.984</v>
      </c>
      <c r="L33" s="28">
        <f>(1-ABS(J33-K33)/J33)*100</f>
        <v/>
      </c>
      <c r="M33" s="26" t="n">
        <v>0.23</v>
      </c>
      <c r="N33" s="27" t="n">
        <v>0.264</v>
      </c>
      <c r="O33" s="28">
        <f>(1-ABS(M33-N33)/M33)*100</f>
        <v/>
      </c>
      <c r="P33" s="29" t="n">
        <v>0.47</v>
      </c>
      <c r="Q33" s="30" t="n">
        <v>0.617</v>
      </c>
      <c r="R33" s="28">
        <f>(1-ABS(P33-Q33)/P33)*100</f>
        <v/>
      </c>
      <c r="S33" s="31" t="n">
        <v>15</v>
      </c>
      <c r="T33" s="29" t="n">
        <v>12.75</v>
      </c>
      <c r="U33" s="28">
        <f>(1-ABS(S33-T33)/S33)*100</f>
        <v/>
      </c>
    </row>
    <row r="34">
      <c r="B34" s="24" t="inlineStr">
        <is>
          <t>08/41</t>
        </is>
      </c>
      <c r="C34" s="25" t="n">
        <v>5563</v>
      </c>
      <c r="D34" s="26" t="n">
        <v>2.62</v>
      </c>
      <c r="E34" s="27" t="n">
        <v>2.537</v>
      </c>
      <c r="F34" s="28">
        <f>(1-ABS(D34-E34)/D34)*100</f>
        <v/>
      </c>
      <c r="G34" s="27" t="n">
        <v>0.171</v>
      </c>
      <c r="H34" s="27" t="n">
        <v>0.163</v>
      </c>
      <c r="I34" s="28">
        <f>(1-ABS(G34-H34)/G34)*100</f>
        <v/>
      </c>
      <c r="J34" s="26" t="n">
        <v>1.04</v>
      </c>
      <c r="K34" s="27" t="n">
        <v>1.047</v>
      </c>
      <c r="L34" s="28">
        <f>(1-ABS(J34-K34)/J34)*100</f>
        <v/>
      </c>
      <c r="M34" s="26" t="n">
        <v>0.25</v>
      </c>
      <c r="N34" s="27" t="n">
        <v>0.265</v>
      </c>
      <c r="O34" s="28">
        <f>(1-ABS(M34-N34)/M34)*100</f>
        <v/>
      </c>
      <c r="P34" s="29" t="n">
        <v>0.4</v>
      </c>
      <c r="Q34" s="30" t="n">
        <v>0.637</v>
      </c>
      <c r="R34" s="28">
        <f>(1-ABS(P34-Q34)/P34)*100</f>
        <v/>
      </c>
      <c r="S34" s="31" t="n">
        <v>15</v>
      </c>
      <c r="T34" s="29" t="n">
        <v>14.11</v>
      </c>
      <c r="U34" s="28">
        <f>(1-ABS(S34-T34)/S34)*100</f>
        <v/>
      </c>
    </row>
    <row r="35">
      <c r="B35" s="24" t="inlineStr">
        <is>
          <t>08/42</t>
        </is>
      </c>
      <c r="C35" s="25" t="n">
        <v>4237</v>
      </c>
      <c r="D35" s="26" t="n">
        <v>2.58</v>
      </c>
      <c r="E35" s="27" t="n">
        <v>2.548</v>
      </c>
      <c r="F35" s="28">
        <f>(1-ABS(D35-E35)/D35)*100</f>
        <v/>
      </c>
      <c r="G35" s="27" t="n">
        <v>0.165</v>
      </c>
      <c r="H35" s="27" t="n">
        <v>0.164</v>
      </c>
      <c r="I35" s="28">
        <f>(1-ABS(G35-H35)/G35)*100</f>
        <v/>
      </c>
      <c r="J35" s="26" t="n">
        <v>0.92</v>
      </c>
      <c r="K35" s="27" t="n">
        <v>1.044</v>
      </c>
      <c r="L35" s="28">
        <f>(1-ABS(J35-K35)/J35)*100</f>
        <v/>
      </c>
      <c r="M35" s="26" t="n">
        <v>0.3</v>
      </c>
      <c r="N35" s="27" t="n">
        <v>0.263</v>
      </c>
      <c r="O35" s="28">
        <f>(1-ABS(M35-N35)/M35)*100</f>
        <v/>
      </c>
      <c r="P35" s="29" t="n">
        <v>0.41</v>
      </c>
      <c r="Q35" s="30" t="n">
        <v>0.644</v>
      </c>
      <c r="R35" s="28">
        <f>(1-ABS(P35-Q35)/P35)*100</f>
        <v/>
      </c>
      <c r="S35" s="31" t="n">
        <v>17</v>
      </c>
      <c r="T35" s="29" t="n">
        <v>13.96</v>
      </c>
      <c r="U35" s="28">
        <f>(1-ABS(S35-T35)/S35)*100</f>
        <v/>
      </c>
    </row>
    <row r="36">
      <c r="B36" s="24" t="inlineStr">
        <is>
          <t>08/15</t>
        </is>
      </c>
      <c r="C36" s="25" t="n">
        <v>3819</v>
      </c>
      <c r="D36" s="26" t="n">
        <v>2.59</v>
      </c>
      <c r="E36" s="27" t="n">
        <v>2.552</v>
      </c>
      <c r="F36" s="28">
        <f>(1-ABS(D36-E36)/D36)*100</f>
        <v/>
      </c>
      <c r="G36" s="27" t="n">
        <v>0.16</v>
      </c>
      <c r="H36" s="27" t="n">
        <v>0.166</v>
      </c>
      <c r="I36" s="28">
        <f>(1-ABS(G36-H36)/G36)*100</f>
        <v/>
      </c>
      <c r="J36" s="26" t="n">
        <v>1.05</v>
      </c>
      <c r="K36" s="27" t="n">
        <v>1.045</v>
      </c>
      <c r="L36" s="28">
        <f>(1-ABS(J36-K36)/J36)*100</f>
        <v/>
      </c>
      <c r="M36" s="26" t="n">
        <v>0.24</v>
      </c>
      <c r="N36" s="27" t="n">
        <v>0.278</v>
      </c>
      <c r="O36" s="28">
        <f>(1-ABS(M36-N36)/M36)*100</f>
        <v/>
      </c>
      <c r="P36" s="29" t="n">
        <v>0.45</v>
      </c>
      <c r="Q36" s="30" t="n">
        <v>0.648</v>
      </c>
      <c r="R36" s="28">
        <f>(1-ABS(P36-Q36)/P36)*100</f>
        <v/>
      </c>
      <c r="S36" s="31" t="n">
        <v>15</v>
      </c>
      <c r="T36" s="29" t="n">
        <v>14.06</v>
      </c>
      <c r="U36" s="28">
        <f>(1-ABS(S36-T36)/S36)*100</f>
        <v/>
      </c>
    </row>
    <row r="37">
      <c r="B37" s="24" t="inlineStr">
        <is>
          <t>09/01</t>
        </is>
      </c>
      <c r="C37" s="25" t="n">
        <v>6374</v>
      </c>
      <c r="D37" s="26" t="n">
        <v>2.48</v>
      </c>
      <c r="E37" s="27" t="n">
        <v>2.531</v>
      </c>
      <c r="F37" s="28">
        <f>(1-ABS(D37-E37)/D37)*100</f>
        <v/>
      </c>
      <c r="G37" s="27" t="n">
        <v>0.161</v>
      </c>
      <c r="H37" s="27" t="n">
        <v>0.165</v>
      </c>
      <c r="I37" s="28">
        <f>(1-ABS(G37-H37)/G37)*100</f>
        <v/>
      </c>
      <c r="J37" s="26" t="n">
        <v>0.97</v>
      </c>
      <c r="K37" s="27" t="n">
        <v>1.033</v>
      </c>
      <c r="L37" s="28">
        <f>(1-ABS(J37-K37)/J37)*100</f>
        <v/>
      </c>
      <c r="M37" s="26" t="n">
        <v>0.27</v>
      </c>
      <c r="N37" s="27" t="n">
        <v>0.282</v>
      </c>
      <c r="O37" s="28">
        <f>(1-ABS(M37-N37)/M37)*100</f>
        <v/>
      </c>
      <c r="P37" s="29" t="n">
        <v>0.5</v>
      </c>
      <c r="Q37" s="30" t="n">
        <v>0.647</v>
      </c>
      <c r="R37" s="28">
        <f>(1-ABS(P37-Q37)/P37)*100</f>
        <v/>
      </c>
      <c r="S37" s="31" t="n">
        <v>16</v>
      </c>
      <c r="T37" s="29" t="n">
        <v>13.45</v>
      </c>
      <c r="U37" s="28">
        <f>(1-ABS(S37-T37)/S37)*100</f>
        <v/>
      </c>
    </row>
    <row r="38">
      <c r="B38" s="24" t="inlineStr">
        <is>
          <t>09/02</t>
        </is>
      </c>
      <c r="C38" s="25" t="n">
        <v>4156</v>
      </c>
      <c r="D38" s="26" t="n">
        <v>2.51</v>
      </c>
      <c r="E38" s="27" t="n">
        <v>2.539</v>
      </c>
      <c r="F38" s="28">
        <f>(1-ABS(D38-E38)/D38)*100</f>
        <v/>
      </c>
      <c r="G38" s="27" t="n">
        <v>0.162</v>
      </c>
      <c r="H38" s="27" t="n">
        <v>0.165</v>
      </c>
      <c r="I38" s="28">
        <f>(1-ABS(G38-H38)/G38)*100</f>
        <v/>
      </c>
      <c r="J38" s="26" t="n">
        <v>0.89</v>
      </c>
      <c r="K38" s="27" t="n">
        <v>1.03</v>
      </c>
      <c r="L38" s="28">
        <f>(1-ABS(J38-K38)/J38)*100</f>
        <v/>
      </c>
      <c r="M38" s="26" t="n">
        <v>0.29</v>
      </c>
      <c r="N38" s="27" t="n">
        <v>0.276</v>
      </c>
      <c r="O38" s="28">
        <f>(1-ABS(M38-N38)/M38)*100</f>
        <v/>
      </c>
      <c r="P38" s="29" t="n">
        <v>0.59</v>
      </c>
      <c r="Q38" s="30" t="n">
        <v>0.645</v>
      </c>
      <c r="R38" s="28">
        <f>(1-ABS(P38-Q38)/P38)*100</f>
        <v/>
      </c>
      <c r="S38" s="31" t="n">
        <v>19</v>
      </c>
      <c r="T38" s="29" t="n">
        <v>13.43</v>
      </c>
      <c r="U38" s="28">
        <f>(1-ABS(S38-T38)/S38)*100</f>
        <v/>
      </c>
    </row>
    <row r="39">
      <c r="B39" s="24" t="inlineStr">
        <is>
          <t>09/03</t>
        </is>
      </c>
      <c r="C39" s="25" t="n">
        <v>4229</v>
      </c>
      <c r="D39" s="26" t="n">
        <v>2.59</v>
      </c>
      <c r="E39" s="27" t="n">
        <v>2.548</v>
      </c>
      <c r="F39" s="28">
        <f>(1-ABS(D39-E39)/D39)*100</f>
        <v/>
      </c>
      <c r="G39" s="27" t="n">
        <v>0.164</v>
      </c>
      <c r="H39" s="27" t="n">
        <v>0.165</v>
      </c>
      <c r="I39" s="28">
        <f>(1-ABS(G39-H39)/G39)*100</f>
        <v/>
      </c>
      <c r="J39" s="26" t="n">
        <v>0.93</v>
      </c>
      <c r="K39" s="27" t="n">
        <v>1.045</v>
      </c>
      <c r="L39" s="28">
        <f>(1-ABS(J39-K39)/J39)*100</f>
        <v/>
      </c>
      <c r="M39" s="26" t="n">
        <v>0.28</v>
      </c>
      <c r="N39" s="27" t="n">
        <v>0.269</v>
      </c>
      <c r="O39" s="28">
        <f>(1-ABS(M39-N39)/M39)*100</f>
        <v/>
      </c>
      <c r="P39" s="29" t="n">
        <v>0.54</v>
      </c>
      <c r="Q39" s="30" t="n">
        <v>0.636</v>
      </c>
      <c r="R39" s="28">
        <f>(1-ABS(P39-Q39)/P39)*100</f>
        <v/>
      </c>
      <c r="S39" s="31" t="n">
        <v>19</v>
      </c>
      <c r="T39" s="29" t="n">
        <v>14.07</v>
      </c>
      <c r="U39" s="28">
        <f>(1-ABS(S39-T39)/S39)*100</f>
        <v/>
      </c>
    </row>
    <row r="40">
      <c r="B40" s="24" t="inlineStr">
        <is>
          <t>09/04</t>
        </is>
      </c>
      <c r="C40" s="25" t="n">
        <v>5528</v>
      </c>
      <c r="D40" s="26" t="n">
        <v>2.52</v>
      </c>
      <c r="E40" s="27" t="n">
        <v>2.561</v>
      </c>
      <c r="F40" s="28">
        <f>(1-ABS(D40-E40)/D40)*100</f>
        <v/>
      </c>
      <c r="G40" s="27" t="n">
        <v>0.162</v>
      </c>
      <c r="H40" s="27" t="n">
        <v>0.166</v>
      </c>
      <c r="I40" s="28">
        <f>(1-ABS(G40-H40)/G40)*100</f>
        <v/>
      </c>
      <c r="J40" s="26" t="n">
        <v>0.88</v>
      </c>
      <c r="K40" s="27" t="n">
        <v>1.061</v>
      </c>
      <c r="L40" s="28">
        <f>(1-ABS(J40-K40)/J40)*100</f>
        <v/>
      </c>
      <c r="M40" s="26" t="n">
        <v>0.28</v>
      </c>
      <c r="N40" s="27" t="n">
        <v>0.27</v>
      </c>
      <c r="O40" s="28">
        <f>(1-ABS(M40-N40)/M40)*100</f>
        <v/>
      </c>
      <c r="P40" s="29" t="n">
        <v>0.62</v>
      </c>
      <c r="Q40" s="30" t="n">
        <v>0.644</v>
      </c>
      <c r="R40" s="28">
        <f>(1-ABS(P40-Q40)/P40)*100</f>
        <v/>
      </c>
      <c r="S40" s="31" t="n">
        <v>18</v>
      </c>
      <c r="T40" s="29" t="n">
        <v>14.24</v>
      </c>
      <c r="U40" s="28">
        <f>(1-ABS(S40-T40)/S40)*100</f>
        <v/>
      </c>
    </row>
    <row r="41">
      <c r="B41" s="24" t="inlineStr">
        <is>
          <t>09/05</t>
        </is>
      </c>
      <c r="C41" s="25" t="n">
        <v>5579</v>
      </c>
      <c r="D41" s="26" t="n">
        <v>2.62</v>
      </c>
      <c r="E41" s="27" t="n">
        <v>2.556</v>
      </c>
      <c r="F41" s="28">
        <f>(1-ABS(D41-E41)/D41)*100</f>
        <v/>
      </c>
      <c r="G41" s="27" t="n">
        <v>0.169</v>
      </c>
      <c r="H41" s="27" t="n">
        <v>0.165</v>
      </c>
      <c r="I41" s="28">
        <f>(1-ABS(G41-H41)/G41)*100</f>
        <v/>
      </c>
      <c r="J41" s="26" t="n">
        <v>0.95</v>
      </c>
      <c r="K41" s="27" t="n">
        <v>1.051</v>
      </c>
      <c r="L41" s="28">
        <f>(1-ABS(J41-K41)/J41)*100</f>
        <v/>
      </c>
      <c r="M41" s="26" t="n">
        <v>0.3</v>
      </c>
      <c r="N41" s="27" t="n">
        <v>0.269</v>
      </c>
      <c r="O41" s="28">
        <f>(1-ABS(M41-N41)/M41)*100</f>
        <v/>
      </c>
      <c r="P41" s="29" t="n">
        <v>0.43</v>
      </c>
      <c r="Q41" s="30" t="n">
        <v>0.641</v>
      </c>
      <c r="R41" s="28">
        <f>(1-ABS(P41-Q41)/P41)*100</f>
        <v/>
      </c>
      <c r="S41" s="31" t="n">
        <v>17</v>
      </c>
      <c r="T41" s="29" t="n">
        <v>14.34</v>
      </c>
      <c r="U41" s="28">
        <f>(1-ABS(S41-T41)/S41)*100</f>
        <v/>
      </c>
    </row>
    <row r="42">
      <c r="B42" s="24" t="inlineStr">
        <is>
          <t>09/07</t>
        </is>
      </c>
      <c r="C42" s="25" t="n">
        <v>3660</v>
      </c>
      <c r="D42" s="26" t="n">
        <v>2.54</v>
      </c>
      <c r="E42" s="27" t="n">
        <v>2.555</v>
      </c>
      <c r="F42" s="28">
        <f>(1-ABS(D42-E42)/D42)*100</f>
        <v/>
      </c>
      <c r="G42" s="27" t="n">
        <v>0.16</v>
      </c>
      <c r="H42" s="27" t="n">
        <v>0.166</v>
      </c>
      <c r="I42" s="28">
        <f>(1-ABS(G42-H42)/G42)*100</f>
        <v/>
      </c>
      <c r="J42" s="26" t="n">
        <v>1.01</v>
      </c>
      <c r="K42" s="27" t="n">
        <v>1.054</v>
      </c>
      <c r="L42" s="28">
        <f>(1-ABS(J42-K42)/J42)*100</f>
        <v/>
      </c>
      <c r="M42" s="26" t="n">
        <v>0.26</v>
      </c>
      <c r="N42" s="27" t="n">
        <v>0.277</v>
      </c>
      <c r="O42" s="28">
        <f>(1-ABS(M42-N42)/M42)*100</f>
        <v/>
      </c>
      <c r="P42" s="29" t="n">
        <v>0.44</v>
      </c>
      <c r="Q42" s="30" t="n">
        <v>0.648</v>
      </c>
      <c r="R42" s="28">
        <f>(1-ABS(P42-Q42)/P42)*100</f>
        <v/>
      </c>
      <c r="S42" s="31" t="n">
        <v>15</v>
      </c>
      <c r="T42" s="29" t="n">
        <v>14.42</v>
      </c>
      <c r="U42" s="28">
        <f>(1-ABS(S42-T42)/S42)*100</f>
        <v/>
      </c>
    </row>
    <row r="43">
      <c r="B43" s="24" t="inlineStr">
        <is>
          <t>09/11</t>
        </is>
      </c>
      <c r="C43" s="25" t="n">
        <v>3434</v>
      </c>
      <c r="D43" s="26" t="n">
        <v>2.52</v>
      </c>
      <c r="E43" s="27" t="n">
        <v>2.551</v>
      </c>
      <c r="F43" s="28">
        <f>(1-ABS(D43-E43)/D43)*100</f>
        <v/>
      </c>
      <c r="G43" s="27" t="n">
        <v>0.167</v>
      </c>
      <c r="H43" s="27" t="n">
        <v>0.165</v>
      </c>
      <c r="I43" s="28">
        <f>(1-ABS(G43-H43)/G43)*100</f>
        <v/>
      </c>
      <c r="J43" s="26" t="n">
        <v>0.97</v>
      </c>
      <c r="K43" s="27" t="n">
        <v>1.058</v>
      </c>
      <c r="L43" s="28">
        <f>(1-ABS(J43-K43)/J43)*100</f>
        <v/>
      </c>
      <c r="M43" s="26" t="n">
        <v>0.29</v>
      </c>
      <c r="N43" s="27" t="n">
        <v>0.263</v>
      </c>
      <c r="O43" s="28">
        <f>(1-ABS(M43-N43)/M43)*100</f>
        <v/>
      </c>
      <c r="P43" s="29" t="n">
        <v>0.48</v>
      </c>
      <c r="Q43" s="30" t="n">
        <v>0.638</v>
      </c>
      <c r="R43" s="28">
        <f>(1-ABS(P43-Q43)/P43)*100</f>
        <v/>
      </c>
      <c r="S43" s="31" t="n">
        <v>16</v>
      </c>
      <c r="T43" s="29" t="n">
        <v>14.35</v>
      </c>
      <c r="U43" s="28">
        <f>(1-ABS(S43-T43)/S43)*100</f>
        <v/>
      </c>
    </row>
    <row r="44">
      <c r="B44" s="24" t="inlineStr">
        <is>
          <t>09/40</t>
        </is>
      </c>
      <c r="C44" s="25" t="n">
        <v>5085</v>
      </c>
      <c r="D44" s="26" t="n">
        <v>2.67</v>
      </c>
      <c r="E44" s="27" t="n">
        <v>2.51</v>
      </c>
      <c r="F44" s="28">
        <f>(1-ABS(D44-E44)/D44)*100</f>
        <v/>
      </c>
      <c r="G44" s="27" t="n">
        <v>0.168</v>
      </c>
      <c r="H44" s="27" t="n">
        <v>0.163</v>
      </c>
      <c r="I44" s="28">
        <f>(1-ABS(G44-H44)/G44)*100</f>
        <v/>
      </c>
      <c r="J44" s="26" t="n">
        <v>0.92</v>
      </c>
      <c r="K44" s="27" t="n">
        <v>1.017</v>
      </c>
      <c r="L44" s="28">
        <f>(1-ABS(J44-K44)/J44)*100</f>
        <v/>
      </c>
      <c r="M44" s="26" t="n">
        <v>0.29</v>
      </c>
      <c r="N44" s="27" t="n">
        <v>0.27</v>
      </c>
      <c r="O44" s="28">
        <f>(1-ABS(M44-N44)/M44)*100</f>
        <v/>
      </c>
      <c r="P44" s="29" t="n">
        <v>0.4</v>
      </c>
      <c r="Q44" s="30" t="n">
        <v>0.643</v>
      </c>
      <c r="R44" s="28">
        <f>(1-ABS(P44-Q44)/P44)*100</f>
        <v/>
      </c>
      <c r="S44" s="31" t="n">
        <v>17</v>
      </c>
      <c r="T44" s="29" t="n">
        <v>13.88</v>
      </c>
      <c r="U44" s="28">
        <f>(1-ABS(S44-T44)/S44)*100</f>
        <v/>
      </c>
    </row>
    <row r="45">
      <c r="B45" s="24" t="inlineStr">
        <is>
          <t>09/44</t>
        </is>
      </c>
      <c r="C45" s="25" t="n">
        <v>5297</v>
      </c>
      <c r="D45" s="26" t="n">
        <v>2.57</v>
      </c>
      <c r="E45" s="27" t="n">
        <v>2.515</v>
      </c>
      <c r="F45" s="28">
        <f>(1-ABS(D45-E45)/D45)*100</f>
        <v/>
      </c>
      <c r="G45" s="27" t="n">
        <v>0.173</v>
      </c>
      <c r="H45" s="27" t="n">
        <v>0.161</v>
      </c>
      <c r="I45" s="28">
        <f>(1-ABS(G45-H45)/G45)*100</f>
        <v/>
      </c>
      <c r="J45" s="26" t="n">
        <v>1.02</v>
      </c>
      <c r="K45" s="27" t="n">
        <v>1.038</v>
      </c>
      <c r="L45" s="28">
        <f>(1-ABS(J45-K45)/J45)*100</f>
        <v/>
      </c>
      <c r="M45" s="26" t="n">
        <v>0.25</v>
      </c>
      <c r="N45" s="27" t="n">
        <v>0.263</v>
      </c>
      <c r="O45" s="28">
        <f>(1-ABS(M45-N45)/M45)*100</f>
        <v/>
      </c>
      <c r="P45" s="29" t="n">
        <v>0.43</v>
      </c>
      <c r="Q45" s="30" t="n">
        <v>0.633</v>
      </c>
      <c r="R45" s="28">
        <f>(1-ABS(P45-Q45)/P45)*100</f>
        <v/>
      </c>
      <c r="S45" s="31" t="n">
        <v>16</v>
      </c>
      <c r="T45" s="29" t="n">
        <v>13.9</v>
      </c>
      <c r="U45" s="28">
        <f>(1-ABS(S45-T45)/S45)*100</f>
        <v/>
      </c>
    </row>
    <row r="46">
      <c r="B46" s="24" t="inlineStr">
        <is>
          <t>09/45A</t>
        </is>
      </c>
      <c r="C46" s="25" t="n">
        <v>7937</v>
      </c>
      <c r="D46" s="26" t="n">
        <v>2.61</v>
      </c>
      <c r="E46" s="27" t="n">
        <v>2.543</v>
      </c>
      <c r="F46" s="28">
        <f>(1-ABS(D46-E46)/D46)*100</f>
        <v/>
      </c>
      <c r="G46" s="27" t="n">
        <v>0.154</v>
      </c>
      <c r="H46" s="27" t="n">
        <v>0.164</v>
      </c>
      <c r="I46" s="28">
        <f>(1-ABS(G46-H46)/G46)*100</f>
        <v/>
      </c>
      <c r="J46" s="26" t="n">
        <v>1.07</v>
      </c>
      <c r="K46" s="27" t="n">
        <v>1.055</v>
      </c>
      <c r="L46" s="28">
        <f>(1-ABS(J46-K46)/J46)*100</f>
        <v/>
      </c>
      <c r="M46" s="26" t="n">
        <v>0.22</v>
      </c>
      <c r="N46" s="27" t="n">
        <v>0.266</v>
      </c>
      <c r="O46" s="28">
        <f>(1-ABS(M46-N46)/M46)*100</f>
        <v/>
      </c>
      <c r="P46" s="29" t="n">
        <v>0.46</v>
      </c>
      <c r="Q46" s="30" t="n">
        <v>0.643</v>
      </c>
      <c r="R46" s="28">
        <f>(1-ABS(P46-Q46)/P46)*100</f>
        <v/>
      </c>
      <c r="S46" s="31" t="n">
        <v>14</v>
      </c>
      <c r="T46" s="29" t="n">
        <v>14.12</v>
      </c>
      <c r="U46" s="28">
        <f>(1-ABS(S46-T46)/S46)*100</f>
        <v/>
      </c>
    </row>
    <row r="47">
      <c r="B47" s="24" t="inlineStr">
        <is>
          <t>09/46A</t>
        </is>
      </c>
      <c r="C47" s="25" t="n">
        <v>8143</v>
      </c>
      <c r="D47" s="26" t="n">
        <v>2.63</v>
      </c>
      <c r="E47" s="27" t="n">
        <v>2.53</v>
      </c>
      <c r="F47" s="28">
        <f>(1-ABS(D47-E47)/D47)*100</f>
        <v/>
      </c>
      <c r="G47" s="27" t="n">
        <v>0.157</v>
      </c>
      <c r="H47" s="27" t="n">
        <v>0.164</v>
      </c>
      <c r="I47" s="28">
        <f>(1-ABS(G47-H47)/G47)*100</f>
        <v/>
      </c>
      <c r="J47" s="26" t="n">
        <v>1.15</v>
      </c>
      <c r="K47" s="27" t="n">
        <v>1.037</v>
      </c>
      <c r="L47" s="28">
        <f>(1-ABS(J47-K47)/J47)*100</f>
        <v/>
      </c>
      <c r="M47" s="26" t="n">
        <v>0.2</v>
      </c>
      <c r="N47" s="27" t="n">
        <v>0.265</v>
      </c>
      <c r="O47" s="28">
        <f>(1-ABS(M47-N47)/M47)*100</f>
        <v/>
      </c>
      <c r="P47" s="29" t="n">
        <v>0.47</v>
      </c>
      <c r="Q47" s="30" t="n">
        <v>0.645</v>
      </c>
      <c r="R47" s="28">
        <f>(1-ABS(P47-Q47)/P47)*100</f>
        <v/>
      </c>
      <c r="S47" s="31" t="n">
        <v>14</v>
      </c>
      <c r="T47" s="29" t="n">
        <v>13.98</v>
      </c>
      <c r="U47" s="28">
        <f>(1-ABS(S47-T47)/S47)*100</f>
        <v/>
      </c>
    </row>
    <row r="48">
      <c r="B48" s="24" t="inlineStr">
        <is>
          <t>09/47</t>
        </is>
      </c>
      <c r="C48" s="25" t="n">
        <v>7835</v>
      </c>
      <c r="D48" s="26" t="n">
        <v>2.61</v>
      </c>
      <c r="E48" s="27" t="n">
        <v>2.543</v>
      </c>
      <c r="F48" s="28">
        <f>(1-ABS(D48-E48)/D48)*100</f>
        <v/>
      </c>
      <c r="G48" s="27" t="n">
        <v>0.17</v>
      </c>
      <c r="H48" s="27" t="n">
        <v>0.164</v>
      </c>
      <c r="I48" s="28">
        <f>(1-ABS(G48-H48)/G48)*100</f>
        <v/>
      </c>
      <c r="J48" s="26" t="n">
        <v>1.02</v>
      </c>
      <c r="K48" s="27" t="n">
        <v>1.048</v>
      </c>
      <c r="L48" s="28">
        <f>(1-ABS(J48-K48)/J48)*100</f>
        <v/>
      </c>
      <c r="M48" s="26" t="n">
        <v>0.29</v>
      </c>
      <c r="N48" s="27" t="n">
        <v>0.259</v>
      </c>
      <c r="O48" s="28">
        <f>(1-ABS(M48-N48)/M48)*100</f>
        <v/>
      </c>
      <c r="P48" s="29" t="n">
        <v>0.45</v>
      </c>
      <c r="Q48" s="30" t="n">
        <v>0.642</v>
      </c>
      <c r="R48" s="28">
        <f>(1-ABS(P48-Q48)/P48)*100</f>
        <v/>
      </c>
      <c r="S48" s="31" t="n">
        <v>15</v>
      </c>
      <c r="T48" s="29" t="n">
        <v>14.41</v>
      </c>
      <c r="U48" s="28">
        <f>(1-ABS(S48-T48)/S48)*100</f>
        <v/>
      </c>
    </row>
    <row r="49">
      <c r="B49" s="24" t="inlineStr">
        <is>
          <t>09/48</t>
        </is>
      </c>
      <c r="C49" s="25" t="n">
        <v>5827</v>
      </c>
      <c r="D49" s="26" t="n">
        <v>2.53</v>
      </c>
      <c r="E49" s="27" t="n">
        <v>2.502</v>
      </c>
      <c r="F49" s="28">
        <f>(1-ABS(D49-E49)/D49)*100</f>
        <v/>
      </c>
      <c r="G49" s="27" t="n">
        <v>0.174</v>
      </c>
      <c r="H49" s="27" t="n">
        <v>0.161</v>
      </c>
      <c r="I49" s="28">
        <f>(1-ABS(G49-H49)/G49)*100</f>
        <v/>
      </c>
      <c r="J49" s="26" t="n">
        <v>0.99</v>
      </c>
      <c r="K49" s="27" t="n">
        <v>1.016</v>
      </c>
      <c r="L49" s="28">
        <f>(1-ABS(J49-K49)/J49)*100</f>
        <v/>
      </c>
      <c r="M49" s="26" t="n">
        <v>0.28</v>
      </c>
      <c r="N49" s="27" t="n">
        <v>0.26</v>
      </c>
      <c r="O49" s="28">
        <f>(1-ABS(M49-N49)/M49)*100</f>
        <v/>
      </c>
      <c r="P49" s="29" t="n">
        <v>0.44</v>
      </c>
      <c r="Q49" s="30" t="n">
        <v>0.636</v>
      </c>
      <c r="R49" s="28">
        <f>(1-ABS(P49-Q49)/P49)*100</f>
        <v/>
      </c>
      <c r="S49" s="31" t="n">
        <v>15</v>
      </c>
      <c r="T49" s="29" t="n">
        <v>13.91</v>
      </c>
      <c r="U49" s="28">
        <f>(1-ABS(S49-T49)/S49)*100</f>
        <v/>
      </c>
    </row>
    <row r="50">
      <c r="B50" s="24" t="inlineStr">
        <is>
          <t>09/49</t>
        </is>
      </c>
      <c r="C50" s="25" t="n">
        <v>6039</v>
      </c>
      <c r="D50" s="26" t="n">
        <v>2.56</v>
      </c>
      <c r="E50" s="27" t="n">
        <v>2.553</v>
      </c>
      <c r="F50" s="28">
        <f>(1-ABS(D50-E50)/D50)*100</f>
        <v/>
      </c>
      <c r="G50" s="27" t="n">
        <v>0.174</v>
      </c>
      <c r="H50" s="27" t="n">
        <v>0.165</v>
      </c>
      <c r="I50" s="28">
        <f>(1-ABS(G50-H50)/G50)*100</f>
        <v/>
      </c>
      <c r="J50" s="26" t="n">
        <v>0.99</v>
      </c>
      <c r="K50" s="27" t="n">
        <v>1.052</v>
      </c>
      <c r="L50" s="28">
        <f>(1-ABS(J50-K50)/J50)*100</f>
        <v/>
      </c>
      <c r="M50" s="26" t="n">
        <v>0.29</v>
      </c>
      <c r="N50" s="27" t="n">
        <v>0.257</v>
      </c>
      <c r="O50" s="28">
        <f>(1-ABS(M50-N50)/M50)*100</f>
        <v/>
      </c>
      <c r="P50" s="29" t="n">
        <v>0.43</v>
      </c>
      <c r="Q50" s="30" t="n">
        <v>0.643</v>
      </c>
      <c r="R50" s="28">
        <f>(1-ABS(P50-Q50)/P50)*100</f>
        <v/>
      </c>
      <c r="S50" s="31" t="n">
        <v>16</v>
      </c>
      <c r="T50" s="29" t="n">
        <v>14.22</v>
      </c>
      <c r="U50" s="28">
        <f>(1-ABS(S50-T50)/S50)*100</f>
        <v/>
      </c>
    </row>
    <row r="51" ht="35" customHeight="1">
      <c r="A51" s="33" t="inlineStr">
        <is>
          <t>AVG ACCURACY</t>
        </is>
      </c>
      <c r="F51" s="34">
        <f>AVERAGE(F7:F50)</f>
        <v/>
      </c>
      <c r="I51" s="34">
        <f>AVERAGE(I7:I50)</f>
        <v/>
      </c>
      <c r="L51" s="34">
        <f>AVERAGE(L7:L50)</f>
        <v/>
      </c>
      <c r="O51" s="34">
        <f>AVERAGE(O7:O50)</f>
        <v/>
      </c>
      <c r="R51" s="35">
        <f>AVERAGE(R7:R50)</f>
        <v/>
      </c>
      <c r="U51" s="34">
        <f>AVERAGE(U7:U50)</f>
        <v/>
      </c>
    </row>
    <row r="52" ht="40" customHeight="1">
      <c r="A52" s="36" t="inlineStr">
        <is>
          <t>Best result closer to 0</t>
        </is>
      </c>
      <c r="B52" s="24" t="inlineStr">
        <is>
          <t>R^2 (Coefficient of determination)</t>
        </is>
      </c>
      <c r="C52" s="37" t="n"/>
      <c r="D52" s="38">
        <f>RSQ(E7:E50, D7:D50)</f>
        <v/>
      </c>
      <c r="E52" s="39" t="n"/>
      <c r="F52" s="37" t="n"/>
      <c r="G52" s="38">
        <f>RSQ(H7:H50, G7:G50)</f>
        <v/>
      </c>
      <c r="H52" s="39" t="n"/>
      <c r="I52" s="37" t="n"/>
      <c r="J52" s="38">
        <f>RSQ(K7:K50, J7:J50)</f>
        <v/>
      </c>
      <c r="K52" s="39" t="n"/>
      <c r="L52" s="37" t="n"/>
      <c r="M52" s="38">
        <f>RSQ(N7:N50, M7:M50)</f>
        <v/>
      </c>
      <c r="N52" s="39" t="n"/>
      <c r="O52" s="37" t="n"/>
      <c r="P52" s="40">
        <f>RSQ(Q7:Q50, P7:P50)</f>
        <v/>
      </c>
      <c r="Q52" s="39" t="n"/>
      <c r="R52" s="37" t="n"/>
      <c r="S52" s="40">
        <f>RSQ(T7:T50, S7:S50)</f>
        <v/>
      </c>
      <c r="T52" s="39" t="n"/>
      <c r="U52" s="37" t="n"/>
    </row>
    <row r="53" ht="39" customHeight="1">
      <c r="A53" s="36" t="inlineStr">
        <is>
          <t>Best result closer to 1</t>
        </is>
      </c>
      <c r="B53" s="24" t="inlineStr">
        <is>
          <t>MAE (Average size of prediction errors)</t>
        </is>
      </c>
      <c r="C53" s="37" t="n"/>
      <c r="D53" s="38">
        <f>SUMPRODUCT(ABS(D7:D50-E7:E50))/COUNT(D7:D50)</f>
        <v/>
      </c>
      <c r="E53" s="39" t="n"/>
      <c r="F53" s="37" t="n"/>
      <c r="G53" s="38">
        <f>SUMPRODUCT(ABS(G7:G50-H7:H50))/COUNT(G7:G50)</f>
        <v/>
      </c>
      <c r="H53" s="39" t="n"/>
      <c r="I53" s="37" t="n"/>
      <c r="J53" s="38">
        <f>SUMPRODUCT(ABS(J7:J50-K7:K50))/COUNT(J7:J50)</f>
        <v/>
      </c>
      <c r="K53" s="39" t="n"/>
      <c r="L53" s="37" t="n"/>
      <c r="M53" s="38">
        <f>SUMPRODUCT(ABS(M7:M50-N7:N50))/COUNT(M7:M50)</f>
        <v/>
      </c>
      <c r="N53" s="39" t="n"/>
      <c r="O53" s="37" t="n"/>
      <c r="P53" s="40">
        <f>SUMPRODUCT(ABS(P7:P50-Q7:Q50))/COUNT(P7:P50)</f>
        <v/>
      </c>
      <c r="Q53" s="39" t="n"/>
      <c r="R53" s="37" t="n"/>
      <c r="S53" s="40">
        <f>SUMPRODUCT(ABS(S7:S50-T7:T50))/COUNT(S7:S50)</f>
        <v/>
      </c>
      <c r="T53" s="39" t="n"/>
      <c r="U53" s="37" t="n"/>
    </row>
    <row r="54" ht="66" customHeight="1">
      <c r="A54" s="36" t="inlineStr">
        <is>
          <t>Best result closer to 1</t>
        </is>
      </c>
      <c r="B54" s="24" t="inlineStr">
        <is>
          <t>RMSE (Prediction error, with larger mistakes penalised more)</t>
        </is>
      </c>
      <c r="C54" s="37" t="n"/>
      <c r="D54" s="38">
        <f>SQRT(SUMXMY2(D7:D50, E7:E50)/COUNT(D7:D50))</f>
        <v/>
      </c>
      <c r="E54" s="39" t="n"/>
      <c r="F54" s="37" t="n"/>
      <c r="G54" s="38">
        <f>SQRT(SUMXMY2(G7:G50, H7:H50)/COUNT(G7:G50))</f>
        <v/>
      </c>
      <c r="H54" s="39" t="n"/>
      <c r="I54" s="37" t="n"/>
      <c r="J54" s="38">
        <f>SQRT(SUMXMY2(J7:J50, K7:K50)/COUNT(J7:J50))</f>
        <v/>
      </c>
      <c r="K54" s="39" t="n"/>
      <c r="L54" s="37" t="n"/>
      <c r="M54" s="38">
        <f>SQRT(SUMXMY2(M7:M50, N7:N50)/COUNT(M7:M50))</f>
        <v/>
      </c>
      <c r="N54" s="39" t="n"/>
      <c r="O54" s="37" t="n"/>
      <c r="P54" s="40">
        <f>SQRT(SUMXMY2(P7:P50, Q7:Q50)/COUNT(P7:P50))</f>
        <v/>
      </c>
      <c r="Q54" s="39" t="n"/>
      <c r="R54" s="37" t="n"/>
      <c r="S54" s="40">
        <f>SQRT(SUMXMY2(S7:S50, T7:T50)/COUNT(S7:S50))</f>
        <v/>
      </c>
      <c r="T54" s="39" t="n"/>
      <c r="U54" s="37" t="n"/>
    </row>
  </sheetData>
  <mergeCells count="31">
    <mergeCell ref="P52:R52"/>
    <mergeCell ref="B54:C54"/>
    <mergeCell ref="B4:O4"/>
    <mergeCell ref="M54:O54"/>
    <mergeCell ref="G53:I53"/>
    <mergeCell ref="D53:F53"/>
    <mergeCell ref="B52:C52"/>
    <mergeCell ref="J54:L54"/>
    <mergeCell ref="S53:U53"/>
    <mergeCell ref="G5:I5"/>
    <mergeCell ref="P53:R53"/>
    <mergeCell ref="B53:C53"/>
    <mergeCell ref="G54:I54"/>
    <mergeCell ref="S5:U5"/>
    <mergeCell ref="S54:U54"/>
    <mergeCell ref="D5:F5"/>
    <mergeCell ref="P5:R5"/>
    <mergeCell ref="J52:L52"/>
    <mergeCell ref="D54:F54"/>
    <mergeCell ref="M53:O53"/>
    <mergeCell ref="P54:R54"/>
    <mergeCell ref="G52:I52"/>
    <mergeCell ref="B5:B6"/>
    <mergeCell ref="P4:U4"/>
    <mergeCell ref="J5:L5"/>
    <mergeCell ref="M52:O52"/>
    <mergeCell ref="M5:O5"/>
    <mergeCell ref="S52:U52"/>
    <mergeCell ref="C5:C6"/>
    <mergeCell ref="D52:F52"/>
    <mergeCell ref="J53:L53"/>
  </mergeCells>
  <conditionalFormatting sqref="F7:F50 I7:I50 L7:L50 O7:O50 R7:R50 U7:U50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8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05/A</t>
        </is>
      </c>
      <c r="C7" s="25" t="n">
        <v>6755</v>
      </c>
      <c r="D7" s="26" t="n">
        <v>2.51</v>
      </c>
      <c r="E7" s="27" t="n">
        <v>2.529</v>
      </c>
      <c r="F7" s="28">
        <f>(1-ABS(D7-E7)/D7)*100</f>
        <v/>
      </c>
      <c r="G7" s="27" t="n">
        <v>0.156</v>
      </c>
      <c r="H7" s="27" t="n">
        <v>0.163</v>
      </c>
      <c r="I7" s="28">
        <f>(1-ABS(G7-H7)/G7)*100</f>
        <v/>
      </c>
      <c r="J7" s="26" t="n">
        <v>0.83</v>
      </c>
      <c r="K7" s="27" t="n">
        <v>1.028</v>
      </c>
      <c r="L7" s="28">
        <f>(1-ABS(J7-K7)/J7)*100</f>
        <v/>
      </c>
      <c r="M7" s="26" t="n">
        <v>0.29</v>
      </c>
      <c r="N7" s="27" t="n">
        <v>0.252</v>
      </c>
      <c r="O7" s="28">
        <f>(1-ABS(M7-N7)/M7)*100</f>
        <v/>
      </c>
      <c r="P7" s="29" t="n">
        <v>0.41</v>
      </c>
      <c r="Q7" s="30" t="n">
        <v>0.645</v>
      </c>
      <c r="R7" s="28">
        <f>(1-ABS(P7-Q7)/P7)*100</f>
        <v/>
      </c>
      <c r="S7" s="31" t="n">
        <v>15</v>
      </c>
      <c r="T7" s="29" t="n">
        <v>14.15</v>
      </c>
      <c r="U7" s="28">
        <f>(1-ABS(S7-T7)/S7)*100</f>
        <v/>
      </c>
    </row>
    <row r="8">
      <c r="B8" s="24" t="inlineStr">
        <is>
          <t>05/B</t>
        </is>
      </c>
      <c r="C8" s="25" t="n">
        <v>7325</v>
      </c>
      <c r="D8" s="26" t="n">
        <v>2.54</v>
      </c>
      <c r="E8" s="27" t="n">
        <v>2.537</v>
      </c>
      <c r="F8" s="28">
        <f>(1-ABS(D8-E8)/D8)*100</f>
        <v/>
      </c>
      <c r="G8" s="27" t="n">
        <v>0.156</v>
      </c>
      <c r="H8" s="27" t="n">
        <v>0.163</v>
      </c>
      <c r="I8" s="28">
        <f>(1-ABS(G8-H8)/G8)*100</f>
        <v/>
      </c>
      <c r="J8" s="26" t="n">
        <v>0.86</v>
      </c>
      <c r="K8" s="27" t="n">
        <v>1.034</v>
      </c>
      <c r="L8" s="28">
        <f>(1-ABS(J8-K8)/J8)*100</f>
        <v/>
      </c>
      <c r="M8" s="26" t="n">
        <v>0.23</v>
      </c>
      <c r="N8" s="27" t="n">
        <v>0.256</v>
      </c>
      <c r="O8" s="28">
        <f>(1-ABS(M8-N8)/M8)*100</f>
        <v/>
      </c>
      <c r="P8" s="29" t="n">
        <v>0.41</v>
      </c>
      <c r="Q8" s="30" t="n">
        <v>0.642</v>
      </c>
      <c r="R8" s="28">
        <f>(1-ABS(P8-Q8)/P8)*100</f>
        <v/>
      </c>
      <c r="S8" s="31" t="n">
        <v>14</v>
      </c>
      <c r="T8" s="29" t="n">
        <v>14.06</v>
      </c>
      <c r="U8" s="28">
        <f>(1-ABS(S8-T8)/S8)*100</f>
        <v/>
      </c>
    </row>
    <row r="9">
      <c r="B9" s="24" t="inlineStr">
        <is>
          <t>05/C</t>
        </is>
      </c>
      <c r="C9" s="25" t="n">
        <v>4857</v>
      </c>
      <c r="D9" s="26" t="n">
        <v>2.57</v>
      </c>
      <c r="E9" s="27" t="n">
        <v>2.535</v>
      </c>
      <c r="F9" s="28">
        <f>(1-ABS(D9-E9)/D9)*100</f>
        <v/>
      </c>
      <c r="G9" s="27" t="n">
        <v>0.145</v>
      </c>
      <c r="H9" s="27" t="n">
        <v>0.163</v>
      </c>
      <c r="I9" s="28">
        <f>(1-ABS(G9-H9)/G9)*100</f>
        <v/>
      </c>
      <c r="J9" s="26" t="n">
        <v>0.86</v>
      </c>
      <c r="K9" s="27" t="n">
        <v>1.042</v>
      </c>
      <c r="L9" s="28">
        <f>(1-ABS(J9-K9)/J9)*100</f>
        <v/>
      </c>
      <c r="M9" s="26" t="n">
        <v>0.24</v>
      </c>
      <c r="N9" s="27" t="n">
        <v>0.247</v>
      </c>
      <c r="O9" s="28">
        <f>(1-ABS(M9-N9)/M9)*100</f>
        <v/>
      </c>
      <c r="P9" s="29" t="n">
        <v>0.4</v>
      </c>
      <c r="Q9" s="30" t="n">
        <v>0.639</v>
      </c>
      <c r="R9" s="28">
        <f>(1-ABS(P9-Q9)/P9)*100</f>
        <v/>
      </c>
      <c r="S9" s="31" t="n">
        <v>13</v>
      </c>
      <c r="T9" s="29" t="n">
        <v>14.12</v>
      </c>
      <c r="U9" s="28">
        <f>(1-ABS(S9-T9)/S9)*100</f>
        <v/>
      </c>
    </row>
    <row r="10">
      <c r="B10" s="24" t="inlineStr">
        <is>
          <t>05/D</t>
        </is>
      </c>
      <c r="C10" s="25" t="n">
        <v>5938</v>
      </c>
      <c r="D10" s="26" t="n">
        <v>2.53</v>
      </c>
      <c r="E10" s="27" t="n">
        <v>2.532</v>
      </c>
      <c r="F10" s="28">
        <f>(1-ABS(D10-E10)/D10)*100</f>
        <v/>
      </c>
      <c r="G10" s="27" t="n">
        <v>0.153</v>
      </c>
      <c r="H10" s="27" t="n">
        <v>0.165</v>
      </c>
      <c r="I10" s="28">
        <f>(1-ABS(G10-H10)/G10)*100</f>
        <v/>
      </c>
      <c r="J10" s="26" t="n">
        <v>0.89</v>
      </c>
      <c r="K10" s="27" t="n">
        <v>1.026</v>
      </c>
      <c r="L10" s="28">
        <f>(1-ABS(J10-K10)/J10)*100</f>
        <v/>
      </c>
      <c r="M10" s="26" t="n">
        <v>0.28</v>
      </c>
      <c r="N10" s="27" t="n">
        <v>0.261</v>
      </c>
      <c r="O10" s="28">
        <f>(1-ABS(M10-N10)/M10)*100</f>
        <v/>
      </c>
      <c r="P10" s="29" t="n">
        <v>0.44</v>
      </c>
      <c r="Q10" s="30" t="n">
        <v>0.65</v>
      </c>
      <c r="R10" s="28">
        <f>(1-ABS(P10-Q10)/P10)*100</f>
        <v/>
      </c>
      <c r="S10" s="31" t="n">
        <v>14</v>
      </c>
      <c r="T10" s="29" t="n">
        <v>14.22</v>
      </c>
      <c r="U10" s="28">
        <f>(1-ABS(S10-T10)/S10)*100</f>
        <v/>
      </c>
    </row>
    <row r="11">
      <c r="B11" s="24" t="inlineStr">
        <is>
          <t>05/E</t>
        </is>
      </c>
      <c r="C11" s="25" t="n">
        <v>7034</v>
      </c>
      <c r="D11" s="26" t="n">
        <v>2.61</v>
      </c>
      <c r="E11" s="27" t="n">
        <v>2.524</v>
      </c>
      <c r="F11" s="28">
        <f>(1-ABS(D11-E11)/D11)*100</f>
        <v/>
      </c>
      <c r="G11" s="27" t="n">
        <v>0.151</v>
      </c>
      <c r="H11" s="27" t="n">
        <v>0.163</v>
      </c>
      <c r="I11" s="28">
        <f>(1-ABS(G11-H11)/G11)*100</f>
        <v/>
      </c>
      <c r="J11" s="26" t="n">
        <v>0.9</v>
      </c>
      <c r="K11" s="27" t="n">
        <v>1.016</v>
      </c>
      <c r="L11" s="28">
        <f>(1-ABS(J11-K11)/J11)*100</f>
        <v/>
      </c>
      <c r="M11" s="26" t="n">
        <v>0.26</v>
      </c>
      <c r="N11" s="27" t="n">
        <v>0.266</v>
      </c>
      <c r="O11" s="28">
        <f>(1-ABS(M11-N11)/M11)*100</f>
        <v/>
      </c>
      <c r="P11" s="29" t="n">
        <v>0.43</v>
      </c>
      <c r="Q11" s="30" t="n">
        <v>0.647</v>
      </c>
      <c r="R11" s="28">
        <f>(1-ABS(P11-Q11)/P11)*100</f>
        <v/>
      </c>
      <c r="S11" s="31" t="n">
        <v>17</v>
      </c>
      <c r="T11" s="29" t="n">
        <v>13.64</v>
      </c>
      <c r="U11" s="28">
        <f>(1-ABS(S11-T11)/S11)*100</f>
        <v/>
      </c>
    </row>
    <row r="12">
      <c r="B12" s="24" t="inlineStr">
        <is>
          <t>06/A</t>
        </is>
      </c>
      <c r="C12" s="25" t="n">
        <v>4612</v>
      </c>
      <c r="D12" s="26" t="n">
        <v>2.64</v>
      </c>
      <c r="E12" s="27" t="n">
        <v>2.521</v>
      </c>
      <c r="F12" s="28">
        <f>(1-ABS(D12-E12)/D12)*100</f>
        <v/>
      </c>
      <c r="G12" s="27" t="n">
        <v>0.147</v>
      </c>
      <c r="H12" s="27" t="n">
        <v>0.163</v>
      </c>
      <c r="I12" s="28">
        <f>(1-ABS(G12-H12)/G12)*100</f>
        <v/>
      </c>
      <c r="J12" s="26" t="n">
        <v>0.87</v>
      </c>
      <c r="K12" s="27" t="n">
        <v>1.009</v>
      </c>
      <c r="L12" s="28">
        <f>(1-ABS(J12-K12)/J12)*100</f>
        <v/>
      </c>
      <c r="M12" s="26" t="n">
        <v>0.26</v>
      </c>
      <c r="N12" s="27" t="n">
        <v>0.269</v>
      </c>
      <c r="O12" s="28">
        <f>(1-ABS(M12-N12)/M12)*100</f>
        <v/>
      </c>
      <c r="P12" s="29" t="n">
        <v>0.43</v>
      </c>
      <c r="Q12" s="30" t="n">
        <v>0.655</v>
      </c>
      <c r="R12" s="28">
        <f>(1-ABS(P12-Q12)/P12)*100</f>
        <v/>
      </c>
      <c r="S12" s="31" t="n">
        <v>15</v>
      </c>
      <c r="T12" s="29" t="n">
        <v>13.41</v>
      </c>
      <c r="U12" s="28">
        <f>(1-ABS(S12-T12)/S12)*100</f>
        <v/>
      </c>
    </row>
    <row r="13">
      <c r="B13" s="24" t="inlineStr">
        <is>
          <t>06/B</t>
        </is>
      </c>
      <c r="C13" s="25" t="n">
        <v>4855</v>
      </c>
      <c r="D13" s="26" t="n">
        <v>2.6</v>
      </c>
      <c r="E13" s="27" t="n">
        <v>2.508</v>
      </c>
      <c r="F13" s="28">
        <f>(1-ABS(D13-E13)/D13)*100</f>
        <v/>
      </c>
      <c r="G13" s="27" t="n">
        <v>0.148</v>
      </c>
      <c r="H13" s="27" t="n">
        <v>0.161</v>
      </c>
      <c r="I13" s="28">
        <f>(1-ABS(G13-H13)/G13)*100</f>
        <v/>
      </c>
      <c r="J13" s="26" t="n">
        <v>0.98</v>
      </c>
      <c r="K13" s="27" t="n">
        <v>1.014</v>
      </c>
      <c r="L13" s="28">
        <f>(1-ABS(J13-K13)/J13)*100</f>
        <v/>
      </c>
      <c r="M13" s="26" t="n">
        <v>0.27</v>
      </c>
      <c r="N13" s="27" t="n">
        <v>0.265</v>
      </c>
      <c r="O13" s="28">
        <f>(1-ABS(M13-N13)/M13)*100</f>
        <v/>
      </c>
      <c r="P13" s="29" t="n">
        <v>0.48</v>
      </c>
      <c r="Q13" s="30" t="n">
        <v>0.648</v>
      </c>
      <c r="R13" s="28">
        <f>(1-ABS(P13-Q13)/P13)*100</f>
        <v/>
      </c>
      <c r="S13" s="31" t="n">
        <v>14</v>
      </c>
      <c r="T13" s="29" t="n">
        <v>13.07</v>
      </c>
      <c r="U13" s="28">
        <f>(1-ABS(S13-T13)/S13)*100</f>
        <v/>
      </c>
    </row>
    <row r="14">
      <c r="B14" s="24" t="inlineStr">
        <is>
          <t>06/C</t>
        </is>
      </c>
      <c r="C14" s="25" t="n">
        <v>4500</v>
      </c>
      <c r="D14" s="26" t="n">
        <v>2.55</v>
      </c>
      <c r="E14" s="27" t="n">
        <v>2.506</v>
      </c>
      <c r="F14" s="28">
        <f>(1-ABS(D14-E14)/D14)*100</f>
        <v/>
      </c>
      <c r="G14" s="27" t="n">
        <v>0.156</v>
      </c>
      <c r="H14" s="27" t="n">
        <v>0.159</v>
      </c>
      <c r="I14" s="28">
        <f>(1-ABS(G14-H14)/G14)*100</f>
        <v/>
      </c>
      <c r="J14" s="26" t="n">
        <v>0.86</v>
      </c>
      <c r="K14" s="27" t="n">
        <v>1.012</v>
      </c>
      <c r="L14" s="28">
        <f>(1-ABS(J14-K14)/J14)*100</f>
        <v/>
      </c>
      <c r="M14" s="26" t="n">
        <v>0.24</v>
      </c>
      <c r="N14" s="27" t="n">
        <v>0.256</v>
      </c>
      <c r="O14" s="28">
        <f>(1-ABS(M14-N14)/M14)*100</f>
        <v/>
      </c>
      <c r="P14" s="29" t="n">
        <v>0.47</v>
      </c>
      <c r="Q14" s="30" t="n">
        <v>0.641</v>
      </c>
      <c r="R14" s="28">
        <f>(1-ABS(P14-Q14)/P14)*100</f>
        <v/>
      </c>
      <c r="S14" s="31" t="n">
        <v>14</v>
      </c>
      <c r="T14" s="29" t="n">
        <v>13.17</v>
      </c>
      <c r="U14" s="28">
        <f>(1-ABS(S14-T14)/S14)*100</f>
        <v/>
      </c>
    </row>
    <row r="15">
      <c r="B15" s="24" t="inlineStr">
        <is>
          <t>06/D</t>
        </is>
      </c>
      <c r="C15" s="25" t="n">
        <v>6877</v>
      </c>
      <c r="D15" s="26" t="n">
        <v>2.73</v>
      </c>
      <c r="E15" s="27" t="n">
        <v>2.529</v>
      </c>
      <c r="F15" s="28">
        <f>(1-ABS(D15-E15)/D15)*100</f>
        <v/>
      </c>
      <c r="G15" s="27" t="n">
        <v>0.158</v>
      </c>
      <c r="H15" s="27" t="n">
        <v>0.164</v>
      </c>
      <c r="I15" s="28">
        <f>(1-ABS(G15-H15)/G15)*100</f>
        <v/>
      </c>
      <c r="J15" s="26" t="n">
        <v>0.84</v>
      </c>
      <c r="K15" s="27" t="n">
        <v>1.031</v>
      </c>
      <c r="L15" s="28">
        <f>(1-ABS(J15-K15)/J15)*100</f>
        <v/>
      </c>
      <c r="M15" s="26" t="n">
        <v>0.24</v>
      </c>
      <c r="N15" s="27" t="n">
        <v>0.251</v>
      </c>
      <c r="O15" s="28">
        <f>(1-ABS(M15-N15)/M15)*100</f>
        <v/>
      </c>
      <c r="P15" s="29" t="n">
        <v>0.47</v>
      </c>
      <c r="Q15" s="30" t="n">
        <v>0.643</v>
      </c>
      <c r="R15" s="28">
        <f>(1-ABS(P15-Q15)/P15)*100</f>
        <v/>
      </c>
      <c r="S15" s="31" t="n">
        <v>14</v>
      </c>
      <c r="T15" s="29" t="n">
        <v>14.24</v>
      </c>
      <c r="U15" s="28">
        <f>(1-ABS(S15-T15)/S15)*100</f>
        <v/>
      </c>
    </row>
    <row r="16">
      <c r="B16" s="24" t="inlineStr">
        <is>
          <t>06/E</t>
        </is>
      </c>
      <c r="C16" s="25" t="n">
        <v>7060</v>
      </c>
      <c r="D16" s="26" t="n">
        <v>2.71</v>
      </c>
      <c r="E16" s="27" t="n">
        <v>2.485</v>
      </c>
      <c r="F16" s="28">
        <f>(1-ABS(D16-E16)/D16)*100</f>
        <v/>
      </c>
      <c r="G16" s="27" t="n">
        <v>0.155</v>
      </c>
      <c r="H16" s="27" t="n">
        <v>0.159</v>
      </c>
      <c r="I16" s="28">
        <f>(1-ABS(G16-H16)/G16)*100</f>
        <v/>
      </c>
      <c r="J16" s="26" t="n">
        <v>0.89</v>
      </c>
      <c r="K16" s="27" t="n">
        <v>1.02</v>
      </c>
      <c r="L16" s="28">
        <f>(1-ABS(J16-K16)/J16)*100</f>
        <v/>
      </c>
      <c r="M16" s="26" t="n">
        <v>0.24</v>
      </c>
      <c r="N16" s="27" t="n">
        <v>0.263</v>
      </c>
      <c r="O16" s="28">
        <f>(1-ABS(M16-N16)/M16)*100</f>
        <v/>
      </c>
      <c r="P16" s="29" t="n">
        <v>0.52</v>
      </c>
      <c r="Q16" s="30" t="n">
        <v>0.634</v>
      </c>
      <c r="R16" s="28">
        <f>(1-ABS(P16-Q16)/P16)*100</f>
        <v/>
      </c>
      <c r="S16" s="31" t="n">
        <v>14</v>
      </c>
      <c r="T16" s="29" t="n">
        <v>12.78</v>
      </c>
      <c r="U16" s="28">
        <f>(1-ABS(S16-T16)/S16)*100</f>
        <v/>
      </c>
    </row>
    <row r="17" ht="40" customHeight="1">
      <c r="A17" s="32" t="inlineStr">
        <is>
          <t>Best result closer to 1</t>
        </is>
      </c>
      <c r="B17" s="24" t="inlineStr">
        <is>
          <t>06/F</t>
        </is>
      </c>
      <c r="C17" s="25" t="n">
        <v>6906</v>
      </c>
      <c r="D17" s="26" t="n">
        <v>2.74</v>
      </c>
      <c r="E17" s="27" t="n">
        <v>2.443</v>
      </c>
      <c r="F17" s="28">
        <f>(1-ABS(D17-E17)/D17)*100</f>
        <v/>
      </c>
      <c r="G17" s="27" t="n">
        <v>0.149</v>
      </c>
      <c r="H17" s="27" t="n">
        <v>0.156</v>
      </c>
      <c r="I17" s="28">
        <f>(1-ABS(G17-H17)/G17)*100</f>
        <v/>
      </c>
      <c r="J17" s="26" t="n">
        <v>0.86</v>
      </c>
      <c r="K17" s="27" t="n">
        <v>0.994</v>
      </c>
      <c r="L17" s="28">
        <f>(1-ABS(J17-K17)/J17)*100</f>
        <v/>
      </c>
      <c r="M17" s="26" t="n">
        <v>0.26</v>
      </c>
      <c r="N17" s="27" t="n">
        <v>0.255</v>
      </c>
      <c r="O17" s="28">
        <f>(1-ABS(M17-N17)/M17)*100</f>
        <v/>
      </c>
      <c r="P17" s="29" t="n">
        <v>0.4</v>
      </c>
      <c r="Q17" s="30" t="n">
        <v>0.615</v>
      </c>
      <c r="R17" s="28">
        <f>(1-ABS(P17-Q17)/P17)*100</f>
        <v/>
      </c>
      <c r="S17" s="31" t="n">
        <v>14</v>
      </c>
      <c r="T17" s="29" t="n">
        <v>13.15</v>
      </c>
      <c r="U17" s="28">
        <f>(1-ABS(S17-T17)/S17)*100</f>
        <v/>
      </c>
    </row>
    <row r="18" ht="39" customHeight="1">
      <c r="A18" s="32" t="inlineStr">
        <is>
          <t>Best result closer to 0</t>
        </is>
      </c>
      <c r="B18" s="24" t="inlineStr">
        <is>
          <t>06/G</t>
        </is>
      </c>
      <c r="C18" s="25" t="n">
        <v>6616</v>
      </c>
      <c r="D18" s="26" t="n">
        <v>2.64</v>
      </c>
      <c r="E18" s="27" t="n">
        <v>2.527</v>
      </c>
      <c r="F18" s="28">
        <f>(1-ABS(D18-E18)/D18)*100</f>
        <v/>
      </c>
      <c r="G18" s="27" t="n">
        <v>0.15</v>
      </c>
      <c r="H18" s="27" t="n">
        <v>0.164</v>
      </c>
      <c r="I18" s="28">
        <f>(1-ABS(G18-H18)/G18)*100</f>
        <v/>
      </c>
      <c r="J18" s="26" t="n">
        <v>0.8100000000000001</v>
      </c>
      <c r="K18" s="27" t="n">
        <v>1.029</v>
      </c>
      <c r="L18" s="28">
        <f>(1-ABS(J18-K18)/J18)*100</f>
        <v/>
      </c>
      <c r="M18" s="26" t="n">
        <v>0.26</v>
      </c>
      <c r="N18" s="27" t="n">
        <v>0.268</v>
      </c>
      <c r="O18" s="28">
        <f>(1-ABS(M18-N18)/M18)*100</f>
        <v/>
      </c>
      <c r="P18" s="29" t="n">
        <v>0.45</v>
      </c>
      <c r="Q18" s="30" t="n">
        <v>0.647</v>
      </c>
      <c r="R18" s="28">
        <f>(1-ABS(P18-Q18)/P18)*100</f>
        <v/>
      </c>
      <c r="S18" s="31" t="n">
        <v>13</v>
      </c>
      <c r="T18" s="29" t="n">
        <v>13.57</v>
      </c>
      <c r="U18" s="28">
        <f>(1-ABS(S18-T18)/S18)*100</f>
        <v/>
      </c>
    </row>
    <row r="19" ht="66" customHeight="1">
      <c r="A19" s="32" t="inlineStr">
        <is>
          <t>Best result closer to 1</t>
        </is>
      </c>
      <c r="B19" s="24" t="inlineStr">
        <is>
          <t>06/H</t>
        </is>
      </c>
      <c r="C19" s="25" t="n">
        <v>6884</v>
      </c>
      <c r="D19" s="26" t="n">
        <v>2.66</v>
      </c>
      <c r="E19" s="27" t="n">
        <v>2.553</v>
      </c>
      <c r="F19" s="28">
        <f>(1-ABS(D19-E19)/D19)*100</f>
        <v/>
      </c>
      <c r="G19" s="27" t="n">
        <v>0.148</v>
      </c>
      <c r="H19" s="27" t="n">
        <v>0.163</v>
      </c>
      <c r="I19" s="28">
        <f>(1-ABS(G19-H19)/G19)*100</f>
        <v/>
      </c>
      <c r="J19" s="26" t="n">
        <v>0.84</v>
      </c>
      <c r="K19" s="27" t="n">
        <v>1.02</v>
      </c>
      <c r="L19" s="28">
        <f>(1-ABS(J19-K19)/J19)*100</f>
        <v/>
      </c>
      <c r="M19" s="26" t="n">
        <v>0.25</v>
      </c>
      <c r="N19" s="27" t="n">
        <v>0.249</v>
      </c>
      <c r="O19" s="28">
        <f>(1-ABS(M19-N19)/M19)*100</f>
        <v/>
      </c>
      <c r="P19" s="29" t="n">
        <v>0.43</v>
      </c>
      <c r="Q19" s="30" t="n">
        <v>0.635</v>
      </c>
      <c r="R19" s="28">
        <f>(1-ABS(P19-Q19)/P19)*100</f>
        <v/>
      </c>
      <c r="S19" s="31" t="n">
        <v>14</v>
      </c>
      <c r="T19" s="29" t="n">
        <v>14.47</v>
      </c>
      <c r="U19" s="28">
        <f>(1-ABS(S19-T19)/S19)*100</f>
        <v/>
      </c>
    </row>
    <row r="20">
      <c r="B20" s="24" t="inlineStr">
        <is>
          <t>06/I</t>
        </is>
      </c>
      <c r="C20" s="25" t="n">
        <v>5925</v>
      </c>
      <c r="D20" s="26" t="n">
        <v>2.63</v>
      </c>
      <c r="E20" s="27" t="n">
        <v>2.533</v>
      </c>
      <c r="F20" s="28">
        <f>(1-ABS(D20-E20)/D20)*100</f>
        <v/>
      </c>
      <c r="G20" s="27" t="n">
        <v>0.156</v>
      </c>
      <c r="H20" s="27" t="n">
        <v>0.163</v>
      </c>
      <c r="I20" s="28">
        <f>(1-ABS(G20-H20)/G20)*100</f>
        <v/>
      </c>
      <c r="J20" s="26" t="n">
        <v>0.84</v>
      </c>
      <c r="K20" s="27" t="n">
        <v>1.014</v>
      </c>
      <c r="L20" s="28">
        <f>(1-ABS(J20-K20)/J20)*100</f>
        <v/>
      </c>
      <c r="M20" s="26" t="n">
        <v>0.29</v>
      </c>
      <c r="N20" s="27" t="n">
        <v>0.253</v>
      </c>
      <c r="O20" s="28">
        <f>(1-ABS(M20-N20)/M20)*100</f>
        <v/>
      </c>
      <c r="P20" s="29" t="n">
        <v>0.44</v>
      </c>
      <c r="Q20" s="30" t="n">
        <v>0.642</v>
      </c>
      <c r="R20" s="28">
        <f>(1-ABS(P20-Q20)/P20)*100</f>
        <v/>
      </c>
      <c r="S20" s="31" t="n">
        <v>15</v>
      </c>
      <c r="T20" s="29" t="n">
        <v>13.98</v>
      </c>
      <c r="U20" s="28">
        <f>(1-ABS(S20-T20)/S20)*100</f>
        <v/>
      </c>
    </row>
    <row r="21">
      <c r="B21" s="24" t="inlineStr">
        <is>
          <t>06/J</t>
        </is>
      </c>
      <c r="C21" s="25" t="n">
        <v>2928</v>
      </c>
      <c r="D21" s="26" t="n">
        <v>2.54</v>
      </c>
      <c r="E21" s="27" t="n">
        <v>2.518</v>
      </c>
      <c r="F21" s="28">
        <f>(1-ABS(D21-E21)/D21)*100</f>
        <v/>
      </c>
      <c r="G21" s="27" t="n">
        <v>0.155</v>
      </c>
      <c r="H21" s="27" t="n">
        <v>0.163</v>
      </c>
      <c r="I21" s="28">
        <f>(1-ABS(G21-H21)/G21)*100</f>
        <v/>
      </c>
      <c r="J21" s="26" t="n">
        <v>0.85</v>
      </c>
      <c r="K21" s="27" t="n">
        <v>1.006</v>
      </c>
      <c r="L21" s="28">
        <f>(1-ABS(J21-K21)/J21)*100</f>
        <v/>
      </c>
      <c r="M21" s="26" t="n">
        <v>0.27</v>
      </c>
      <c r="N21" s="27" t="n">
        <v>0.268</v>
      </c>
      <c r="O21" s="28">
        <f>(1-ABS(M21-N21)/M21)*100</f>
        <v/>
      </c>
      <c r="P21" s="29" t="n">
        <v>0.43</v>
      </c>
      <c r="Q21" s="30" t="n">
        <v>0.656</v>
      </c>
      <c r="R21" s="28">
        <f>(1-ABS(P21-Q21)/P21)*100</f>
        <v/>
      </c>
      <c r="S21" s="31" t="n">
        <v>16</v>
      </c>
      <c r="T21" s="29" t="n">
        <v>13.29</v>
      </c>
      <c r="U21" s="28">
        <f>(1-ABS(S21-T21)/S21)*100</f>
        <v/>
      </c>
    </row>
    <row r="22">
      <c r="B22" s="24" t="inlineStr">
        <is>
          <t>07/A</t>
        </is>
      </c>
      <c r="C22" s="25" t="n">
        <v>5877</v>
      </c>
      <c r="D22" s="26" t="n">
        <v>2.59</v>
      </c>
      <c r="E22" s="27" t="n">
        <v>2.52</v>
      </c>
      <c r="F22" s="28">
        <f>(1-ABS(D22-E22)/D22)*100</f>
        <v/>
      </c>
      <c r="G22" s="27" t="n">
        <v>0.152</v>
      </c>
      <c r="H22" s="27" t="n">
        <v>0.162</v>
      </c>
      <c r="I22" s="28">
        <f>(1-ABS(G22-H22)/G22)*100</f>
        <v/>
      </c>
      <c r="J22" s="26" t="n">
        <v>0.85</v>
      </c>
      <c r="K22" s="27" t="n">
        <v>1.011</v>
      </c>
      <c r="L22" s="28">
        <f>(1-ABS(J22-K22)/J22)*100</f>
        <v/>
      </c>
      <c r="M22" s="26" t="n">
        <v>0.26</v>
      </c>
      <c r="N22" s="27" t="n">
        <v>0.258</v>
      </c>
      <c r="O22" s="28">
        <f>(1-ABS(M22-N22)/M22)*100</f>
        <v/>
      </c>
      <c r="P22" s="29" t="n">
        <v>0.47</v>
      </c>
      <c r="Q22" s="30" t="n">
        <v>0.645</v>
      </c>
      <c r="R22" s="28">
        <f>(1-ABS(P22-Q22)/P22)*100</f>
        <v/>
      </c>
      <c r="S22" s="31" t="n">
        <v>14</v>
      </c>
      <c r="T22" s="29" t="n">
        <v>13.59</v>
      </c>
      <c r="U22" s="28">
        <f>(1-ABS(S22-T22)/S22)*100</f>
        <v/>
      </c>
    </row>
    <row r="23">
      <c r="B23" s="24" t="inlineStr">
        <is>
          <t>07/B</t>
        </is>
      </c>
      <c r="C23" s="25" t="n">
        <v>5840</v>
      </c>
      <c r="D23" s="26" t="n">
        <v>2.59</v>
      </c>
      <c r="E23" s="27" t="n">
        <v>2.527</v>
      </c>
      <c r="F23" s="28">
        <f>(1-ABS(D23-E23)/D23)*100</f>
        <v/>
      </c>
      <c r="G23" s="27" t="n">
        <v>0.15</v>
      </c>
      <c r="H23" s="27" t="n">
        <v>0.164</v>
      </c>
      <c r="I23" s="28">
        <f>(1-ABS(G23-H23)/G23)*100</f>
        <v/>
      </c>
      <c r="J23" s="26" t="n">
        <v>0.82</v>
      </c>
      <c r="K23" s="27" t="n">
        <v>1.022</v>
      </c>
      <c r="L23" s="28">
        <f>(1-ABS(J23-K23)/J23)*100</f>
        <v/>
      </c>
      <c r="M23" s="26" t="n">
        <v>0.27</v>
      </c>
      <c r="N23" s="27" t="n">
        <v>0.275</v>
      </c>
      <c r="O23" s="28">
        <f>(1-ABS(M23-N23)/M23)*100</f>
        <v/>
      </c>
      <c r="P23" s="29" t="n">
        <v>0.43</v>
      </c>
      <c r="Q23" s="30" t="n">
        <v>0.652</v>
      </c>
      <c r="R23" s="28">
        <f>(1-ABS(P23-Q23)/P23)*100</f>
        <v/>
      </c>
      <c r="S23" s="31" t="n">
        <v>14</v>
      </c>
      <c r="T23" s="29" t="n">
        <v>13.3</v>
      </c>
      <c r="U23" s="28">
        <f>(1-ABS(S23-T23)/S23)*100</f>
        <v/>
      </c>
    </row>
    <row r="24">
      <c r="B24" s="24" t="inlineStr">
        <is>
          <t>07/C</t>
        </is>
      </c>
      <c r="C24" s="25" t="n">
        <v>6015</v>
      </c>
      <c r="D24" s="26" t="n">
        <v>2.65</v>
      </c>
      <c r="E24" s="27" t="n">
        <v>2.529</v>
      </c>
      <c r="F24" s="28">
        <f>(1-ABS(D24-E24)/D24)*100</f>
        <v/>
      </c>
      <c r="G24" s="27" t="n">
        <v>0.169</v>
      </c>
      <c r="H24" s="27" t="n">
        <v>0.164</v>
      </c>
      <c r="I24" s="28">
        <f>(1-ABS(G24-H24)/G24)*100</f>
        <v/>
      </c>
      <c r="J24" s="26" t="n">
        <v>1.03</v>
      </c>
      <c r="K24" s="27" t="n">
        <v>1.02</v>
      </c>
      <c r="L24" s="28">
        <f>(1-ABS(J24-K24)/J24)*100</f>
        <v/>
      </c>
      <c r="M24" s="26" t="n">
        <v>0.32</v>
      </c>
      <c r="N24" s="27" t="n">
        <v>0.26</v>
      </c>
      <c r="O24" s="28">
        <f>(1-ABS(M24-N24)/M24)*100</f>
        <v/>
      </c>
      <c r="P24" s="29" t="n">
        <v>0.48</v>
      </c>
      <c r="Q24" s="30" t="n">
        <v>0.642</v>
      </c>
      <c r="R24" s="28">
        <f>(1-ABS(P24-Q24)/P24)*100</f>
        <v/>
      </c>
      <c r="S24" s="31" t="n">
        <v>16</v>
      </c>
      <c r="T24" s="29" t="n">
        <v>13.95</v>
      </c>
      <c r="U24" s="28">
        <f>(1-ABS(S24-T24)/S24)*100</f>
        <v/>
      </c>
    </row>
    <row r="25">
      <c r="B25" s="24" t="inlineStr">
        <is>
          <t>07/D</t>
        </is>
      </c>
      <c r="C25" s="25" t="n">
        <v>5886</v>
      </c>
      <c r="D25" s="26" t="n">
        <v>2.68</v>
      </c>
      <c r="E25" s="27" t="n">
        <v>2.513</v>
      </c>
      <c r="F25" s="28">
        <f>(1-ABS(D25-E25)/D25)*100</f>
        <v/>
      </c>
      <c r="G25" s="27" t="n">
        <v>0.159</v>
      </c>
      <c r="H25" s="27" t="n">
        <v>0.162</v>
      </c>
      <c r="I25" s="28">
        <f>(1-ABS(G25-H25)/G25)*100</f>
        <v/>
      </c>
      <c r="J25" s="26" t="n">
        <v>0.97</v>
      </c>
      <c r="K25" s="27" t="n">
        <v>1.001</v>
      </c>
      <c r="L25" s="28">
        <f>(1-ABS(J25-K25)/J25)*100</f>
        <v/>
      </c>
      <c r="M25" s="26" t="n">
        <v>0.3</v>
      </c>
      <c r="N25" s="27" t="n">
        <v>0.248</v>
      </c>
      <c r="O25" s="28">
        <f>(1-ABS(M25-N25)/M25)*100</f>
        <v/>
      </c>
      <c r="P25" s="29" t="n">
        <v>0.4</v>
      </c>
      <c r="Q25" s="30" t="n">
        <v>0.642</v>
      </c>
      <c r="R25" s="28">
        <f>(1-ABS(P25-Q25)/P25)*100</f>
        <v/>
      </c>
      <c r="S25" s="31" t="n">
        <v>14</v>
      </c>
      <c r="T25" s="29" t="n">
        <v>14.25</v>
      </c>
      <c r="U25" s="28">
        <f>(1-ABS(S25-T25)/S25)*100</f>
        <v/>
      </c>
    </row>
    <row r="26">
      <c r="B26" s="24" t="inlineStr">
        <is>
          <t>07/E</t>
        </is>
      </c>
      <c r="C26" s="25" t="n">
        <v>6716</v>
      </c>
      <c r="D26" s="26" t="n">
        <v>2.54</v>
      </c>
      <c r="E26" s="27" t="n">
        <v>2.453</v>
      </c>
      <c r="F26" s="28">
        <f>(1-ABS(D26-E26)/D26)*100</f>
        <v/>
      </c>
      <c r="G26" s="27" t="n">
        <v>0.153</v>
      </c>
      <c r="H26" s="27" t="n">
        <v>0.159</v>
      </c>
      <c r="I26" s="28">
        <f>(1-ABS(G26-H26)/G26)*100</f>
        <v/>
      </c>
      <c r="J26" s="26" t="n">
        <v>0.8100000000000001</v>
      </c>
      <c r="K26" s="27" t="n">
        <v>0.981</v>
      </c>
      <c r="L26" s="28">
        <f>(1-ABS(J26-K26)/J26)*100</f>
        <v/>
      </c>
      <c r="M26" s="26" t="n">
        <v>0.3</v>
      </c>
      <c r="N26" s="27" t="n">
        <v>0.262</v>
      </c>
      <c r="O26" s="28">
        <f>(1-ABS(M26-N26)/M26)*100</f>
        <v/>
      </c>
      <c r="P26" s="29" t="n">
        <v>0.49</v>
      </c>
      <c r="Q26" s="30" t="n">
        <v>0.642</v>
      </c>
      <c r="R26" s="28">
        <f>(1-ABS(P26-Q26)/P26)*100</f>
        <v/>
      </c>
      <c r="S26" s="31" t="n">
        <v>14</v>
      </c>
      <c r="T26" s="29" t="n">
        <v>12.89</v>
      </c>
      <c r="U26" s="28">
        <f>(1-ABS(S26-T26)/S26)*100</f>
        <v/>
      </c>
    </row>
    <row r="27">
      <c r="B27" s="24" t="inlineStr">
        <is>
          <t>07/F</t>
        </is>
      </c>
      <c r="C27" s="25" t="n">
        <v>3796</v>
      </c>
      <c r="D27" s="26" t="n">
        <v>2.69</v>
      </c>
      <c r="E27" s="27" t="n">
        <v>2.518</v>
      </c>
      <c r="F27" s="28">
        <f>(1-ABS(D27-E27)/D27)*100</f>
        <v/>
      </c>
      <c r="G27" s="27" t="n">
        <v>0.16</v>
      </c>
      <c r="H27" s="27" t="n">
        <v>0.164</v>
      </c>
      <c r="I27" s="28">
        <f>(1-ABS(G27-H27)/G27)*100</f>
        <v/>
      </c>
      <c r="J27" s="26" t="n">
        <v>0.83</v>
      </c>
      <c r="K27" s="27" t="n">
        <v>1.018</v>
      </c>
      <c r="L27" s="28">
        <f>(1-ABS(J27-K27)/J27)*100</f>
        <v/>
      </c>
      <c r="M27" s="26" t="n">
        <v>0.29</v>
      </c>
      <c r="N27" s="27" t="n">
        <v>0.265</v>
      </c>
      <c r="O27" s="28">
        <f>(1-ABS(M27-N27)/M27)*100</f>
        <v/>
      </c>
      <c r="P27" s="29" t="n">
        <v>0.43</v>
      </c>
      <c r="Q27" s="30" t="n">
        <v>0.648</v>
      </c>
      <c r="R27" s="28">
        <f>(1-ABS(P27-Q27)/P27)*100</f>
        <v/>
      </c>
      <c r="S27" s="31" t="n">
        <v>16</v>
      </c>
      <c r="T27" s="29" t="n">
        <v>13.72</v>
      </c>
      <c r="U27" s="28">
        <f>(1-ABS(S27-T27)/S27)*100</f>
        <v/>
      </c>
    </row>
    <row r="28">
      <c r="B28" s="24" t="inlineStr">
        <is>
          <t>07/G</t>
        </is>
      </c>
      <c r="C28" s="25" t="n">
        <v>5221</v>
      </c>
      <c r="D28" s="26" t="n">
        <v>2.63</v>
      </c>
      <c r="E28" s="27" t="n">
        <v>2.501</v>
      </c>
      <c r="F28" s="28">
        <f>(1-ABS(D28-E28)/D28)*100</f>
        <v/>
      </c>
      <c r="G28" s="27" t="n">
        <v>0.161</v>
      </c>
      <c r="H28" s="27" t="n">
        <v>0.162</v>
      </c>
      <c r="I28" s="28">
        <f>(1-ABS(G28-H28)/G28)*100</f>
        <v/>
      </c>
      <c r="J28" s="26" t="n">
        <v>0.84</v>
      </c>
      <c r="K28" s="27" t="n">
        <v>0.996</v>
      </c>
      <c r="L28" s="28">
        <f>(1-ABS(J28-K28)/J28)*100</f>
        <v/>
      </c>
      <c r="M28" s="26" t="n">
        <v>0.3</v>
      </c>
      <c r="N28" s="27" t="n">
        <v>0.256</v>
      </c>
      <c r="O28" s="28">
        <f>(1-ABS(M28-N28)/M28)*100</f>
        <v/>
      </c>
      <c r="P28" s="29" t="n">
        <v>0.5</v>
      </c>
      <c r="Q28" s="30" t="n">
        <v>0.645</v>
      </c>
      <c r="R28" s="28">
        <f>(1-ABS(P28-Q28)/P28)*100</f>
        <v/>
      </c>
      <c r="S28" s="31" t="n">
        <v>15</v>
      </c>
      <c r="T28" s="29" t="n">
        <v>13.62</v>
      </c>
      <c r="U28" s="28">
        <f>(1-ABS(S28-T28)/S28)*100</f>
        <v/>
      </c>
    </row>
    <row r="29">
      <c r="B29" s="24" t="inlineStr">
        <is>
          <t>07/H</t>
        </is>
      </c>
      <c r="C29" s="25" t="n">
        <v>4392</v>
      </c>
      <c r="D29" s="26" t="n">
        <v>2.73</v>
      </c>
      <c r="E29" s="27" t="n">
        <v>2.423</v>
      </c>
      <c r="F29" s="28">
        <f>(1-ABS(D29-E29)/D29)*100</f>
        <v/>
      </c>
      <c r="G29" s="27" t="n">
        <v>0.159</v>
      </c>
      <c r="H29" s="27" t="n">
        <v>0.155</v>
      </c>
      <c r="I29" s="28">
        <f>(1-ABS(G29-H29)/G29)*100</f>
        <v/>
      </c>
      <c r="J29" s="26" t="n">
        <v>0.91</v>
      </c>
      <c r="K29" s="27" t="n">
        <v>0.974</v>
      </c>
      <c r="L29" s="28">
        <f>(1-ABS(J29-K29)/J29)*100</f>
        <v/>
      </c>
      <c r="M29" s="26" t="n">
        <v>0.28</v>
      </c>
      <c r="N29" s="27" t="n">
        <v>0.255</v>
      </c>
      <c r="O29" s="28">
        <f>(1-ABS(M29-N29)/M29)*100</f>
        <v/>
      </c>
      <c r="P29" s="29" t="n">
        <v>0.42</v>
      </c>
      <c r="Q29" s="30" t="n">
        <v>0.623</v>
      </c>
      <c r="R29" s="28">
        <f>(1-ABS(P29-Q29)/P29)*100</f>
        <v/>
      </c>
      <c r="S29" s="31" t="n">
        <v>15</v>
      </c>
      <c r="T29" s="29" t="n">
        <v>13.07</v>
      </c>
      <c r="U29" s="28">
        <f>(1-ABS(S29-T29)/S29)*100</f>
        <v/>
      </c>
    </row>
    <row r="30">
      <c r="B30" s="24" t="inlineStr">
        <is>
          <t>07/1</t>
        </is>
      </c>
      <c r="C30" s="25" t="n">
        <v>6045</v>
      </c>
      <c r="D30" s="26" t="n">
        <v>2.61</v>
      </c>
      <c r="E30" s="27" t="n">
        <v>2.499</v>
      </c>
      <c r="F30" s="28">
        <f>(1-ABS(D30-E30)/D30)*100</f>
        <v/>
      </c>
      <c r="G30" s="27" t="n">
        <v>0.154</v>
      </c>
      <c r="H30" s="27" t="n">
        <v>0.16</v>
      </c>
      <c r="I30" s="28">
        <f>(1-ABS(G30-H30)/G30)*100</f>
        <v/>
      </c>
      <c r="J30" s="26" t="n">
        <v>0.86</v>
      </c>
      <c r="K30" s="27" t="n">
        <v>1.003</v>
      </c>
      <c r="L30" s="28">
        <f>(1-ABS(J30-K30)/J30)*100</f>
        <v/>
      </c>
      <c r="M30" s="26" t="n">
        <v>0.28</v>
      </c>
      <c r="N30" s="27" t="n">
        <v>0.272</v>
      </c>
      <c r="O30" s="28">
        <f>(1-ABS(M30-N30)/M30)*100</f>
        <v/>
      </c>
      <c r="P30" s="29" t="n">
        <v>0.44</v>
      </c>
      <c r="Q30" s="30" t="n">
        <v>0.643</v>
      </c>
      <c r="R30" s="28">
        <f>(1-ABS(P30-Q30)/P30)*100</f>
        <v/>
      </c>
      <c r="S30" s="31" t="n">
        <v>15</v>
      </c>
      <c r="T30" s="29" t="n">
        <v>13.29</v>
      </c>
      <c r="U30" s="28">
        <f>(1-ABS(S30-T30)/S30)*100</f>
        <v/>
      </c>
    </row>
    <row r="31">
      <c r="B31" s="24" t="inlineStr">
        <is>
          <t>07/2</t>
        </is>
      </c>
      <c r="C31" s="25" t="n">
        <v>7678</v>
      </c>
      <c r="D31" s="26" t="n">
        <v>2.55</v>
      </c>
      <c r="E31" s="27" t="n">
        <v>2.512</v>
      </c>
      <c r="F31" s="28">
        <f>(1-ABS(D31-E31)/D31)*100</f>
        <v/>
      </c>
      <c r="G31" s="27" t="n">
        <v>0.15</v>
      </c>
      <c r="H31" s="27" t="n">
        <v>0.162</v>
      </c>
      <c r="I31" s="28">
        <f>(1-ABS(G31-H31)/G31)*100</f>
        <v/>
      </c>
      <c r="J31" s="26" t="n">
        <v>0.8</v>
      </c>
      <c r="K31" s="27" t="n">
        <v>1.005</v>
      </c>
      <c r="L31" s="28">
        <f>(1-ABS(J31-K31)/J31)*100</f>
        <v/>
      </c>
      <c r="M31" s="26" t="n">
        <v>0.27</v>
      </c>
      <c r="N31" s="27" t="n">
        <v>0.272</v>
      </c>
      <c r="O31" s="28">
        <f>(1-ABS(M31-N31)/M31)*100</f>
        <v/>
      </c>
      <c r="P31" s="29" t="n">
        <v>0.41</v>
      </c>
      <c r="Q31" s="30" t="n">
        <v>0.645</v>
      </c>
      <c r="R31" s="28">
        <f>(1-ABS(P31-Q31)/P31)*100</f>
        <v/>
      </c>
      <c r="S31" s="31" t="n">
        <v>14</v>
      </c>
      <c r="T31" s="29" t="n">
        <v>13.8</v>
      </c>
      <c r="U31" s="28">
        <f>(1-ABS(S31-T31)/S31)*100</f>
        <v/>
      </c>
    </row>
    <row r="32">
      <c r="B32" s="24" t="inlineStr">
        <is>
          <t>07/3</t>
        </is>
      </c>
      <c r="C32" s="25" t="n">
        <v>6495</v>
      </c>
      <c r="D32" s="26" t="n">
        <v>2.75</v>
      </c>
      <c r="E32" s="27" t="n">
        <v>2.554</v>
      </c>
      <c r="F32" s="28">
        <f>(1-ABS(D32-E32)/D32)*100</f>
        <v/>
      </c>
      <c r="G32" s="27" t="n">
        <v>0.154</v>
      </c>
      <c r="H32" s="27" t="n">
        <v>0.163</v>
      </c>
      <c r="I32" s="28">
        <f>(1-ABS(G32-H32)/G32)*100</f>
        <v/>
      </c>
      <c r="J32" s="26" t="n">
        <v>0.8</v>
      </c>
      <c r="K32" s="27" t="n">
        <v>1.024</v>
      </c>
      <c r="L32" s="28">
        <f>(1-ABS(J32-K32)/J32)*100</f>
        <v/>
      </c>
      <c r="M32" s="26" t="n">
        <v>0.27</v>
      </c>
      <c r="N32" s="27" t="n">
        <v>0.267</v>
      </c>
      <c r="O32" s="28">
        <f>(1-ABS(M32-N32)/M32)*100</f>
        <v/>
      </c>
      <c r="P32" s="29" t="n">
        <v>0.41</v>
      </c>
      <c r="Q32" s="30" t="n">
        <v>0.661</v>
      </c>
      <c r="R32" s="28">
        <f>(1-ABS(P32-Q32)/P32)*100</f>
        <v/>
      </c>
      <c r="S32" s="31" t="n">
        <v>14</v>
      </c>
      <c r="T32" s="29" t="n">
        <v>14.14</v>
      </c>
      <c r="U32" s="28">
        <f>(1-ABS(S32-T32)/S32)*100</f>
        <v/>
      </c>
    </row>
    <row r="33">
      <c r="B33" s="24" t="inlineStr">
        <is>
          <t>07/4</t>
        </is>
      </c>
      <c r="C33" s="25" t="n">
        <v>5564</v>
      </c>
      <c r="D33" s="26" t="n">
        <v>2.6</v>
      </c>
      <c r="E33" s="27" t="n">
        <v>2.456</v>
      </c>
      <c r="F33" s="28">
        <f>(1-ABS(D33-E33)/D33)*100</f>
        <v/>
      </c>
      <c r="G33" s="27" t="n">
        <v>0.154</v>
      </c>
      <c r="H33" s="27" t="n">
        <v>0.159</v>
      </c>
      <c r="I33" s="28">
        <f>(1-ABS(G33-H33)/G33)*100</f>
        <v/>
      </c>
      <c r="J33" s="26" t="n">
        <v>0.82</v>
      </c>
      <c r="K33" s="27" t="n">
        <v>0.978</v>
      </c>
      <c r="L33" s="28">
        <f>(1-ABS(J33-K33)/J33)*100</f>
        <v/>
      </c>
      <c r="M33" s="26" t="n">
        <v>0.28</v>
      </c>
      <c r="N33" s="27" t="n">
        <v>0.259</v>
      </c>
      <c r="O33" s="28">
        <f>(1-ABS(M33-N33)/M33)*100</f>
        <v/>
      </c>
      <c r="P33" s="29" t="n">
        <v>0.43</v>
      </c>
      <c r="Q33" s="30" t="n">
        <v>0.636</v>
      </c>
      <c r="R33" s="28">
        <f>(1-ABS(P33-Q33)/P33)*100</f>
        <v/>
      </c>
      <c r="S33" s="31" t="n">
        <v>14</v>
      </c>
      <c r="T33" s="29" t="n">
        <v>13.02</v>
      </c>
      <c r="U33" s="28">
        <f>(1-ABS(S33-T33)/S33)*100</f>
        <v/>
      </c>
    </row>
    <row r="34">
      <c r="B34" s="24" t="inlineStr">
        <is>
          <t>07/5</t>
        </is>
      </c>
      <c r="C34" s="25" t="n">
        <v>6240</v>
      </c>
      <c r="D34" s="26" t="n">
        <v>2.55</v>
      </c>
      <c r="E34" s="27" t="n">
        <v>2.366</v>
      </c>
      <c r="F34" s="28">
        <f>(1-ABS(D34-E34)/D34)*100</f>
        <v/>
      </c>
      <c r="G34" s="27" t="n">
        <v>0.165</v>
      </c>
      <c r="H34" s="27" t="n">
        <v>0.152</v>
      </c>
      <c r="I34" s="28">
        <f>(1-ABS(G34-H34)/G34)*100</f>
        <v/>
      </c>
      <c r="J34" s="26" t="n">
        <v>0.96</v>
      </c>
      <c r="K34" s="27" t="n">
        <v>0.945</v>
      </c>
      <c r="L34" s="28">
        <f>(1-ABS(J34-K34)/J34)*100</f>
        <v/>
      </c>
      <c r="M34" s="26" t="n">
        <v>0.27</v>
      </c>
      <c r="N34" s="27" t="n">
        <v>0.256</v>
      </c>
      <c r="O34" s="28">
        <f>(1-ABS(M34-N34)/M34)*100</f>
        <v/>
      </c>
      <c r="P34" s="29" t="n">
        <v>0.57</v>
      </c>
      <c r="Q34" s="30" t="n">
        <v>0.619</v>
      </c>
      <c r="R34" s="28">
        <f>(1-ABS(P34-Q34)/P34)*100</f>
        <v/>
      </c>
      <c r="S34" s="31" t="n">
        <v>13</v>
      </c>
      <c r="T34" s="29" t="n">
        <v>12.27</v>
      </c>
      <c r="U34" s="28">
        <f>(1-ABS(S34-T34)/S34)*100</f>
        <v/>
      </c>
    </row>
    <row r="35">
      <c r="B35" s="24" t="inlineStr">
        <is>
          <t>08/1</t>
        </is>
      </c>
      <c r="C35" s="25" t="n">
        <v>8126</v>
      </c>
      <c r="D35" s="26" t="n">
        <v>2.74</v>
      </c>
      <c r="E35" s="27" t="n">
        <v>2.464</v>
      </c>
      <c r="F35" s="28">
        <f>(1-ABS(D35-E35)/D35)*100</f>
        <v/>
      </c>
      <c r="G35" s="27" t="n">
        <v>0.163</v>
      </c>
      <c r="H35" s="27" t="n">
        <v>0.158</v>
      </c>
      <c r="I35" s="28">
        <f>(1-ABS(G35-H35)/G35)*100</f>
        <v/>
      </c>
      <c r="J35" s="26" t="n">
        <v>0.85</v>
      </c>
      <c r="K35" s="27" t="n">
        <v>0.997</v>
      </c>
      <c r="L35" s="28">
        <f>(1-ABS(J35-K35)/J35)*100</f>
        <v/>
      </c>
      <c r="M35" s="26" t="n">
        <v>0.32</v>
      </c>
      <c r="N35" s="27" t="n">
        <v>0.261</v>
      </c>
      <c r="O35" s="28">
        <f>(1-ABS(M35-N35)/M35)*100</f>
        <v/>
      </c>
      <c r="P35" s="29" t="n">
        <v>0.55</v>
      </c>
      <c r="Q35" s="30" t="n">
        <v>0.631</v>
      </c>
      <c r="R35" s="28">
        <f>(1-ABS(P35-Q35)/P35)*100</f>
        <v/>
      </c>
      <c r="S35" s="31" t="n">
        <v>16</v>
      </c>
      <c r="T35" s="29" t="n">
        <v>13.02</v>
      </c>
      <c r="U35" s="28">
        <f>(1-ABS(S35-T35)/S35)*100</f>
        <v/>
      </c>
    </row>
    <row r="36">
      <c r="B36" s="24" t="inlineStr">
        <is>
          <t>08/2</t>
        </is>
      </c>
      <c r="C36" s="25" t="n">
        <v>8862</v>
      </c>
      <c r="D36" s="26" t="n">
        <v>2.7</v>
      </c>
      <c r="E36" s="27" t="n">
        <v>2.468</v>
      </c>
      <c r="F36" s="28">
        <f>(1-ABS(D36-E36)/D36)*100</f>
        <v/>
      </c>
      <c r="G36" s="27" t="n">
        <v>0.152</v>
      </c>
      <c r="H36" s="27" t="n">
        <v>0.158</v>
      </c>
      <c r="I36" s="28">
        <f>(1-ABS(G36-H36)/G36)*100</f>
        <v/>
      </c>
      <c r="J36" s="26" t="n">
        <v>0.84</v>
      </c>
      <c r="K36" s="27" t="n">
        <v>0.999</v>
      </c>
      <c r="L36" s="28">
        <f>(1-ABS(J36-K36)/J36)*100</f>
        <v/>
      </c>
      <c r="M36" s="26" t="n">
        <v>0.29</v>
      </c>
      <c r="N36" s="27" t="n">
        <v>0.263</v>
      </c>
      <c r="O36" s="28">
        <f>(1-ABS(M36-N36)/M36)*100</f>
        <v/>
      </c>
      <c r="P36" s="29" t="n">
        <v>0.48</v>
      </c>
      <c r="Q36" s="30" t="n">
        <v>0.63</v>
      </c>
      <c r="R36" s="28">
        <f>(1-ABS(P36-Q36)/P36)*100</f>
        <v/>
      </c>
      <c r="S36" s="31" t="n">
        <v>14</v>
      </c>
      <c r="T36" s="29" t="n">
        <v>13.01</v>
      </c>
      <c r="U36" s="28">
        <f>(1-ABS(S36-T36)/S36)*100</f>
        <v/>
      </c>
    </row>
    <row r="37">
      <c r="B37" s="24" t="inlineStr">
        <is>
          <t>12/1</t>
        </is>
      </c>
      <c r="C37" s="25" t="n">
        <v>4143</v>
      </c>
      <c r="D37" s="26" t="n">
        <v>2.67</v>
      </c>
      <c r="E37" s="27" t="n">
        <v>2.499</v>
      </c>
      <c r="F37" s="28">
        <f>(1-ABS(D37-E37)/D37)*100</f>
        <v/>
      </c>
      <c r="G37" s="27" t="n">
        <v>0.144</v>
      </c>
      <c r="H37" s="27" t="n">
        <v>0.161</v>
      </c>
      <c r="I37" s="28">
        <f>(1-ABS(G37-H37)/G37)*100</f>
        <v/>
      </c>
      <c r="J37" s="26" t="n">
        <v>0.85</v>
      </c>
      <c r="K37" s="27" t="n">
        <v>1.005</v>
      </c>
      <c r="L37" s="28">
        <f>(1-ABS(J37-K37)/J37)*100</f>
        <v/>
      </c>
      <c r="M37" s="26" t="n">
        <v>0.23</v>
      </c>
      <c r="N37" s="27" t="n">
        <v>0.289</v>
      </c>
      <c r="O37" s="28">
        <f>(1-ABS(M37-N37)/M37)*100</f>
        <v/>
      </c>
      <c r="P37" s="29" t="n">
        <v>0.43</v>
      </c>
      <c r="Q37" s="30" t="n">
        <v>0.664</v>
      </c>
      <c r="R37" s="28">
        <f>(1-ABS(P37-Q37)/P37)*100</f>
        <v/>
      </c>
      <c r="S37" s="31" t="n">
        <v>13</v>
      </c>
      <c r="T37" s="29" t="n">
        <v>12.64</v>
      </c>
      <c r="U37" s="28">
        <f>(1-ABS(S37-T37)/S37)*100</f>
        <v/>
      </c>
    </row>
    <row r="38">
      <c r="B38" s="24" t="inlineStr">
        <is>
          <t>12/2</t>
        </is>
      </c>
      <c r="C38" s="25" t="n">
        <v>4027</v>
      </c>
      <c r="D38" s="26" t="n">
        <v>2.53</v>
      </c>
      <c r="E38" s="27" t="n">
        <v>2.525</v>
      </c>
      <c r="F38" s="28">
        <f>(1-ABS(D38-E38)/D38)*100</f>
        <v/>
      </c>
      <c r="G38" s="27" t="n">
        <v>0.144</v>
      </c>
      <c r="H38" s="27" t="n">
        <v>0.162</v>
      </c>
      <c r="I38" s="28">
        <f>(1-ABS(G38-H38)/G38)*100</f>
        <v/>
      </c>
      <c r="J38" s="26" t="n">
        <v>0.84</v>
      </c>
      <c r="K38" s="27" t="n">
        <v>1.02</v>
      </c>
      <c r="L38" s="28">
        <f>(1-ABS(J38-K38)/J38)*100</f>
        <v/>
      </c>
      <c r="M38" s="26" t="n">
        <v>0.2</v>
      </c>
      <c r="N38" s="27" t="n">
        <v>0.294</v>
      </c>
      <c r="O38" s="28">
        <f>(1-ABS(M38-N38)/M38)*100</f>
        <v/>
      </c>
      <c r="P38" s="29" t="n">
        <v>0.49</v>
      </c>
      <c r="Q38" s="30" t="n">
        <v>0.653</v>
      </c>
      <c r="R38" s="28">
        <f>(1-ABS(P38-Q38)/P38)*100</f>
        <v/>
      </c>
      <c r="S38" s="31" t="n">
        <v>11</v>
      </c>
      <c r="T38" s="29" t="n">
        <v>13.2</v>
      </c>
      <c r="U38" s="28">
        <f>(1-ABS(S38-T38)/S38)*100</f>
        <v/>
      </c>
    </row>
    <row r="39">
      <c r="B39" s="24" t="inlineStr">
        <is>
          <t>12/3</t>
        </is>
      </c>
      <c r="C39" s="25" t="n">
        <v>3851</v>
      </c>
      <c r="D39" s="26" t="n">
        <v>2.65</v>
      </c>
      <c r="E39" s="27" t="n">
        <v>2.377</v>
      </c>
      <c r="F39" s="28">
        <f>(1-ABS(D39-E39)/D39)*100</f>
        <v/>
      </c>
      <c r="G39" s="27" t="n">
        <v>0.165</v>
      </c>
      <c r="H39" s="27" t="n">
        <v>0.154</v>
      </c>
      <c r="I39" s="28">
        <f>(1-ABS(G39-H39)/G39)*100</f>
        <v/>
      </c>
      <c r="J39" s="26" t="n">
        <v>0.91</v>
      </c>
      <c r="K39" s="27" t="n">
        <v>0.948</v>
      </c>
      <c r="L39" s="28">
        <f>(1-ABS(J39-K39)/J39)*100</f>
        <v/>
      </c>
      <c r="M39" s="26" t="n">
        <v>0.28</v>
      </c>
      <c r="N39" s="27" t="n">
        <v>0.291</v>
      </c>
      <c r="O39" s="28">
        <f>(1-ABS(M39-N39)/M39)*100</f>
        <v/>
      </c>
      <c r="P39" s="29" t="n">
        <v>0.43</v>
      </c>
      <c r="Q39" s="30" t="n">
        <v>0.649</v>
      </c>
      <c r="R39" s="28">
        <f>(1-ABS(P39-Q39)/P39)*100</f>
        <v/>
      </c>
      <c r="S39" s="31" t="n">
        <v>16</v>
      </c>
      <c r="T39" s="29" t="n">
        <v>11.18</v>
      </c>
      <c r="U39" s="28">
        <f>(1-ABS(S39-T39)/S39)*100</f>
        <v/>
      </c>
    </row>
    <row r="40">
      <c r="B40" s="24" t="inlineStr">
        <is>
          <t>12/4</t>
        </is>
      </c>
      <c r="C40" s="25" t="n">
        <v>4629</v>
      </c>
      <c r="D40" s="26" t="n">
        <v>2.71</v>
      </c>
      <c r="E40" s="27" t="n">
        <v>2.311</v>
      </c>
      <c r="F40" s="28">
        <f>(1-ABS(D40-E40)/D40)*100</f>
        <v/>
      </c>
      <c r="G40" s="27" t="n">
        <v>0.147</v>
      </c>
      <c r="H40" s="27" t="n">
        <v>0.148</v>
      </c>
      <c r="I40" s="28">
        <f>(1-ABS(G40-H40)/G40)*100</f>
        <v/>
      </c>
      <c r="J40" s="26" t="n">
        <v>0.85</v>
      </c>
      <c r="K40" s="27" t="n">
        <v>0.923</v>
      </c>
      <c r="L40" s="28">
        <f>(1-ABS(J40-K40)/J40)*100</f>
        <v/>
      </c>
      <c r="M40" s="26" t="n">
        <v>0.29</v>
      </c>
      <c r="N40" s="27" t="n">
        <v>0.282</v>
      </c>
      <c r="O40" s="28">
        <f>(1-ABS(M40-N40)/M40)*100</f>
        <v/>
      </c>
      <c r="P40" s="29" t="n">
        <v>0.41</v>
      </c>
      <c r="Q40" s="30" t="n">
        <v>0.621</v>
      </c>
      <c r="R40" s="28">
        <f>(1-ABS(P40-Q40)/P40)*100</f>
        <v/>
      </c>
      <c r="S40" s="31" t="n">
        <v>14</v>
      </c>
      <c r="T40" s="29" t="n">
        <v>11.11</v>
      </c>
      <c r="U40" s="28">
        <f>(1-ABS(S40-T40)/S40)*100</f>
        <v/>
      </c>
    </row>
    <row r="41">
      <c r="B41" s="24" t="inlineStr">
        <is>
          <t>12/5</t>
        </is>
      </c>
      <c r="C41" s="25" t="n">
        <v>4896</v>
      </c>
      <c r="D41" s="26" t="n">
        <v>2.68</v>
      </c>
      <c r="E41" s="27" t="n">
        <v>2.538</v>
      </c>
      <c r="F41" s="28">
        <f>(1-ABS(D41-E41)/D41)*100</f>
        <v/>
      </c>
      <c r="G41" s="27" t="n">
        <v>0.156</v>
      </c>
      <c r="H41" s="27" t="n">
        <v>0.163</v>
      </c>
      <c r="I41" s="28">
        <f>(1-ABS(G41-H41)/G41)*100</f>
        <v/>
      </c>
      <c r="J41" s="26" t="n">
        <v>0.93</v>
      </c>
      <c r="K41" s="27" t="n">
        <v>1.012</v>
      </c>
      <c r="L41" s="28">
        <f>(1-ABS(J41-K41)/J41)*100</f>
        <v/>
      </c>
      <c r="M41" s="26" t="n">
        <v>0.29</v>
      </c>
      <c r="N41" s="27" t="n">
        <v>0.267</v>
      </c>
      <c r="O41" s="28">
        <f>(1-ABS(M41-N41)/M41)*100</f>
        <v/>
      </c>
      <c r="P41" s="29" t="n">
        <v>0.45</v>
      </c>
      <c r="Q41" s="30" t="n">
        <v>0.646</v>
      </c>
      <c r="R41" s="28">
        <f>(1-ABS(P41-Q41)/P41)*100</f>
        <v/>
      </c>
      <c r="S41" s="31" t="n">
        <v>14</v>
      </c>
      <c r="T41" s="29" t="n">
        <v>13.93</v>
      </c>
      <c r="U41" s="28">
        <f>(1-ABS(S41-T41)/S41)*100</f>
        <v/>
      </c>
    </row>
    <row r="42">
      <c r="B42" s="24" t="inlineStr">
        <is>
          <t>12/A</t>
        </is>
      </c>
      <c r="C42" s="25" t="n">
        <v>4409</v>
      </c>
      <c r="D42" s="26" t="n">
        <v>2.57</v>
      </c>
      <c r="E42" s="27" t="n">
        <v>2.561</v>
      </c>
      <c r="F42" s="28">
        <f>(1-ABS(D42-E42)/D42)*100</f>
        <v/>
      </c>
      <c r="G42" s="27" t="n">
        <v>0.157</v>
      </c>
      <c r="H42" s="27" t="n">
        <v>0.164</v>
      </c>
      <c r="I42" s="28">
        <f>(1-ABS(G42-H42)/G42)*100</f>
        <v/>
      </c>
      <c r="J42" s="26" t="n">
        <v>0.95</v>
      </c>
      <c r="K42" s="27" t="n">
        <v>1.037</v>
      </c>
      <c r="L42" s="28">
        <f>(1-ABS(J42-K42)/J42)*100</f>
        <v/>
      </c>
      <c r="M42" s="26" t="n">
        <v>0.3</v>
      </c>
      <c r="N42" s="27" t="n">
        <v>0.281</v>
      </c>
      <c r="O42" s="28">
        <f>(1-ABS(M42-N42)/M42)*100</f>
        <v/>
      </c>
      <c r="P42" s="29" t="n">
        <v>0.42</v>
      </c>
      <c r="Q42" s="30" t="n">
        <v>0.643</v>
      </c>
      <c r="R42" s="28">
        <f>(1-ABS(P42-Q42)/P42)*100</f>
        <v/>
      </c>
      <c r="S42" s="31" t="n">
        <v>14</v>
      </c>
      <c r="T42" s="29" t="n">
        <v>13.91</v>
      </c>
      <c r="U42" s="28">
        <f>(1-ABS(S42-T42)/S42)*100</f>
        <v/>
      </c>
    </row>
    <row r="43">
      <c r="B43" s="24" t="inlineStr">
        <is>
          <t>12/B</t>
        </is>
      </c>
      <c r="C43" s="25" t="n">
        <v>3999</v>
      </c>
      <c r="D43" s="26" t="n">
        <v>2.71</v>
      </c>
      <c r="E43" s="27" t="n">
        <v>2.551</v>
      </c>
      <c r="F43" s="28">
        <f>(1-ABS(D43-E43)/D43)*100</f>
        <v/>
      </c>
      <c r="G43" s="27" t="n">
        <v>0.163</v>
      </c>
      <c r="H43" s="27" t="n">
        <v>0.165</v>
      </c>
      <c r="I43" s="28">
        <f>(1-ABS(G43-H43)/G43)*100</f>
        <v/>
      </c>
      <c r="J43" s="26" t="n">
        <v>0.93</v>
      </c>
      <c r="K43" s="27" t="n">
        <v>1.021</v>
      </c>
      <c r="L43" s="28">
        <f>(1-ABS(J43-K43)/J43)*100</f>
        <v/>
      </c>
      <c r="M43" s="26" t="n">
        <v>0.28</v>
      </c>
      <c r="N43" s="27" t="n">
        <v>0.28</v>
      </c>
      <c r="O43" s="28">
        <f>(1-ABS(M43-N43)/M43)*100</f>
        <v/>
      </c>
      <c r="P43" s="29" t="n">
        <v>0.43</v>
      </c>
      <c r="Q43" s="30" t="n">
        <v>0.651</v>
      </c>
      <c r="R43" s="28">
        <f>(1-ABS(P43-Q43)/P43)*100</f>
        <v/>
      </c>
      <c r="S43" s="31" t="n">
        <v>15</v>
      </c>
      <c r="T43" s="29" t="n">
        <v>14.22</v>
      </c>
      <c r="U43" s="28">
        <f>(1-ABS(S43-T43)/S43)*100</f>
        <v/>
      </c>
    </row>
    <row r="44">
      <c r="B44" s="24" t="inlineStr">
        <is>
          <t>12/C</t>
        </is>
      </c>
      <c r="C44" s="25" t="n">
        <v>4057</v>
      </c>
      <c r="D44" s="26" t="n">
        <v>2.64</v>
      </c>
      <c r="E44" s="27" t="n">
        <v>2.281</v>
      </c>
      <c r="F44" s="28">
        <f>(1-ABS(D44-E44)/D44)*100</f>
        <v/>
      </c>
      <c r="G44" s="27" t="n">
        <v>0.165</v>
      </c>
      <c r="H44" s="27" t="n">
        <v>0.146</v>
      </c>
      <c r="I44" s="28">
        <f>(1-ABS(G44-H44)/G44)*100</f>
        <v/>
      </c>
      <c r="J44" s="26" t="n">
        <v>0.91</v>
      </c>
      <c r="K44" s="27" t="n">
        <v>0.92</v>
      </c>
      <c r="L44" s="28">
        <f>(1-ABS(J44-K44)/J44)*100</f>
        <v/>
      </c>
      <c r="M44" s="26" t="n">
        <v>0.32</v>
      </c>
      <c r="N44" s="27" t="n">
        <v>0.251</v>
      </c>
      <c r="O44" s="28">
        <f>(1-ABS(M44-N44)/M44)*100</f>
        <v/>
      </c>
      <c r="P44" s="29" t="n">
        <v>0.5600000000000001</v>
      </c>
      <c r="Q44" s="30" t="n">
        <v>0.578</v>
      </c>
      <c r="R44" s="28">
        <f>(1-ABS(P44-Q44)/P44)*100</f>
        <v/>
      </c>
      <c r="S44" s="31" t="n">
        <v>17</v>
      </c>
      <c r="T44" s="29" t="n">
        <v>12.29</v>
      </c>
      <c r="U44" s="28">
        <f>(1-ABS(S44-T44)/S44)*100</f>
        <v/>
      </c>
    </row>
    <row r="45">
      <c r="B45" s="24" t="inlineStr">
        <is>
          <t>12/D</t>
        </is>
      </c>
      <c r="C45" s="25" t="n">
        <v>3465</v>
      </c>
      <c r="D45" s="26" t="n">
        <v>2.55</v>
      </c>
      <c r="E45" s="27" t="n">
        <v>2.561</v>
      </c>
      <c r="F45" s="28">
        <f>(1-ABS(D45-E45)/D45)*100</f>
        <v/>
      </c>
      <c r="G45" s="27" t="n">
        <v>0.169</v>
      </c>
      <c r="H45" s="27" t="n">
        <v>0.163</v>
      </c>
      <c r="I45" s="28">
        <f>(1-ABS(G45-H45)/G45)*100</f>
        <v/>
      </c>
      <c r="J45" s="26" t="n">
        <v>0.97</v>
      </c>
      <c r="K45" s="27" t="n">
        <v>1.024</v>
      </c>
      <c r="L45" s="28">
        <f>(1-ABS(J45-K45)/J45)*100</f>
        <v/>
      </c>
      <c r="M45" s="26" t="n">
        <v>0.32</v>
      </c>
      <c r="N45" s="27" t="n">
        <v>0.257</v>
      </c>
      <c r="O45" s="28">
        <f>(1-ABS(M45-N45)/M45)*100</f>
        <v/>
      </c>
      <c r="P45" s="29" t="n">
        <v>0.43</v>
      </c>
      <c r="Q45" s="30" t="n">
        <v>0.648</v>
      </c>
      <c r="R45" s="28">
        <f>(1-ABS(P45-Q45)/P45)*100</f>
        <v/>
      </c>
      <c r="S45" s="31" t="n">
        <v>18</v>
      </c>
      <c r="T45" s="29" t="n">
        <v>14.03</v>
      </c>
      <c r="U45" s="28">
        <f>(1-ABS(S45-T45)/S45)*100</f>
        <v/>
      </c>
    </row>
    <row r="46">
      <c r="B46" s="24" t="inlineStr">
        <is>
          <t>12/E</t>
        </is>
      </c>
      <c r="C46" s="25" t="n">
        <v>4247</v>
      </c>
      <c r="D46" s="26" t="n">
        <v>2.73</v>
      </c>
      <c r="E46" s="27" t="n">
        <v>2.485</v>
      </c>
      <c r="F46" s="28">
        <f>(1-ABS(D46-E46)/D46)*100</f>
        <v/>
      </c>
      <c r="G46" s="27" t="n">
        <v>0.165</v>
      </c>
      <c r="H46" s="27" t="n">
        <v>0.159</v>
      </c>
      <c r="I46" s="28">
        <f>(1-ABS(G46-H46)/G46)*100</f>
        <v/>
      </c>
      <c r="J46" s="26" t="n">
        <v>0.91</v>
      </c>
      <c r="K46" s="27" t="n">
        <v>0.996</v>
      </c>
      <c r="L46" s="28">
        <f>(1-ABS(J46-K46)/J46)*100</f>
        <v/>
      </c>
      <c r="M46" s="26" t="n">
        <v>0.28</v>
      </c>
      <c r="N46" s="27" t="n">
        <v>0.266</v>
      </c>
      <c r="O46" s="28">
        <f>(1-ABS(M46-N46)/M46)*100</f>
        <v/>
      </c>
      <c r="P46" s="29" t="n">
        <v>0.43</v>
      </c>
      <c r="Q46" s="30" t="n">
        <v>0.639</v>
      </c>
      <c r="R46" s="28">
        <f>(1-ABS(P46-Q46)/P46)*100</f>
        <v/>
      </c>
      <c r="S46" s="31" t="n">
        <v>15</v>
      </c>
      <c r="T46" s="29" t="n">
        <v>13.2</v>
      </c>
      <c r="U46" s="28">
        <f>(1-ABS(S46-T46)/S46)*100</f>
        <v/>
      </c>
    </row>
    <row r="47">
      <c r="B47" s="24" t="inlineStr">
        <is>
          <t>12/F</t>
        </is>
      </c>
      <c r="C47" s="25" t="n">
        <v>3196</v>
      </c>
      <c r="D47" s="26" t="n">
        <v>2.61</v>
      </c>
      <c r="E47" s="27" t="n">
        <v>2.547</v>
      </c>
      <c r="F47" s="28">
        <f>(1-ABS(D47-E47)/D47)*100</f>
        <v/>
      </c>
      <c r="G47" s="27" t="n">
        <v>0.142</v>
      </c>
      <c r="H47" s="27" t="n">
        <v>0.164</v>
      </c>
      <c r="I47" s="28">
        <f>(1-ABS(G47-H47)/G47)*100</f>
        <v/>
      </c>
      <c r="J47" s="26" t="n">
        <v>0.84</v>
      </c>
      <c r="K47" s="27" t="n">
        <v>1.024</v>
      </c>
      <c r="L47" s="28">
        <f>(1-ABS(J47-K47)/J47)*100</f>
        <v/>
      </c>
      <c r="M47" s="26" t="n">
        <v>0.21</v>
      </c>
      <c r="N47" s="27" t="n">
        <v>0.26</v>
      </c>
      <c r="O47" s="28">
        <f>(1-ABS(M47-N47)/M47)*100</f>
        <v/>
      </c>
      <c r="P47" s="29" t="n">
        <v>0.49</v>
      </c>
      <c r="Q47" s="30" t="n">
        <v>0.648</v>
      </c>
      <c r="R47" s="28">
        <f>(1-ABS(P47-Q47)/P47)*100</f>
        <v/>
      </c>
      <c r="S47" s="31" t="n">
        <v>11</v>
      </c>
      <c r="T47" s="29" t="n">
        <v>14.24</v>
      </c>
      <c r="U47" s="28">
        <f>(1-ABS(S47-T47)/S47)*100</f>
        <v/>
      </c>
    </row>
    <row r="48">
      <c r="B48" s="24" t="inlineStr">
        <is>
          <t>12/G</t>
        </is>
      </c>
      <c r="C48" s="25" t="n">
        <v>4495</v>
      </c>
      <c r="D48" s="26" t="n">
        <v>2.53</v>
      </c>
      <c r="E48" s="27" t="n">
        <v>2.591</v>
      </c>
      <c r="F48" s="28">
        <f>(1-ABS(D48-E48)/D48)*100</f>
        <v/>
      </c>
      <c r="G48" s="27" t="n">
        <v>0.159</v>
      </c>
      <c r="H48" s="27" t="n">
        <v>0.163</v>
      </c>
      <c r="I48" s="28">
        <f>(1-ABS(G48-H48)/G48)*100</f>
        <v/>
      </c>
      <c r="J48" s="26" t="n">
        <v>0.9</v>
      </c>
      <c r="K48" s="27" t="n">
        <v>1.034</v>
      </c>
      <c r="L48" s="28">
        <f>(1-ABS(J48-K48)/J48)*100</f>
        <v/>
      </c>
      <c r="M48" s="26" t="n">
        <v>0.28</v>
      </c>
      <c r="N48" s="27" t="n">
        <v>0.273</v>
      </c>
      <c r="O48" s="28">
        <f>(1-ABS(M48-N48)/M48)*100</f>
        <v/>
      </c>
      <c r="P48" s="29" t="n">
        <v>0.4</v>
      </c>
      <c r="Q48" s="30" t="n">
        <v>0.66</v>
      </c>
      <c r="R48" s="28">
        <f>(1-ABS(P48-Q48)/P48)*100</f>
        <v/>
      </c>
      <c r="S48" s="31" t="n">
        <v>14</v>
      </c>
      <c r="T48" s="29" t="n">
        <v>13.86</v>
      </c>
      <c r="U48" s="28">
        <f>(1-ABS(S48-T48)/S48)*100</f>
        <v/>
      </c>
    </row>
    <row r="49">
      <c r="B49" s="24" t="inlineStr">
        <is>
          <t>12/H</t>
        </is>
      </c>
      <c r="C49" s="25" t="n">
        <v>3069</v>
      </c>
      <c r="D49" s="26" t="n">
        <v>2.62</v>
      </c>
      <c r="E49" s="27" t="n">
        <v>2.582</v>
      </c>
      <c r="F49" s="28">
        <f>(1-ABS(D49-E49)/D49)*100</f>
        <v/>
      </c>
      <c r="G49" s="27" t="n">
        <v>0.16</v>
      </c>
      <c r="H49" s="27" t="n">
        <v>0.164</v>
      </c>
      <c r="I49" s="28">
        <f>(1-ABS(G49-H49)/G49)*100</f>
        <v/>
      </c>
      <c r="J49" s="26" t="n">
        <v>0.99</v>
      </c>
      <c r="K49" s="27" t="n">
        <v>1.048</v>
      </c>
      <c r="L49" s="28">
        <f>(1-ABS(J49-K49)/J49)*100</f>
        <v/>
      </c>
      <c r="M49" s="26" t="n">
        <v>0.29</v>
      </c>
      <c r="N49" s="27" t="n">
        <v>0.276</v>
      </c>
      <c r="O49" s="28">
        <f>(1-ABS(M49-N49)/M49)*100</f>
        <v/>
      </c>
      <c r="P49" s="29" t="n">
        <v>0.48</v>
      </c>
      <c r="Q49" s="30" t="n">
        <v>0.652</v>
      </c>
      <c r="R49" s="28">
        <f>(1-ABS(P49-Q49)/P49)*100</f>
        <v/>
      </c>
      <c r="S49" s="31" t="n">
        <v>15</v>
      </c>
      <c r="T49" s="29" t="n">
        <v>13.83</v>
      </c>
      <c r="U49" s="28">
        <f>(1-ABS(S49-T49)/S49)*100</f>
        <v/>
      </c>
    </row>
    <row r="50">
      <c r="B50" s="24" t="inlineStr">
        <is>
          <t>12/J</t>
        </is>
      </c>
      <c r="C50" s="25" t="n">
        <v>3576</v>
      </c>
      <c r="D50" s="26" t="n">
        <v>2.65</v>
      </c>
      <c r="E50" s="27" t="n">
        <v>2.498</v>
      </c>
      <c r="F50" s="28">
        <f>(1-ABS(D50-E50)/D50)*100</f>
        <v/>
      </c>
      <c r="G50" s="27" t="n">
        <v>0.155</v>
      </c>
      <c r="H50" s="27" t="n">
        <v>0.157</v>
      </c>
      <c r="I50" s="28">
        <f>(1-ABS(G50-H50)/G50)*100</f>
        <v/>
      </c>
      <c r="J50" s="26" t="n">
        <v>0.95</v>
      </c>
      <c r="K50" s="27" t="n">
        <v>1.012</v>
      </c>
      <c r="L50" s="28">
        <f>(1-ABS(J50-K50)/J50)*100</f>
        <v/>
      </c>
      <c r="M50" s="26" t="n">
        <v>0.25</v>
      </c>
      <c r="N50" s="27" t="n">
        <v>0.267</v>
      </c>
      <c r="O50" s="28">
        <f>(1-ABS(M50-N50)/M50)*100</f>
        <v/>
      </c>
      <c r="P50" s="29" t="n">
        <v>0.51</v>
      </c>
      <c r="Q50" s="30" t="n">
        <v>0.644</v>
      </c>
      <c r="R50" s="28">
        <f>(1-ABS(P50-Q50)/P50)*100</f>
        <v/>
      </c>
      <c r="S50" s="31" t="n">
        <v>16</v>
      </c>
      <c r="T50" s="29" t="n">
        <v>13.28</v>
      </c>
      <c r="U50" s="28">
        <f>(1-ABS(S50-T50)/S50)*100</f>
        <v/>
      </c>
    </row>
    <row r="51">
      <c r="B51" s="24" t="inlineStr">
        <is>
          <t>13/A</t>
        </is>
      </c>
      <c r="C51" s="25" t="n">
        <v>5589</v>
      </c>
      <c r="D51" s="26" t="n">
        <v>2.69</v>
      </c>
      <c r="E51" s="27" t="n">
        <v>2.569</v>
      </c>
      <c r="F51" s="28">
        <f>(1-ABS(D51-E51)/D51)*100</f>
        <v/>
      </c>
      <c r="G51" s="27" t="n">
        <v>0.157</v>
      </c>
      <c r="H51" s="27" t="n">
        <v>0.164</v>
      </c>
      <c r="I51" s="28">
        <f>(1-ABS(G51-H51)/G51)*100</f>
        <v/>
      </c>
      <c r="J51" s="26" t="n">
        <v>0.88</v>
      </c>
      <c r="K51" s="27" t="n">
        <v>1.021</v>
      </c>
      <c r="L51" s="28">
        <f>(1-ABS(J51-K51)/J51)*100</f>
        <v/>
      </c>
      <c r="M51" s="26" t="n">
        <v>0.26</v>
      </c>
      <c r="N51" s="27" t="n">
        <v>0.259</v>
      </c>
      <c r="O51" s="28">
        <f>(1-ABS(M51-N51)/M51)*100</f>
        <v/>
      </c>
      <c r="P51" s="29" t="n">
        <v>0.41</v>
      </c>
      <c r="Q51" s="30" t="n">
        <v>0.644</v>
      </c>
      <c r="R51" s="28">
        <f>(1-ABS(P51-Q51)/P51)*100</f>
        <v/>
      </c>
      <c r="S51" s="31" t="n">
        <v>14</v>
      </c>
      <c r="T51" s="29" t="n">
        <v>14.41</v>
      </c>
      <c r="U51" s="28">
        <f>(1-ABS(S51-T51)/S51)*100</f>
        <v/>
      </c>
    </row>
    <row r="52">
      <c r="B52" s="24" t="inlineStr">
        <is>
          <t>13/B</t>
        </is>
      </c>
      <c r="C52" s="25" t="n">
        <v>4543</v>
      </c>
      <c r="D52" s="26" t="n">
        <v>2.67</v>
      </c>
      <c r="E52" s="27" t="n">
        <v>2.575</v>
      </c>
      <c r="F52" s="28">
        <f>(1-ABS(D52-E52)/D52)*100</f>
        <v/>
      </c>
      <c r="G52" s="27" t="n">
        <v>0.144</v>
      </c>
      <c r="H52" s="27" t="n">
        <v>0.164</v>
      </c>
      <c r="I52" s="28">
        <f>(1-ABS(G52-H52)/G52)*100</f>
        <v/>
      </c>
      <c r="J52" s="26" t="n">
        <v>0.83</v>
      </c>
      <c r="K52" s="27" t="n">
        <v>1.037</v>
      </c>
      <c r="L52" s="28">
        <f>(1-ABS(J52-K52)/J52)*100</f>
        <v/>
      </c>
      <c r="M52" s="26" t="n">
        <v>0.23</v>
      </c>
      <c r="N52" s="27" t="n">
        <v>0.269</v>
      </c>
      <c r="O52" s="28">
        <f>(1-ABS(M52-N52)/M52)*100</f>
        <v/>
      </c>
      <c r="P52" s="29" t="n">
        <v>0.43</v>
      </c>
      <c r="Q52" s="30" t="n">
        <v>0.66</v>
      </c>
      <c r="R52" s="28">
        <f>(1-ABS(P52-Q52)/P52)*100</f>
        <v/>
      </c>
      <c r="S52" s="31" t="n">
        <v>13</v>
      </c>
      <c r="T52" s="29" t="n">
        <v>13.66</v>
      </c>
      <c r="U52" s="28">
        <f>(1-ABS(S52-T52)/S52)*100</f>
        <v/>
      </c>
    </row>
    <row r="53">
      <c r="B53" s="24" t="inlineStr">
        <is>
          <t>13/C</t>
        </is>
      </c>
      <c r="C53" s="25" t="n">
        <v>3517</v>
      </c>
      <c r="D53" s="26" t="n">
        <v>2.66</v>
      </c>
      <c r="E53" s="27" t="n">
        <v>2.583</v>
      </c>
      <c r="F53" s="28">
        <f>(1-ABS(D53-E53)/D53)*100</f>
        <v/>
      </c>
      <c r="G53" s="27" t="n">
        <v>0.165</v>
      </c>
      <c r="H53" s="27" t="n">
        <v>0.165</v>
      </c>
      <c r="I53" s="28">
        <f>(1-ABS(G53-H53)/G53)*100</f>
        <v/>
      </c>
      <c r="J53" s="26" t="n">
        <v>0.9399999999999999</v>
      </c>
      <c r="K53" s="27" t="n">
        <v>1.026</v>
      </c>
      <c r="L53" s="28">
        <f>(1-ABS(J53-K53)/J53)*100</f>
        <v/>
      </c>
      <c r="M53" s="26" t="n">
        <v>0.28</v>
      </c>
      <c r="N53" s="27" t="n">
        <v>0.269</v>
      </c>
      <c r="O53" s="28">
        <f>(1-ABS(M53-N53)/M53)*100</f>
        <v/>
      </c>
      <c r="P53" s="29" t="n">
        <v>0.4</v>
      </c>
      <c r="Q53" s="30" t="n">
        <v>0.657</v>
      </c>
      <c r="R53" s="28">
        <f>(1-ABS(P53-Q53)/P53)*100</f>
        <v/>
      </c>
      <c r="S53" s="31" t="n">
        <v>15</v>
      </c>
      <c r="T53" s="29" t="n">
        <v>14.03</v>
      </c>
      <c r="U53" s="28">
        <f>(1-ABS(S53-T53)/S53)*100</f>
        <v/>
      </c>
    </row>
    <row r="54">
      <c r="B54" s="24" t="inlineStr">
        <is>
          <t>13/D</t>
        </is>
      </c>
      <c r="C54" s="25" t="n">
        <v>3709</v>
      </c>
      <c r="D54" s="26" t="n">
        <v>2.63</v>
      </c>
      <c r="E54" s="27" t="n">
        <v>2.583</v>
      </c>
      <c r="F54" s="28">
        <f>(1-ABS(D54-E54)/D54)*100</f>
        <v/>
      </c>
      <c r="G54" s="27" t="n">
        <v>0.168</v>
      </c>
      <c r="H54" s="27" t="n">
        <v>0.164</v>
      </c>
      <c r="I54" s="28">
        <f>(1-ABS(G54-H54)/G54)*100</f>
        <v/>
      </c>
      <c r="J54" s="26" t="n">
        <v>0.92</v>
      </c>
      <c r="K54" s="27" t="n">
        <v>1.036</v>
      </c>
      <c r="L54" s="28">
        <f>(1-ABS(J54-K54)/J54)*100</f>
        <v/>
      </c>
      <c r="M54" s="26" t="n">
        <v>0.3</v>
      </c>
      <c r="N54" s="27" t="n">
        <v>0.28</v>
      </c>
      <c r="O54" s="28">
        <f>(1-ABS(M54-N54)/M54)*100</f>
        <v/>
      </c>
      <c r="P54" s="29" t="n">
        <v>0.47</v>
      </c>
      <c r="Q54" s="30" t="n">
        <v>0.666</v>
      </c>
      <c r="R54" s="28">
        <f>(1-ABS(P54-Q54)/P54)*100</f>
        <v/>
      </c>
      <c r="S54" s="31" t="n">
        <v>16</v>
      </c>
      <c r="T54" s="29" t="n">
        <v>13.91</v>
      </c>
      <c r="U54" s="28">
        <f>(1-ABS(S54-T54)/S54)*100</f>
        <v/>
      </c>
    </row>
    <row r="55">
      <c r="B55" s="24" t="inlineStr">
        <is>
          <t>13/E</t>
        </is>
      </c>
      <c r="C55" s="25" t="n">
        <v>6481</v>
      </c>
      <c r="D55" s="26" t="n">
        <v>2.66</v>
      </c>
      <c r="E55" s="27" t="n">
        <v>2.496</v>
      </c>
      <c r="F55" s="28">
        <f>(1-ABS(D55-E55)/D55)*100</f>
        <v/>
      </c>
      <c r="G55" s="27" t="n">
        <v>0.168</v>
      </c>
      <c r="H55" s="27" t="n">
        <v>0.16</v>
      </c>
      <c r="I55" s="28">
        <f>(1-ABS(G55-H55)/G55)*100</f>
        <v/>
      </c>
      <c r="J55" s="26" t="n">
        <v>0.91</v>
      </c>
      <c r="K55" s="27" t="n">
        <v>1.026</v>
      </c>
      <c r="L55" s="28">
        <f>(1-ABS(J55-K55)/J55)*100</f>
        <v/>
      </c>
      <c r="M55" s="26" t="n">
        <v>0.32</v>
      </c>
      <c r="N55" s="27" t="n">
        <v>0.273</v>
      </c>
      <c r="O55" s="28">
        <f>(1-ABS(M55-N55)/M55)*100</f>
        <v/>
      </c>
      <c r="P55" s="29" t="n">
        <v>0.45</v>
      </c>
      <c r="Q55" s="30" t="n">
        <v>0.637</v>
      </c>
      <c r="R55" s="28">
        <f>(1-ABS(P55-Q55)/P55)*100</f>
        <v/>
      </c>
      <c r="S55" s="31" t="n">
        <v>15</v>
      </c>
      <c r="T55" s="29" t="n">
        <v>13.09</v>
      </c>
      <c r="U55" s="28">
        <f>(1-ABS(S55-T55)/S55)*100</f>
        <v/>
      </c>
    </row>
    <row r="56">
      <c r="B56" s="24" t="inlineStr">
        <is>
          <t>13/F</t>
        </is>
      </c>
      <c r="C56" s="25" t="n">
        <v>3756</v>
      </c>
      <c r="D56" s="26" t="n">
        <v>2.69</v>
      </c>
      <c r="E56" s="27" t="n">
        <v>2.591</v>
      </c>
      <c r="F56" s="28">
        <f>(1-ABS(D56-E56)/D56)*100</f>
        <v/>
      </c>
      <c r="G56" s="27" t="n">
        <v>0.169</v>
      </c>
      <c r="H56" s="27" t="n">
        <v>0.164</v>
      </c>
      <c r="I56" s="28">
        <f>(1-ABS(G56-H56)/G56)*100</f>
        <v/>
      </c>
      <c r="J56" s="26" t="n">
        <v>0.91</v>
      </c>
      <c r="K56" s="27" t="n">
        <v>1.05</v>
      </c>
      <c r="L56" s="28">
        <f>(1-ABS(J56-K56)/J56)*100</f>
        <v/>
      </c>
      <c r="M56" s="26" t="n">
        <v>0.28</v>
      </c>
      <c r="N56" s="27" t="n">
        <v>0.281</v>
      </c>
      <c r="O56" s="28">
        <f>(1-ABS(M56-N56)/M56)*100</f>
        <v/>
      </c>
      <c r="P56" s="29" t="n">
        <v>0.44</v>
      </c>
      <c r="Q56" s="30" t="n">
        <v>0.665</v>
      </c>
      <c r="R56" s="28">
        <f>(1-ABS(P56-Q56)/P56)*100</f>
        <v/>
      </c>
      <c r="S56" s="31" t="n">
        <v>18</v>
      </c>
      <c r="T56" s="29" t="n">
        <v>13.81</v>
      </c>
      <c r="U56" s="28">
        <f>(1-ABS(S56-T56)/S56)*100</f>
        <v/>
      </c>
    </row>
    <row r="57">
      <c r="B57" s="24" t="inlineStr">
        <is>
          <t>13/N</t>
        </is>
      </c>
      <c r="C57" s="25" t="n">
        <v>3522</v>
      </c>
      <c r="D57" s="26" t="n">
        <v>2.54</v>
      </c>
      <c r="E57" s="27" t="n">
        <v>2.455</v>
      </c>
      <c r="F57" s="28">
        <f>(1-ABS(D57-E57)/D57)*100</f>
        <v/>
      </c>
      <c r="G57" s="27" t="n">
        <v>0.163</v>
      </c>
      <c r="H57" s="27" t="n">
        <v>0.161</v>
      </c>
      <c r="I57" s="28">
        <f>(1-ABS(G57-H57)/G57)*100</f>
        <v/>
      </c>
      <c r="J57" s="26" t="n">
        <v>0.82</v>
      </c>
      <c r="K57" s="27" t="n">
        <v>0.991</v>
      </c>
      <c r="L57" s="28">
        <f>(1-ABS(J57-K57)/J57)*100</f>
        <v/>
      </c>
      <c r="M57" s="26" t="n">
        <v>0.29</v>
      </c>
      <c r="N57" s="27" t="n">
        <v>0.293</v>
      </c>
      <c r="O57" s="28">
        <f>(1-ABS(M57-N57)/M57)*100</f>
        <v/>
      </c>
      <c r="P57" s="29" t="n">
        <v>0.52</v>
      </c>
      <c r="Q57" s="30" t="n">
        <v>0.66</v>
      </c>
      <c r="R57" s="28">
        <f>(1-ABS(P57-Q57)/P57)*100</f>
        <v/>
      </c>
      <c r="S57" s="31" t="n">
        <v>18</v>
      </c>
      <c r="T57" s="29" t="n">
        <v>11.66</v>
      </c>
      <c r="U57" s="28">
        <f>(1-ABS(S57-T57)/S57)*100</f>
        <v/>
      </c>
    </row>
    <row r="58">
      <c r="B58" s="24" t="inlineStr">
        <is>
          <t>13/G</t>
        </is>
      </c>
      <c r="C58" s="25" t="n">
        <v>3549</v>
      </c>
      <c r="D58" s="26" t="n">
        <v>2.67</v>
      </c>
      <c r="E58" s="27" t="n">
        <v>2.547</v>
      </c>
      <c r="F58" s="28">
        <f>(1-ABS(D58-E58)/D58)*100</f>
        <v/>
      </c>
      <c r="G58" s="27" t="n">
        <v>0.143</v>
      </c>
      <c r="H58" s="27" t="n">
        <v>0.163</v>
      </c>
      <c r="I58" s="28">
        <f>(1-ABS(G58-H58)/G58)*100</f>
        <v/>
      </c>
      <c r="J58" s="26" t="n">
        <v>0.89</v>
      </c>
      <c r="K58" s="27" t="n">
        <v>1.021</v>
      </c>
      <c r="L58" s="28">
        <f>(1-ABS(J58-K58)/J58)*100</f>
        <v/>
      </c>
      <c r="M58" s="26" t="n">
        <v>0.21</v>
      </c>
      <c r="N58" s="27" t="n">
        <v>0.276</v>
      </c>
      <c r="O58" s="28">
        <f>(1-ABS(M58-N58)/M58)*100</f>
        <v/>
      </c>
      <c r="P58" s="29" t="n">
        <v>0.45</v>
      </c>
      <c r="Q58" s="30" t="n">
        <v>0.643</v>
      </c>
      <c r="R58" s="28">
        <f>(1-ABS(P58-Q58)/P58)*100</f>
        <v/>
      </c>
      <c r="S58" s="31" t="n">
        <v>13</v>
      </c>
      <c r="T58" s="29" t="n">
        <v>13.9</v>
      </c>
      <c r="U58" s="28">
        <f>(1-ABS(S58-T58)/S58)*100</f>
        <v/>
      </c>
    </row>
    <row r="59">
      <c r="B59" s="24" t="inlineStr">
        <is>
          <t>13/H</t>
        </is>
      </c>
      <c r="C59" s="25" t="n">
        <v>4643</v>
      </c>
      <c r="D59" s="26" t="n">
        <v>2.67</v>
      </c>
      <c r="E59" s="27" t="n">
        <v>2.54</v>
      </c>
      <c r="F59" s="28">
        <f>(1-ABS(D59-E59)/D59)*100</f>
        <v/>
      </c>
      <c r="G59" s="27" t="n">
        <v>0.144</v>
      </c>
      <c r="H59" s="27" t="n">
        <v>0.164</v>
      </c>
      <c r="I59" s="28">
        <f>(1-ABS(G59-H59)/G59)*100</f>
        <v/>
      </c>
      <c r="J59" s="26" t="n">
        <v>0.87</v>
      </c>
      <c r="K59" s="27" t="n">
        <v>1.037</v>
      </c>
      <c r="L59" s="28">
        <f>(1-ABS(J59-K59)/J59)*100</f>
        <v/>
      </c>
      <c r="M59" s="26" t="n">
        <v>0.21</v>
      </c>
      <c r="N59" s="27" t="n">
        <v>0.27</v>
      </c>
      <c r="O59" s="28">
        <f>(1-ABS(M59-N59)/M59)*100</f>
        <v/>
      </c>
      <c r="P59" s="29" t="n">
        <v>0.49</v>
      </c>
      <c r="Q59" s="30" t="n">
        <v>0.642</v>
      </c>
      <c r="R59" s="28">
        <f>(1-ABS(P59-Q59)/P59)*100</f>
        <v/>
      </c>
      <c r="S59" s="31" t="n">
        <v>12</v>
      </c>
      <c r="T59" s="29" t="n">
        <v>13.95</v>
      </c>
      <c r="U59" s="28">
        <f>(1-ABS(S59-T59)/S59)*100</f>
        <v/>
      </c>
    </row>
    <row r="60">
      <c r="B60" s="24" t="inlineStr">
        <is>
          <t>13/I</t>
        </is>
      </c>
      <c r="C60" s="25" t="n">
        <v>4651</v>
      </c>
      <c r="D60" s="26" t="n">
        <v>2.64</v>
      </c>
      <c r="E60" s="27" t="n">
        <v>2.523</v>
      </c>
      <c r="F60" s="28">
        <f>(1-ABS(D60-E60)/D60)*100</f>
        <v/>
      </c>
      <c r="G60" s="27" t="n">
        <v>0.162</v>
      </c>
      <c r="H60" s="27" t="n">
        <v>0.162</v>
      </c>
      <c r="I60" s="28">
        <f>(1-ABS(G60-H60)/G60)*100</f>
        <v/>
      </c>
      <c r="J60" s="26" t="n">
        <v>1.03</v>
      </c>
      <c r="K60" s="27" t="n">
        <v>1.026</v>
      </c>
      <c r="L60" s="28">
        <f>(1-ABS(J60-K60)/J60)*100</f>
        <v/>
      </c>
      <c r="M60" s="26" t="n">
        <v>0.3</v>
      </c>
      <c r="N60" s="27" t="n">
        <v>0.278</v>
      </c>
      <c r="O60" s="28">
        <f>(1-ABS(M60-N60)/M60)*100</f>
        <v/>
      </c>
      <c r="P60" s="29" t="n">
        <v>0.41</v>
      </c>
      <c r="Q60" s="30" t="n">
        <v>0.641</v>
      </c>
      <c r="R60" s="28">
        <f>(1-ABS(P60-Q60)/P60)*100</f>
        <v/>
      </c>
      <c r="S60" s="31" t="n">
        <v>15</v>
      </c>
      <c r="T60" s="29" t="n">
        <v>13.61</v>
      </c>
      <c r="U60" s="28">
        <f>(1-ABS(S60-T60)/S60)*100</f>
        <v/>
      </c>
    </row>
    <row r="61">
      <c r="B61" s="24" t="inlineStr">
        <is>
          <t>13/J</t>
        </is>
      </c>
      <c r="C61" s="25" t="n">
        <v>4702</v>
      </c>
      <c r="D61" s="26" t="n">
        <v>2.53</v>
      </c>
      <c r="E61" s="27" t="n">
        <v>2.432</v>
      </c>
      <c r="F61" s="28">
        <f>(1-ABS(D61-E61)/D61)*100</f>
        <v/>
      </c>
      <c r="G61" s="27" t="n">
        <v>0.16</v>
      </c>
      <c r="H61" s="27" t="n">
        <v>0.156</v>
      </c>
      <c r="I61" s="28">
        <f>(1-ABS(G61-H61)/G61)*100</f>
        <v/>
      </c>
      <c r="J61" s="26" t="n">
        <v>0.9399999999999999</v>
      </c>
      <c r="K61" s="27" t="n">
        <v>0.979</v>
      </c>
      <c r="L61" s="28">
        <f>(1-ABS(J61-K61)/J61)*100</f>
        <v/>
      </c>
      <c r="M61" s="26" t="n">
        <v>0.3</v>
      </c>
      <c r="N61" s="27" t="n">
        <v>0.279</v>
      </c>
      <c r="O61" s="28">
        <f>(1-ABS(M61-N61)/M61)*100</f>
        <v/>
      </c>
      <c r="P61" s="29" t="n">
        <v>0.45</v>
      </c>
      <c r="Q61" s="30" t="n">
        <v>0.625</v>
      </c>
      <c r="R61" s="28">
        <f>(1-ABS(P61-Q61)/P61)*100</f>
        <v/>
      </c>
      <c r="S61" s="31" t="n">
        <v>15</v>
      </c>
      <c r="T61" s="29" t="n">
        <v>13.3</v>
      </c>
      <c r="U61" s="28">
        <f>(1-ABS(S61-T61)/S61)*100</f>
        <v/>
      </c>
    </row>
    <row r="62">
      <c r="B62" s="24" t="inlineStr">
        <is>
          <t>13/K</t>
        </is>
      </c>
      <c r="C62" s="25" t="n">
        <v>5408</v>
      </c>
      <c r="D62" s="26" t="n">
        <v>2.67</v>
      </c>
      <c r="E62" s="27" t="n">
        <v>2.402</v>
      </c>
      <c r="F62" s="28">
        <f>(1-ABS(D62-E62)/D62)*100</f>
        <v/>
      </c>
      <c r="G62" s="27" t="n">
        <v>0.151</v>
      </c>
      <c r="H62" s="27" t="n">
        <v>0.154</v>
      </c>
      <c r="I62" s="28">
        <f>(1-ABS(G62-H62)/G62)*100</f>
        <v/>
      </c>
      <c r="J62" s="26" t="n">
        <v>0.87</v>
      </c>
      <c r="K62" s="27" t="n">
        <v>0.964</v>
      </c>
      <c r="L62" s="28">
        <f>(1-ABS(J62-K62)/J62)*100</f>
        <v/>
      </c>
      <c r="M62" s="26" t="n">
        <v>0.23</v>
      </c>
      <c r="N62" s="27" t="n">
        <v>0.279</v>
      </c>
      <c r="O62" s="28">
        <f>(1-ABS(M62-N62)/M62)*100</f>
        <v/>
      </c>
      <c r="P62" s="29" t="n">
        <v>0.48</v>
      </c>
      <c r="Q62" s="30" t="n">
        <v>0.623</v>
      </c>
      <c r="R62" s="28">
        <f>(1-ABS(P62-Q62)/P62)*100</f>
        <v/>
      </c>
      <c r="S62" s="31" t="n">
        <v>11</v>
      </c>
      <c r="T62" s="29" t="n">
        <v>12.82</v>
      </c>
      <c r="U62" s="28">
        <f>(1-ABS(S62-T62)/S62)*100</f>
        <v/>
      </c>
    </row>
    <row r="63">
      <c r="B63" s="24" t="inlineStr">
        <is>
          <t>13/L</t>
        </is>
      </c>
      <c r="C63" s="25" t="n">
        <v>4869</v>
      </c>
      <c r="D63" s="26" t="n">
        <v>2.62</v>
      </c>
      <c r="E63" s="27" t="n">
        <v>2.497</v>
      </c>
      <c r="F63" s="28">
        <f>(1-ABS(D63-E63)/D63)*100</f>
        <v/>
      </c>
      <c r="G63" s="27" t="n">
        <v>0.145</v>
      </c>
      <c r="H63" s="27" t="n">
        <v>0.159</v>
      </c>
      <c r="I63" s="28">
        <f>(1-ABS(G63-H63)/G63)*100</f>
        <v/>
      </c>
      <c r="J63" s="26" t="n">
        <v>0.93</v>
      </c>
      <c r="K63" s="27" t="n">
        <v>1.006</v>
      </c>
      <c r="L63" s="28">
        <f>(1-ABS(J63-K63)/J63)*100</f>
        <v/>
      </c>
      <c r="M63" s="26" t="n">
        <v>0.23</v>
      </c>
      <c r="N63" s="27" t="n">
        <v>0.286</v>
      </c>
      <c r="O63" s="28">
        <f>(1-ABS(M63-N63)/M63)*100</f>
        <v/>
      </c>
      <c r="P63" s="29" t="n">
        <v>0.43</v>
      </c>
      <c r="Q63" s="30" t="n">
        <v>0.655</v>
      </c>
      <c r="R63" s="28">
        <f>(1-ABS(P63-Q63)/P63)*100</f>
        <v/>
      </c>
      <c r="S63" s="31" t="n">
        <v>13</v>
      </c>
      <c r="T63" s="29" t="n">
        <v>12.93</v>
      </c>
      <c r="U63" s="28">
        <f>(1-ABS(S63-T63)/S63)*100</f>
        <v/>
      </c>
    </row>
    <row r="64">
      <c r="B64" s="24" t="inlineStr">
        <is>
          <t>13/M</t>
        </is>
      </c>
      <c r="C64" s="25" t="n">
        <v>5090</v>
      </c>
      <c r="D64" s="26" t="n">
        <v>2.61</v>
      </c>
      <c r="E64" s="27" t="n">
        <v>2.43</v>
      </c>
      <c r="F64" s="28">
        <f>(1-ABS(D64-E64)/D64)*100</f>
        <v/>
      </c>
      <c r="G64" s="27" t="n">
        <v>0.163</v>
      </c>
      <c r="H64" s="27" t="n">
        <v>0.154</v>
      </c>
      <c r="I64" s="28">
        <f>(1-ABS(G64-H64)/G64)*100</f>
        <v/>
      </c>
      <c r="J64" s="26" t="n">
        <v>0.91</v>
      </c>
      <c r="K64" s="27" t="n">
        <v>0.983</v>
      </c>
      <c r="L64" s="28">
        <f>(1-ABS(J64-K64)/J64)*100</f>
        <v/>
      </c>
      <c r="M64" s="26" t="n">
        <v>0.27</v>
      </c>
      <c r="N64" s="27" t="n">
        <v>0.28</v>
      </c>
      <c r="O64" s="28">
        <f>(1-ABS(M64-N64)/M64)*100</f>
        <v/>
      </c>
      <c r="P64" s="29" t="n">
        <v>0.45</v>
      </c>
      <c r="Q64" s="30" t="n">
        <v>0.633</v>
      </c>
      <c r="R64" s="28">
        <f>(1-ABS(P64-Q64)/P64)*100</f>
        <v/>
      </c>
      <c r="S64" s="31" t="n">
        <v>15</v>
      </c>
      <c r="T64" s="29" t="n">
        <v>12.51</v>
      </c>
      <c r="U64" s="28">
        <f>(1-ABS(S64-T64)/S64)*100</f>
        <v/>
      </c>
    </row>
    <row r="65" ht="35" customHeight="1">
      <c r="A65" s="33" t="inlineStr">
        <is>
          <t>AVG ACCURACY</t>
        </is>
      </c>
      <c r="F65" s="34">
        <f>AVERAGE(F7:F64)</f>
        <v/>
      </c>
      <c r="I65" s="34">
        <f>AVERAGE(I7:I64)</f>
        <v/>
      </c>
      <c r="L65" s="34">
        <f>AVERAGE(L7:L64)</f>
        <v/>
      </c>
      <c r="O65" s="34">
        <f>AVERAGE(O7:O64)</f>
        <v/>
      </c>
      <c r="R65" s="35">
        <f>AVERAGE(R7:R64)</f>
        <v/>
      </c>
      <c r="U65" s="34">
        <f>AVERAGE(U7:U64)</f>
        <v/>
      </c>
    </row>
    <row r="66" ht="40" customHeight="1">
      <c r="A66" s="36" t="inlineStr">
        <is>
          <t>Best result closer to 0</t>
        </is>
      </c>
      <c r="B66" s="24" t="inlineStr">
        <is>
          <t>R^2 (Coefficient of determination)</t>
        </is>
      </c>
      <c r="C66" s="37" t="n"/>
      <c r="D66" s="38">
        <f>RSQ(E7:E64, D7:D64)</f>
        <v/>
      </c>
      <c r="E66" s="39" t="n"/>
      <c r="F66" s="37" t="n"/>
      <c r="G66" s="38">
        <f>RSQ(H7:H64, G7:G64)</f>
        <v/>
      </c>
      <c r="H66" s="39" t="n"/>
      <c r="I66" s="37" t="n"/>
      <c r="J66" s="38">
        <f>RSQ(K7:K64, J7:J64)</f>
        <v/>
      </c>
      <c r="K66" s="39" t="n"/>
      <c r="L66" s="37" t="n"/>
      <c r="M66" s="38">
        <f>RSQ(N7:N64, M7:M64)</f>
        <v/>
      </c>
      <c r="N66" s="39" t="n"/>
      <c r="O66" s="37" t="n"/>
      <c r="P66" s="40">
        <f>RSQ(Q7:Q64, P7:P64)</f>
        <v/>
      </c>
      <c r="Q66" s="39" t="n"/>
      <c r="R66" s="37" t="n"/>
      <c r="S66" s="40">
        <f>RSQ(T7:T64, S7:S64)</f>
        <v/>
      </c>
      <c r="T66" s="39" t="n"/>
      <c r="U66" s="37" t="n"/>
    </row>
    <row r="67" ht="39" customHeight="1">
      <c r="A67" s="36" t="inlineStr">
        <is>
          <t>Best result closer to 1</t>
        </is>
      </c>
      <c r="B67" s="24" t="inlineStr">
        <is>
          <t>MAE (Average size of prediction errors)</t>
        </is>
      </c>
      <c r="C67" s="37" t="n"/>
      <c r="D67" s="38">
        <f>SUMPRODUCT(ABS(D7:D64-E7:E64))/COUNT(D7:D64)</f>
        <v/>
      </c>
      <c r="E67" s="39" t="n"/>
      <c r="F67" s="37" t="n"/>
      <c r="G67" s="38">
        <f>SUMPRODUCT(ABS(G7:G64-H7:H64))/COUNT(G7:G64)</f>
        <v/>
      </c>
      <c r="H67" s="39" t="n"/>
      <c r="I67" s="37" t="n"/>
      <c r="J67" s="38">
        <f>SUMPRODUCT(ABS(J7:J64-K7:K64))/COUNT(J7:J64)</f>
        <v/>
      </c>
      <c r="K67" s="39" t="n"/>
      <c r="L67" s="37" t="n"/>
      <c r="M67" s="38">
        <f>SUMPRODUCT(ABS(M7:M64-N7:N64))/COUNT(M7:M64)</f>
        <v/>
      </c>
      <c r="N67" s="39" t="n"/>
      <c r="O67" s="37" t="n"/>
      <c r="P67" s="40">
        <f>SUMPRODUCT(ABS(P7:P64-Q7:Q64))/COUNT(P7:P64)</f>
        <v/>
      </c>
      <c r="Q67" s="39" t="n"/>
      <c r="R67" s="37" t="n"/>
      <c r="S67" s="40">
        <f>SUMPRODUCT(ABS(S7:S64-T7:T64))/COUNT(S7:S64)</f>
        <v/>
      </c>
      <c r="T67" s="39" t="n"/>
      <c r="U67" s="37" t="n"/>
    </row>
    <row r="68" ht="66" customHeight="1">
      <c r="A68" s="36" t="inlineStr">
        <is>
          <t>Best result closer to 1</t>
        </is>
      </c>
      <c r="B68" s="24" t="inlineStr">
        <is>
          <t>RMSE (Prediction error, with larger mistakes penalised more)</t>
        </is>
      </c>
      <c r="C68" s="37" t="n"/>
      <c r="D68" s="38">
        <f>SQRT(SUMXMY2(D7:D64, E7:E64)/COUNT(D7:D64))</f>
        <v/>
      </c>
      <c r="E68" s="39" t="n"/>
      <c r="F68" s="37" t="n"/>
      <c r="G68" s="38">
        <f>SQRT(SUMXMY2(G7:G64, H7:H64)/COUNT(G7:G64))</f>
        <v/>
      </c>
      <c r="H68" s="39" t="n"/>
      <c r="I68" s="37" t="n"/>
      <c r="J68" s="38">
        <f>SQRT(SUMXMY2(J7:J64, K7:K64)/COUNT(J7:J64))</f>
        <v/>
      </c>
      <c r="K68" s="39" t="n"/>
      <c r="L68" s="37" t="n"/>
      <c r="M68" s="38">
        <f>SQRT(SUMXMY2(M7:M64, N7:N64)/COUNT(M7:M64))</f>
        <v/>
      </c>
      <c r="N68" s="39" t="n"/>
      <c r="O68" s="37" t="n"/>
      <c r="P68" s="40">
        <f>SQRT(SUMXMY2(P7:P64, Q7:Q64)/COUNT(P7:P64))</f>
        <v/>
      </c>
      <c r="Q68" s="39" t="n"/>
      <c r="R68" s="37" t="n"/>
      <c r="S68" s="40">
        <f>SQRT(SUMXMY2(S7:S64, T7:T64)/COUNT(S7:S64))</f>
        <v/>
      </c>
      <c r="T68" s="39" t="n"/>
      <c r="U68" s="37" t="n"/>
    </row>
  </sheetData>
  <mergeCells count="31">
    <mergeCell ref="B4:O4"/>
    <mergeCell ref="S67:U67"/>
    <mergeCell ref="G66:I66"/>
    <mergeCell ref="S66:U66"/>
    <mergeCell ref="D66:F66"/>
    <mergeCell ref="B66:C66"/>
    <mergeCell ref="P67:R67"/>
    <mergeCell ref="G68:I68"/>
    <mergeCell ref="S68:U68"/>
    <mergeCell ref="G5:I5"/>
    <mergeCell ref="J66:L66"/>
    <mergeCell ref="P66:R66"/>
    <mergeCell ref="B67:C67"/>
    <mergeCell ref="D68:F68"/>
    <mergeCell ref="P68:R68"/>
    <mergeCell ref="S5:U5"/>
    <mergeCell ref="D67:F67"/>
    <mergeCell ref="D5:F5"/>
    <mergeCell ref="P5:R5"/>
    <mergeCell ref="M66:O66"/>
    <mergeCell ref="B5:B6"/>
    <mergeCell ref="P4:U4"/>
    <mergeCell ref="J67:L67"/>
    <mergeCell ref="M68:O68"/>
    <mergeCell ref="J5:L5"/>
    <mergeCell ref="B68:C68"/>
    <mergeCell ref="G67:I67"/>
    <mergeCell ref="M67:O67"/>
    <mergeCell ref="M5:O5"/>
    <mergeCell ref="J68:L68"/>
    <mergeCell ref="C5:C6"/>
  </mergeCells>
  <conditionalFormatting sqref="F7:F64 I7:I64 L7:L64 O7:O64 R7:R64 U7:U64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4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06/01</t>
        </is>
      </c>
      <c r="C7" s="25" t="n">
        <v>2710</v>
      </c>
      <c r="D7" s="26" t="n">
        <v>2.6</v>
      </c>
      <c r="E7" s="27" t="n">
        <v>2.547</v>
      </c>
      <c r="F7" s="28">
        <f>(1-ABS(D7-E7)/D7)*100</f>
        <v/>
      </c>
      <c r="G7" s="27" t="n">
        <v>0.151</v>
      </c>
      <c r="H7" s="27" t="n">
        <v>0.163</v>
      </c>
      <c r="I7" s="28">
        <f>(1-ABS(G7-H7)/G7)*100</f>
        <v/>
      </c>
      <c r="J7" s="26" t="n">
        <v>0.87</v>
      </c>
      <c r="K7" s="27" t="n">
        <v>1.018</v>
      </c>
      <c r="L7" s="28">
        <f>(1-ABS(J7-K7)/J7)*100</f>
        <v/>
      </c>
      <c r="M7" s="26" t="n">
        <v>0.27</v>
      </c>
      <c r="N7" s="27" t="n">
        <v>0.255</v>
      </c>
      <c r="O7" s="28">
        <f>(1-ABS(M7-N7)/M7)*100</f>
        <v/>
      </c>
      <c r="P7" s="29" t="n">
        <v>0.46</v>
      </c>
      <c r="Q7" s="30" t="n">
        <v>0.641</v>
      </c>
      <c r="R7" s="28">
        <f>(1-ABS(P7-Q7)/P7)*100</f>
        <v/>
      </c>
      <c r="S7" s="31" t="n">
        <v>18</v>
      </c>
      <c r="T7" s="29" t="n">
        <v>14.3</v>
      </c>
      <c r="U7" s="28">
        <f>(1-ABS(S7-T7)/S7)*100</f>
        <v/>
      </c>
    </row>
    <row r="8">
      <c r="B8" s="24" t="inlineStr">
        <is>
          <t>06/01</t>
        </is>
      </c>
      <c r="C8" s="25" t="n">
        <v>2710</v>
      </c>
      <c r="D8" s="26" t="n">
        <v>2.56</v>
      </c>
      <c r="E8" s="27" t="n">
        <v>2.547</v>
      </c>
      <c r="F8" s="28">
        <f>(1-ABS(D8-E8)/D8)*100</f>
        <v/>
      </c>
      <c r="G8" s="27" t="n">
        <v>0.156</v>
      </c>
      <c r="H8" s="27" t="n">
        <v>0.163</v>
      </c>
      <c r="I8" s="28">
        <f>(1-ABS(G8-H8)/G8)*100</f>
        <v/>
      </c>
      <c r="J8" s="26" t="n">
        <v>0.87</v>
      </c>
      <c r="K8" s="27" t="n">
        <v>1.018</v>
      </c>
      <c r="L8" s="28">
        <f>(1-ABS(J8-K8)/J8)*100</f>
        <v/>
      </c>
      <c r="M8" s="26" t="n">
        <v>0.33</v>
      </c>
      <c r="N8" s="27" t="n">
        <v>0.255</v>
      </c>
      <c r="O8" s="28">
        <f>(1-ABS(M8-N8)/M8)*100</f>
        <v/>
      </c>
      <c r="P8" s="29" t="n">
        <v>0.74</v>
      </c>
      <c r="Q8" s="30" t="n">
        <v>0.641</v>
      </c>
      <c r="R8" s="28">
        <f>(1-ABS(P8-Q8)/P8)*100</f>
        <v/>
      </c>
      <c r="S8" s="31" t="n">
        <v>19</v>
      </c>
      <c r="T8" s="29" t="n">
        <v>14.3</v>
      </c>
      <c r="U8" s="28">
        <f>(1-ABS(S8-T8)/S8)*100</f>
        <v/>
      </c>
    </row>
    <row r="9">
      <c r="B9" s="24" t="inlineStr">
        <is>
          <t>06/02</t>
        </is>
      </c>
      <c r="C9" s="25" t="n">
        <v>4800</v>
      </c>
      <c r="D9" s="26" t="n">
        <v>2.65</v>
      </c>
      <c r="E9" s="27" t="n">
        <v>2.546</v>
      </c>
      <c r="F9" s="28">
        <f>(1-ABS(D9-E9)/D9)*100</f>
        <v/>
      </c>
      <c r="G9" s="27" t="n">
        <v>0.153</v>
      </c>
      <c r="H9" s="27" t="n">
        <v>0.164</v>
      </c>
      <c r="I9" s="28">
        <f>(1-ABS(G9-H9)/G9)*100</f>
        <v/>
      </c>
      <c r="J9" s="26" t="n">
        <v>0.92</v>
      </c>
      <c r="K9" s="27" t="n">
        <v>1.027</v>
      </c>
      <c r="L9" s="28">
        <f>(1-ABS(J9-K9)/J9)*100</f>
        <v/>
      </c>
      <c r="M9" s="26" t="n">
        <v>0.35</v>
      </c>
      <c r="N9" s="27" t="n">
        <v>0.253</v>
      </c>
      <c r="O9" s="28">
        <f>(1-ABS(M9-N9)/M9)*100</f>
        <v/>
      </c>
      <c r="P9" s="29" t="n">
        <v>0.49</v>
      </c>
      <c r="Q9" s="30" t="n">
        <v>0.65</v>
      </c>
      <c r="R9" s="28">
        <f>(1-ABS(P9-Q9)/P9)*100</f>
        <v/>
      </c>
      <c r="S9" s="31" t="n">
        <v>19</v>
      </c>
      <c r="T9" s="29" t="n">
        <v>14.05</v>
      </c>
      <c r="U9" s="28">
        <f>(1-ABS(S9-T9)/S9)*100</f>
        <v/>
      </c>
    </row>
    <row r="10">
      <c r="B10" s="24" t="inlineStr">
        <is>
          <t>06/03</t>
        </is>
      </c>
      <c r="C10" s="25" t="n">
        <v>5757</v>
      </c>
      <c r="D10" s="26" t="n">
        <v>2.74</v>
      </c>
      <c r="E10" s="27" t="n">
        <v>2.426</v>
      </c>
      <c r="F10" s="28">
        <f>(1-ABS(D10-E10)/D10)*100</f>
        <v/>
      </c>
      <c r="G10" s="27" t="n">
        <v>0.152</v>
      </c>
      <c r="H10" s="27" t="n">
        <v>0.156</v>
      </c>
      <c r="I10" s="28">
        <f>(1-ABS(G10-H10)/G10)*100</f>
        <v/>
      </c>
      <c r="J10" s="26" t="n">
        <v>0.82</v>
      </c>
      <c r="K10" s="27" t="n">
        <v>0.972</v>
      </c>
      <c r="L10" s="28">
        <f>(1-ABS(J10-K10)/J10)*100</f>
        <v/>
      </c>
      <c r="M10" s="26" t="n">
        <v>0.26</v>
      </c>
      <c r="N10" s="27" t="n">
        <v>0.258</v>
      </c>
      <c r="O10" s="28">
        <f>(1-ABS(M10-N10)/M10)*100</f>
        <v/>
      </c>
      <c r="P10" s="29" t="n">
        <v>0.47</v>
      </c>
      <c r="Q10" s="30" t="n">
        <v>0.639</v>
      </c>
      <c r="R10" s="28">
        <f>(1-ABS(P10-Q10)/P10)*100</f>
        <v/>
      </c>
      <c r="S10" s="31" t="n">
        <v>18</v>
      </c>
      <c r="T10" s="29" t="n">
        <v>12.58</v>
      </c>
      <c r="U10" s="28">
        <f>(1-ABS(S10-T10)/S10)*100</f>
        <v/>
      </c>
    </row>
    <row r="11">
      <c r="B11" s="24" t="inlineStr">
        <is>
          <t>06/04</t>
        </is>
      </c>
      <c r="C11" s="25" t="n">
        <v>6103</v>
      </c>
      <c r="D11" s="26" t="n">
        <v>2.55</v>
      </c>
      <c r="E11" s="27" t="n">
        <v>2.538</v>
      </c>
      <c r="F11" s="28">
        <f>(1-ABS(D11-E11)/D11)*100</f>
        <v/>
      </c>
      <c r="G11" s="27" t="n">
        <v>0.155</v>
      </c>
      <c r="H11" s="27" t="n">
        <v>0.164</v>
      </c>
      <c r="I11" s="28">
        <f>(1-ABS(G11-H11)/G11)*100</f>
        <v/>
      </c>
      <c r="J11" s="26" t="n">
        <v>0.82</v>
      </c>
      <c r="K11" s="27" t="n">
        <v>1.019</v>
      </c>
      <c r="L11" s="28">
        <f>(1-ABS(J11-K11)/J11)*100</f>
        <v/>
      </c>
      <c r="M11" s="26" t="n">
        <v>0.32</v>
      </c>
      <c r="N11" s="27" t="n">
        <v>0.257</v>
      </c>
      <c r="O11" s="28">
        <f>(1-ABS(M11-N11)/M11)*100</f>
        <v/>
      </c>
      <c r="P11" s="29" t="n">
        <v>0.49</v>
      </c>
      <c r="Q11" s="30" t="n">
        <v>0.656</v>
      </c>
      <c r="R11" s="28">
        <f>(1-ABS(P11-Q11)/P11)*100</f>
        <v/>
      </c>
      <c r="S11" s="31" t="n">
        <v>19</v>
      </c>
      <c r="T11" s="29" t="n">
        <v>13.79</v>
      </c>
      <c r="U11" s="28">
        <f>(1-ABS(S11-T11)/S11)*100</f>
        <v/>
      </c>
    </row>
    <row r="12">
      <c r="B12" s="24" t="inlineStr">
        <is>
          <t>07/03</t>
        </is>
      </c>
      <c r="C12" s="25" t="n">
        <v>5458</v>
      </c>
      <c r="D12" s="26" t="n">
        <v>2.51</v>
      </c>
      <c r="E12" s="27" t="n">
        <v>2.51</v>
      </c>
      <c r="F12" s="28">
        <f>(1-ABS(D12-E12)/D12)*100</f>
        <v/>
      </c>
      <c r="G12" s="27" t="n">
        <v>0.15</v>
      </c>
      <c r="H12" s="27" t="n">
        <v>0.163</v>
      </c>
      <c r="I12" s="28">
        <f>(1-ABS(G12-H12)/G12)*100</f>
        <v/>
      </c>
      <c r="J12" s="26" t="n">
        <v>0.8</v>
      </c>
      <c r="K12" s="27" t="n">
        <v>1.009</v>
      </c>
      <c r="L12" s="28">
        <f>(1-ABS(J12-K12)/J12)*100</f>
        <v/>
      </c>
      <c r="M12" s="26" t="n">
        <v>0.3</v>
      </c>
      <c r="N12" s="27" t="n">
        <v>0.251</v>
      </c>
      <c r="O12" s="28">
        <f>(1-ABS(M12-N12)/M12)*100</f>
        <v/>
      </c>
      <c r="P12" s="29" t="n">
        <v>0.45</v>
      </c>
      <c r="Q12" s="30" t="n">
        <v>0.642</v>
      </c>
      <c r="R12" s="28">
        <f>(1-ABS(P12-Q12)/P12)*100</f>
        <v/>
      </c>
      <c r="S12" s="31" t="n">
        <v>16</v>
      </c>
      <c r="T12" s="29" t="n">
        <v>14.4</v>
      </c>
      <c r="U12" s="28">
        <f>(1-ABS(S12-T12)/S12)*100</f>
        <v/>
      </c>
    </row>
    <row r="13">
      <c r="B13" s="24" t="inlineStr">
        <is>
          <t>07/08</t>
        </is>
      </c>
      <c r="C13" s="25" t="n">
        <v>6136</v>
      </c>
      <c r="D13" s="26" t="n">
        <v>2.47</v>
      </c>
      <c r="E13" s="27" t="n">
        <v>2.528</v>
      </c>
      <c r="F13" s="28">
        <f>(1-ABS(D13-E13)/D13)*100</f>
        <v/>
      </c>
      <c r="G13" s="27" t="n">
        <v>0.154</v>
      </c>
      <c r="H13" s="27" t="n">
        <v>0.163</v>
      </c>
      <c r="I13" s="28">
        <f>(1-ABS(G13-H13)/G13)*100</f>
        <v/>
      </c>
      <c r="J13" s="26" t="n">
        <v>0.83</v>
      </c>
      <c r="K13" s="27" t="n">
        <v>1.005</v>
      </c>
      <c r="L13" s="28">
        <f>(1-ABS(J13-K13)/J13)*100</f>
        <v/>
      </c>
      <c r="M13" s="26" t="n">
        <v>0.33</v>
      </c>
      <c r="N13" s="27" t="n">
        <v>0.26</v>
      </c>
      <c r="O13" s="28">
        <f>(1-ABS(M13-N13)/M13)*100</f>
        <v/>
      </c>
      <c r="P13" s="29" t="n">
        <v>0.48</v>
      </c>
      <c r="Q13" s="30" t="n">
        <v>0.656</v>
      </c>
      <c r="R13" s="28">
        <f>(1-ABS(P13-Q13)/P13)*100</f>
        <v/>
      </c>
      <c r="S13" s="31" t="n">
        <v>19</v>
      </c>
      <c r="T13" s="29" t="n">
        <v>13.83</v>
      </c>
      <c r="U13" s="28">
        <f>(1-ABS(S13-T13)/S13)*100</f>
        <v/>
      </c>
    </row>
    <row r="14">
      <c r="B14" s="24" t="inlineStr">
        <is>
          <t>07/01</t>
        </is>
      </c>
      <c r="C14" s="25" t="n">
        <v>6029</v>
      </c>
      <c r="D14" s="26" t="n">
        <v>2.66</v>
      </c>
      <c r="E14" s="27" t="n">
        <v>2.509</v>
      </c>
      <c r="F14" s="28">
        <f>(1-ABS(D14-E14)/D14)*100</f>
        <v/>
      </c>
      <c r="G14" s="27" t="n">
        <v>0.149</v>
      </c>
      <c r="H14" s="27" t="n">
        <v>0.162</v>
      </c>
      <c r="I14" s="28">
        <f>(1-ABS(G14-H14)/G14)*100</f>
        <v/>
      </c>
      <c r="J14" s="26" t="n">
        <v>0.8100000000000001</v>
      </c>
      <c r="K14" s="27" t="n">
        <v>1.003</v>
      </c>
      <c r="L14" s="28">
        <f>(1-ABS(J14-K14)/J14)*100</f>
        <v/>
      </c>
      <c r="M14" s="26" t="n">
        <v>0.29</v>
      </c>
      <c r="N14" s="27" t="n">
        <v>0.25</v>
      </c>
      <c r="O14" s="28">
        <f>(1-ABS(M14-N14)/M14)*100</f>
        <v/>
      </c>
      <c r="P14" s="29" t="n">
        <v>0.47</v>
      </c>
      <c r="Q14" s="30" t="n">
        <v>0.643</v>
      </c>
      <c r="R14" s="28">
        <f>(1-ABS(P14-Q14)/P14)*100</f>
        <v/>
      </c>
      <c r="S14" s="31" t="n">
        <v>16</v>
      </c>
      <c r="T14" s="29" t="n">
        <v>14.16</v>
      </c>
      <c r="U14" s="28">
        <f>(1-ABS(S14-T14)/S14)*100</f>
        <v/>
      </c>
    </row>
    <row r="15">
      <c r="B15" s="24" t="inlineStr">
        <is>
          <t>07/01</t>
        </is>
      </c>
      <c r="C15" s="25" t="n">
        <v>6029</v>
      </c>
      <c r="D15" s="26" t="n">
        <v>2.57</v>
      </c>
      <c r="E15" s="27" t="n">
        <v>2.509</v>
      </c>
      <c r="F15" s="28">
        <f>(1-ABS(D15-E15)/D15)*100</f>
        <v/>
      </c>
      <c r="G15" s="27" t="n">
        <v>0.143</v>
      </c>
      <c r="H15" s="27" t="n">
        <v>0.162</v>
      </c>
      <c r="I15" s="28">
        <f>(1-ABS(G15-H15)/G15)*100</f>
        <v/>
      </c>
      <c r="J15" s="26" t="n">
        <v>0.83</v>
      </c>
      <c r="K15" s="27" t="n">
        <v>1.003</v>
      </c>
      <c r="L15" s="28">
        <f>(1-ABS(J15-K15)/J15)*100</f>
        <v/>
      </c>
      <c r="M15" s="26" t="n">
        <v>0.3</v>
      </c>
      <c r="N15" s="27" t="n">
        <v>0.25</v>
      </c>
      <c r="O15" s="28">
        <f>(1-ABS(M15-N15)/M15)*100</f>
        <v/>
      </c>
      <c r="P15" s="29" t="n">
        <v>0.45</v>
      </c>
      <c r="Q15" s="30" t="n">
        <v>0.643</v>
      </c>
      <c r="R15" s="28">
        <f>(1-ABS(P15-Q15)/P15)*100</f>
        <v/>
      </c>
      <c r="S15" s="31" t="n">
        <v>17</v>
      </c>
      <c r="T15" s="29" t="n">
        <v>14.16</v>
      </c>
      <c r="U15" s="28">
        <f>(1-ABS(S15-T15)/S15)*100</f>
        <v/>
      </c>
    </row>
    <row r="16">
      <c r="B16" s="24" t="inlineStr">
        <is>
          <t>07/02</t>
        </is>
      </c>
      <c r="C16" s="25" t="n">
        <v>5060</v>
      </c>
      <c r="D16" s="26" t="n">
        <v>2.68</v>
      </c>
      <c r="E16" s="27" t="n">
        <v>2.525</v>
      </c>
      <c r="F16" s="28">
        <f>(1-ABS(D16-E16)/D16)*100</f>
        <v/>
      </c>
      <c r="G16" s="27" t="n">
        <v>0.153</v>
      </c>
      <c r="H16" s="27" t="n">
        <v>0.164</v>
      </c>
      <c r="I16" s="28">
        <f>(1-ABS(G16-H16)/G16)*100</f>
        <v/>
      </c>
      <c r="J16" s="26" t="n">
        <v>0.91</v>
      </c>
      <c r="K16" s="27" t="n">
        <v>1.013</v>
      </c>
      <c r="L16" s="28">
        <f>(1-ABS(J16-K16)/J16)*100</f>
        <v/>
      </c>
      <c r="M16" s="26" t="n">
        <v>0.31</v>
      </c>
      <c r="N16" s="27" t="n">
        <v>0.248</v>
      </c>
      <c r="O16" s="28">
        <f>(1-ABS(M16-N16)/M16)*100</f>
        <v/>
      </c>
      <c r="P16" s="29" t="n">
        <v>0.47</v>
      </c>
      <c r="Q16" s="30" t="n">
        <v>0.649</v>
      </c>
      <c r="R16" s="28">
        <f>(1-ABS(P16-Q16)/P16)*100</f>
        <v/>
      </c>
      <c r="S16" s="31" t="n">
        <v>17</v>
      </c>
      <c r="T16" s="29" t="n">
        <v>14.67</v>
      </c>
      <c r="U16" s="28">
        <f>(1-ABS(S16-T16)/S16)*100</f>
        <v/>
      </c>
    </row>
    <row r="17" ht="40" customHeight="1">
      <c r="A17" s="32" t="inlineStr">
        <is>
          <t>Best result closer to 1</t>
        </is>
      </c>
      <c r="B17" s="24" t="inlineStr">
        <is>
          <t>07/02</t>
        </is>
      </c>
      <c r="C17" s="25" t="n">
        <v>5060</v>
      </c>
      <c r="D17" s="26" t="n">
        <v>2.66</v>
      </c>
      <c r="E17" s="27" t="n">
        <v>2.525</v>
      </c>
      <c r="F17" s="28">
        <f>(1-ABS(D17-E17)/D17)*100</f>
        <v/>
      </c>
      <c r="G17" s="27" t="n">
        <v>0.15</v>
      </c>
      <c r="H17" s="27" t="n">
        <v>0.164</v>
      </c>
      <c r="I17" s="28">
        <f>(1-ABS(G17-H17)/G17)*100</f>
        <v/>
      </c>
      <c r="J17" s="26" t="n">
        <v>0.8</v>
      </c>
      <c r="K17" s="27" t="n">
        <v>1.013</v>
      </c>
      <c r="L17" s="28">
        <f>(1-ABS(J17-K17)/J17)*100</f>
        <v/>
      </c>
      <c r="M17" s="26" t="n">
        <v>0.29</v>
      </c>
      <c r="N17" s="27" t="n">
        <v>0.248</v>
      </c>
      <c r="O17" s="28">
        <f>(1-ABS(M17-N17)/M17)*100</f>
        <v/>
      </c>
      <c r="P17" s="29" t="n">
        <v>0.47</v>
      </c>
      <c r="Q17" s="30" t="n">
        <v>0.649</v>
      </c>
      <c r="R17" s="28">
        <f>(1-ABS(P17-Q17)/P17)*100</f>
        <v/>
      </c>
      <c r="S17" s="31" t="n">
        <v>15</v>
      </c>
      <c r="T17" s="29" t="n">
        <v>14.67</v>
      </c>
      <c r="U17" s="28">
        <f>(1-ABS(S17-T17)/S17)*100</f>
        <v/>
      </c>
    </row>
    <row r="18" ht="39" customHeight="1">
      <c r="A18" s="32" t="inlineStr">
        <is>
          <t>Best result closer to 0</t>
        </is>
      </c>
      <c r="B18" s="24" t="inlineStr">
        <is>
          <t>07/03</t>
        </is>
      </c>
      <c r="C18" s="25" t="n">
        <v>5458</v>
      </c>
      <c r="D18" s="26" t="n">
        <v>2.68</v>
      </c>
      <c r="E18" s="27" t="n">
        <v>2.51</v>
      </c>
      <c r="F18" s="28">
        <f>(1-ABS(D18-E18)/D18)*100</f>
        <v/>
      </c>
      <c r="G18" s="27" t="n">
        <v>0.156</v>
      </c>
      <c r="H18" s="27" t="n">
        <v>0.163</v>
      </c>
      <c r="I18" s="28">
        <f>(1-ABS(G18-H18)/G18)*100</f>
        <v/>
      </c>
      <c r="J18" s="26" t="n">
        <v>0.88</v>
      </c>
      <c r="K18" s="27" t="n">
        <v>1.009</v>
      </c>
      <c r="L18" s="28">
        <f>(1-ABS(J18-K18)/J18)*100</f>
        <v/>
      </c>
      <c r="M18" s="26" t="n">
        <v>0.32</v>
      </c>
      <c r="N18" s="27" t="n">
        <v>0.251</v>
      </c>
      <c r="O18" s="28">
        <f>(1-ABS(M18-N18)/M18)*100</f>
        <v/>
      </c>
      <c r="P18" s="29" t="n">
        <v>0.59</v>
      </c>
      <c r="Q18" s="30" t="n">
        <v>0.642</v>
      </c>
      <c r="R18" s="28">
        <f>(1-ABS(P18-Q18)/P18)*100</f>
        <v/>
      </c>
      <c r="S18" s="31" t="n">
        <v>19</v>
      </c>
      <c r="T18" s="29" t="n">
        <v>14.4</v>
      </c>
      <c r="U18" s="28">
        <f>(1-ABS(S18-T18)/S18)*100</f>
        <v/>
      </c>
    </row>
    <row r="19" ht="66" customHeight="1">
      <c r="A19" s="32" t="inlineStr">
        <is>
          <t>Best result closer to 1</t>
        </is>
      </c>
      <c r="B19" s="24" t="inlineStr">
        <is>
          <t>07/04A</t>
        </is>
      </c>
      <c r="C19" s="25" t="n">
        <v>9908</v>
      </c>
      <c r="D19" s="26" t="n">
        <v>2.57</v>
      </c>
      <c r="E19" s="27" t="n">
        <v>2.393</v>
      </c>
      <c r="F19" s="28">
        <f>(1-ABS(D19-E19)/D19)*100</f>
        <v/>
      </c>
      <c r="G19" s="27" t="n">
        <v>0.154</v>
      </c>
      <c r="H19" s="27" t="n">
        <v>0.155</v>
      </c>
      <c r="I19" s="28">
        <f>(1-ABS(G19-H19)/G19)*100</f>
        <v/>
      </c>
      <c r="J19" s="26" t="n">
        <v>0.83</v>
      </c>
      <c r="K19" s="27" t="n">
        <v>0.96</v>
      </c>
      <c r="L19" s="28">
        <f>(1-ABS(J19-K19)/J19)*100</f>
        <v/>
      </c>
      <c r="M19" s="26" t="n">
        <v>0.32</v>
      </c>
      <c r="N19" s="27" t="n">
        <v>0.261</v>
      </c>
      <c r="O19" s="28">
        <f>(1-ABS(M19-N19)/M19)*100</f>
        <v/>
      </c>
      <c r="P19" s="29" t="n">
        <v>0.4</v>
      </c>
      <c r="Q19" s="30" t="n">
        <v>0.627</v>
      </c>
      <c r="R19" s="28">
        <f>(1-ABS(P19-Q19)/P19)*100</f>
        <v/>
      </c>
      <c r="S19" s="31" t="n">
        <v>19</v>
      </c>
      <c r="T19" s="29" t="n">
        <v>12.52</v>
      </c>
      <c r="U19" s="28">
        <f>(1-ABS(S19-T19)/S19)*100</f>
        <v/>
      </c>
    </row>
    <row r="20">
      <c r="B20" s="24" t="inlineStr">
        <is>
          <t>07/05</t>
        </is>
      </c>
      <c r="C20" s="25" t="n">
        <v>4822</v>
      </c>
      <c r="D20" s="26" t="n">
        <v>2.5</v>
      </c>
      <c r="E20" s="27" t="n">
        <v>2.516</v>
      </c>
      <c r="F20" s="28">
        <f>(1-ABS(D20-E20)/D20)*100</f>
        <v/>
      </c>
      <c r="G20" s="27" t="n">
        <v>0.152</v>
      </c>
      <c r="H20" s="27" t="n">
        <v>0.164</v>
      </c>
      <c r="I20" s="28">
        <f>(1-ABS(G20-H20)/G20)*100</f>
        <v/>
      </c>
      <c r="J20" s="26" t="n">
        <v>0.82</v>
      </c>
      <c r="K20" s="27" t="n">
        <v>1.013</v>
      </c>
      <c r="L20" s="28">
        <f>(1-ABS(J20-K20)/J20)*100</f>
        <v/>
      </c>
      <c r="M20" s="26" t="n">
        <v>0.27</v>
      </c>
      <c r="N20" s="27" t="n">
        <v>0.254</v>
      </c>
      <c r="O20" s="28">
        <f>(1-ABS(M20-N20)/M20)*100</f>
        <v/>
      </c>
      <c r="P20" s="29" t="n">
        <v>0.48</v>
      </c>
      <c r="Q20" s="30" t="n">
        <v>0.642</v>
      </c>
      <c r="R20" s="28">
        <f>(1-ABS(P20-Q20)/P20)*100</f>
        <v/>
      </c>
      <c r="S20" s="31" t="n">
        <v>18</v>
      </c>
      <c r="T20" s="29" t="n">
        <v>14.45</v>
      </c>
      <c r="U20" s="28">
        <f>(1-ABS(S20-T20)/S20)*100</f>
        <v/>
      </c>
    </row>
    <row r="21">
      <c r="B21" s="24" t="inlineStr">
        <is>
          <t>07/06A</t>
        </is>
      </c>
      <c r="C21" s="25" t="n">
        <v>8597</v>
      </c>
      <c r="D21" s="26" t="n">
        <v>2.59</v>
      </c>
      <c r="E21" s="27" t="n">
        <v>2.506</v>
      </c>
      <c r="F21" s="28">
        <f>(1-ABS(D21-E21)/D21)*100</f>
        <v/>
      </c>
      <c r="G21" s="27" t="n">
        <v>0.156</v>
      </c>
      <c r="H21" s="27" t="n">
        <v>0.163</v>
      </c>
      <c r="I21" s="28">
        <f>(1-ABS(G21-H21)/G21)*100</f>
        <v/>
      </c>
      <c r="J21" s="26" t="n">
        <v>0.83</v>
      </c>
      <c r="K21" s="27" t="n">
        <v>1.015</v>
      </c>
      <c r="L21" s="28">
        <f>(1-ABS(J21-K21)/J21)*100</f>
        <v/>
      </c>
      <c r="M21" s="26" t="n">
        <v>0.35</v>
      </c>
      <c r="N21" s="27" t="n">
        <v>0.26</v>
      </c>
      <c r="O21" s="28">
        <f>(1-ABS(M21-N21)/M21)*100</f>
        <v/>
      </c>
      <c r="P21" s="29" t="n">
        <v>0.68</v>
      </c>
      <c r="Q21" s="30" t="n">
        <v>0.644</v>
      </c>
      <c r="R21" s="28">
        <f>(1-ABS(P21-Q21)/P21)*100</f>
        <v/>
      </c>
      <c r="S21" s="31" t="n">
        <v>19</v>
      </c>
      <c r="T21" s="29" t="n">
        <v>13.95</v>
      </c>
      <c r="U21" s="28">
        <f>(1-ABS(S21-T21)/S21)*100</f>
        <v/>
      </c>
    </row>
    <row r="22">
      <c r="B22" s="24" t="inlineStr">
        <is>
          <t>07/07A</t>
        </is>
      </c>
      <c r="C22" s="25" t="n">
        <v>4761</v>
      </c>
      <c r="D22" s="26" t="n">
        <v>2.57</v>
      </c>
      <c r="E22" s="27" t="n">
        <v>2.522</v>
      </c>
      <c r="F22" s="28">
        <f>(1-ABS(D22-E22)/D22)*100</f>
        <v/>
      </c>
      <c r="G22" s="27" t="n">
        <v>0.152</v>
      </c>
      <c r="H22" s="27" t="n">
        <v>0.164</v>
      </c>
      <c r="I22" s="28">
        <f>(1-ABS(G22-H22)/G22)*100</f>
        <v/>
      </c>
      <c r="J22" s="26" t="n">
        <v>0.92</v>
      </c>
      <c r="K22" s="27" t="n">
        <v>1.021</v>
      </c>
      <c r="L22" s="28">
        <f>(1-ABS(J22-K22)/J22)*100</f>
        <v/>
      </c>
      <c r="M22" s="26" t="n">
        <v>0.33</v>
      </c>
      <c r="N22" s="27" t="n">
        <v>0.26</v>
      </c>
      <c r="O22" s="28">
        <f>(1-ABS(M22-N22)/M22)*100</f>
        <v/>
      </c>
      <c r="P22" s="29" t="n">
        <v>0.5</v>
      </c>
      <c r="Q22" s="30" t="n">
        <v>0.644</v>
      </c>
      <c r="R22" s="28">
        <f>(1-ABS(P22-Q22)/P22)*100</f>
        <v/>
      </c>
      <c r="S22" s="31" t="n">
        <v>19</v>
      </c>
      <c r="T22" s="29" t="n">
        <v>14.09</v>
      </c>
      <c r="U22" s="28">
        <f>(1-ABS(S22-T22)/S22)*100</f>
        <v/>
      </c>
    </row>
    <row r="23">
      <c r="B23" s="24" t="inlineStr">
        <is>
          <t>07/09A</t>
        </is>
      </c>
      <c r="C23" s="25" t="n">
        <v>8467</v>
      </c>
      <c r="D23" s="26" t="n">
        <v>2.5</v>
      </c>
      <c r="E23" s="27" t="n">
        <v>2.519</v>
      </c>
      <c r="F23" s="28">
        <f>(1-ABS(D23-E23)/D23)*100</f>
        <v/>
      </c>
      <c r="G23" s="27" t="n">
        <v>0.161</v>
      </c>
      <c r="H23" s="27" t="n">
        <v>0.164</v>
      </c>
      <c r="I23" s="28">
        <f>(1-ABS(G23-H23)/G23)*100</f>
        <v/>
      </c>
      <c r="J23" s="26" t="n">
        <v>0.83</v>
      </c>
      <c r="K23" s="27" t="n">
        <v>1.009</v>
      </c>
      <c r="L23" s="28">
        <f>(1-ABS(J23-K23)/J23)*100</f>
        <v/>
      </c>
      <c r="M23" s="26" t="n">
        <v>0.32</v>
      </c>
      <c r="N23" s="27" t="n">
        <v>0.267</v>
      </c>
      <c r="O23" s="28">
        <f>(1-ABS(M23-N23)/M23)*100</f>
        <v/>
      </c>
      <c r="P23" s="29" t="n">
        <v>0.44</v>
      </c>
      <c r="Q23" s="30" t="n">
        <v>0.657</v>
      </c>
      <c r="R23" s="28">
        <f>(1-ABS(P23-Q23)/P23)*100</f>
        <v/>
      </c>
      <c r="S23" s="31" t="n">
        <v>19</v>
      </c>
      <c r="T23" s="29" t="n">
        <v>13.44</v>
      </c>
      <c r="U23" s="28">
        <f>(1-ABS(S23-T23)/S23)*100</f>
        <v/>
      </c>
    </row>
    <row r="24">
      <c r="B24" s="24" t="inlineStr">
        <is>
          <t>09/1</t>
        </is>
      </c>
      <c r="C24" s="25" t="n">
        <v>5288</v>
      </c>
      <c r="D24" s="26" t="n">
        <v>2.6</v>
      </c>
      <c r="E24" s="27" t="n">
        <v>2.413</v>
      </c>
      <c r="F24" s="28">
        <f>(1-ABS(D24-E24)/D24)*100</f>
        <v/>
      </c>
      <c r="G24" s="27" t="n">
        <v>0.15</v>
      </c>
      <c r="H24" s="27" t="n">
        <v>0.156</v>
      </c>
      <c r="I24" s="28">
        <f>(1-ABS(G24-H24)/G24)*100</f>
        <v/>
      </c>
      <c r="J24" s="26" t="n">
        <v>0.9</v>
      </c>
      <c r="K24" s="27" t="n">
        <v>0.966</v>
      </c>
      <c r="L24" s="28">
        <f>(1-ABS(J24-K24)/J24)*100</f>
        <v/>
      </c>
      <c r="M24" s="26" t="n">
        <v>0.33</v>
      </c>
      <c r="N24" s="27" t="n">
        <v>0.259</v>
      </c>
      <c r="O24" s="28">
        <f>(1-ABS(M24-N24)/M24)*100</f>
        <v/>
      </c>
      <c r="P24" s="29" t="n">
        <v>0.49</v>
      </c>
      <c r="Q24" s="30" t="n">
        <v>0.627</v>
      </c>
      <c r="R24" s="28">
        <f>(1-ABS(P24-Q24)/P24)*100</f>
        <v/>
      </c>
      <c r="S24" s="31" t="n">
        <v>12</v>
      </c>
      <c r="T24" s="29" t="n">
        <v>12.92</v>
      </c>
      <c r="U24" s="28">
        <f>(1-ABS(S24-T24)/S24)*100</f>
        <v/>
      </c>
    </row>
    <row r="25">
      <c r="B25" s="24" t="inlineStr">
        <is>
          <t>09/2</t>
        </is>
      </c>
      <c r="C25" s="25" t="n">
        <v>6061</v>
      </c>
      <c r="D25" s="26" t="n">
        <v>2.55</v>
      </c>
      <c r="E25" s="27" t="n">
        <v>2.532</v>
      </c>
      <c r="F25" s="28">
        <f>(1-ABS(D25-E25)/D25)*100</f>
        <v/>
      </c>
      <c r="G25" s="27" t="n">
        <v>0.149</v>
      </c>
      <c r="H25" s="27" t="n">
        <v>0.164</v>
      </c>
      <c r="I25" s="28">
        <f>(1-ABS(G25-H25)/G25)*100</f>
        <v/>
      </c>
      <c r="J25" s="26" t="n">
        <v>0.85</v>
      </c>
      <c r="K25" s="27" t="n">
        <v>1.013</v>
      </c>
      <c r="L25" s="28">
        <f>(1-ABS(J25-K25)/J25)*100</f>
        <v/>
      </c>
      <c r="M25" s="26" t="n">
        <v>0.28</v>
      </c>
      <c r="N25" s="27" t="n">
        <v>0.262</v>
      </c>
      <c r="O25" s="28">
        <f>(1-ABS(M25-N25)/M25)*100</f>
        <v/>
      </c>
      <c r="P25" s="29" t="n">
        <v>0.46</v>
      </c>
      <c r="Q25" s="30" t="n">
        <v>0.653</v>
      </c>
      <c r="R25" s="28">
        <f>(1-ABS(P25-Q25)/P25)*100</f>
        <v/>
      </c>
      <c r="S25" s="31" t="n">
        <v>16</v>
      </c>
      <c r="T25" s="29" t="n">
        <v>13.9</v>
      </c>
      <c r="U25" s="28">
        <f>(1-ABS(S25-T25)/S25)*100</f>
        <v/>
      </c>
    </row>
    <row r="26">
      <c r="B26" s="24" t="inlineStr">
        <is>
          <t>09/3</t>
        </is>
      </c>
      <c r="C26" s="25" t="n">
        <v>6237</v>
      </c>
      <c r="D26" s="26" t="n">
        <v>2.46</v>
      </c>
      <c r="E26" s="27" t="n">
        <v>2.546</v>
      </c>
      <c r="F26" s="28">
        <f>(1-ABS(D26-E26)/D26)*100</f>
        <v/>
      </c>
      <c r="G26" s="27" t="n">
        <v>0.155</v>
      </c>
      <c r="H26" s="27" t="n">
        <v>0.164</v>
      </c>
      <c r="I26" s="28">
        <f>(1-ABS(G26-H26)/G26)*100</f>
        <v/>
      </c>
      <c r="J26" s="26" t="n">
        <v>0.9</v>
      </c>
      <c r="K26" s="27" t="n">
        <v>1.032</v>
      </c>
      <c r="L26" s="28">
        <f>(1-ABS(J26-K26)/J26)*100</f>
        <v/>
      </c>
      <c r="M26" s="26" t="n">
        <v>0.37</v>
      </c>
      <c r="N26" s="27" t="n">
        <v>0.254</v>
      </c>
      <c r="O26" s="28">
        <f>(1-ABS(M26-N26)/M26)*100</f>
        <v/>
      </c>
      <c r="P26" s="29" t="n">
        <v>0.43</v>
      </c>
      <c r="Q26" s="30" t="n">
        <v>0.648</v>
      </c>
      <c r="R26" s="28">
        <f>(1-ABS(P26-Q26)/P26)*100</f>
        <v/>
      </c>
      <c r="S26" s="31" t="n">
        <v>14</v>
      </c>
      <c r="T26" s="29" t="n">
        <v>14.48</v>
      </c>
      <c r="U26" s="28">
        <f>(1-ABS(S26-T26)/S26)*100</f>
        <v/>
      </c>
    </row>
    <row r="27">
      <c r="B27" s="24" t="inlineStr">
        <is>
          <t>09/4</t>
        </is>
      </c>
      <c r="C27" s="25" t="n">
        <v>3453</v>
      </c>
      <c r="D27" s="26" t="n">
        <v>2.53</v>
      </c>
      <c r="E27" s="27" t="n">
        <v>2.535</v>
      </c>
      <c r="F27" s="28">
        <f>(1-ABS(D27-E27)/D27)*100</f>
        <v/>
      </c>
      <c r="G27" s="27" t="n">
        <v>0.156</v>
      </c>
      <c r="H27" s="27" t="n">
        <v>0.165</v>
      </c>
      <c r="I27" s="28">
        <f>(1-ABS(G27-H27)/G27)*100</f>
        <v/>
      </c>
      <c r="J27" s="26" t="n">
        <v>0.91</v>
      </c>
      <c r="K27" s="27" t="n">
        <v>1.02</v>
      </c>
      <c r="L27" s="28">
        <f>(1-ABS(J27-K27)/J27)*100</f>
        <v/>
      </c>
      <c r="M27" s="26" t="n">
        <v>0.36</v>
      </c>
      <c r="N27" s="27" t="n">
        <v>0.26</v>
      </c>
      <c r="O27" s="28">
        <f>(1-ABS(M27-N27)/M27)*100</f>
        <v/>
      </c>
      <c r="P27" s="29" t="n">
        <v>0.59</v>
      </c>
      <c r="Q27" s="30" t="n">
        <v>0.649</v>
      </c>
      <c r="R27" s="28">
        <f>(1-ABS(P27-Q27)/P27)*100</f>
        <v/>
      </c>
      <c r="S27" s="31" t="n">
        <v>13</v>
      </c>
      <c r="T27" s="29" t="n">
        <v>14.37</v>
      </c>
      <c r="U27" s="28">
        <f>(1-ABS(S27-T27)/S27)*100</f>
        <v/>
      </c>
    </row>
    <row r="28">
      <c r="B28" s="24" t="inlineStr">
        <is>
          <t>09/5</t>
        </is>
      </c>
      <c r="C28" s="25" t="n">
        <v>4705</v>
      </c>
      <c r="D28" s="26" t="n">
        <v>2.63</v>
      </c>
      <c r="E28" s="27" t="n">
        <v>2.481</v>
      </c>
      <c r="F28" s="28">
        <f>(1-ABS(D28-E28)/D28)*100</f>
        <v/>
      </c>
      <c r="G28" s="27" t="n">
        <v>0.158</v>
      </c>
      <c r="H28" s="27" t="n">
        <v>0.161</v>
      </c>
      <c r="I28" s="28">
        <f>(1-ABS(G28-H28)/G28)*100</f>
        <v/>
      </c>
      <c r="J28" s="26" t="n">
        <v>0.89</v>
      </c>
      <c r="K28" s="27" t="n">
        <v>0.997</v>
      </c>
      <c r="L28" s="28">
        <f>(1-ABS(J28-K28)/J28)*100</f>
        <v/>
      </c>
      <c r="M28" s="26" t="n">
        <v>0.39</v>
      </c>
      <c r="N28" s="27" t="n">
        <v>0.272</v>
      </c>
      <c r="O28" s="28">
        <f>(1-ABS(M28-N28)/M28)*100</f>
        <v/>
      </c>
      <c r="P28" s="29" t="n">
        <v>0.42</v>
      </c>
      <c r="Q28" s="30" t="n">
        <v>0.653</v>
      </c>
      <c r="R28" s="28">
        <f>(1-ABS(P28-Q28)/P28)*100</f>
        <v/>
      </c>
      <c r="S28" s="31" t="n">
        <v>13</v>
      </c>
      <c r="T28" s="29" t="n">
        <v>13.22</v>
      </c>
      <c r="U28" s="28">
        <f>(1-ABS(S28-T28)/S28)*100</f>
        <v/>
      </c>
    </row>
    <row r="29">
      <c r="B29" s="24" t="inlineStr">
        <is>
          <t>09/6</t>
        </is>
      </c>
      <c r="C29" s="25" t="n">
        <v>4932</v>
      </c>
      <c r="D29" s="26" t="n">
        <v>2.75</v>
      </c>
      <c r="E29" s="27" t="n">
        <v>2.539</v>
      </c>
      <c r="F29" s="28">
        <f>(1-ABS(D29-E29)/D29)*100</f>
        <v/>
      </c>
      <c r="G29" s="27" t="n">
        <v>0.158</v>
      </c>
      <c r="H29" s="27" t="n">
        <v>0.164</v>
      </c>
      <c r="I29" s="28">
        <f>(1-ABS(G29-H29)/G29)*100</f>
        <v/>
      </c>
      <c r="J29" s="26" t="n">
        <v>0.9399999999999999</v>
      </c>
      <c r="K29" s="27" t="n">
        <v>1.009</v>
      </c>
      <c r="L29" s="28">
        <f>(1-ABS(J29-K29)/J29)*100</f>
        <v/>
      </c>
      <c r="M29" s="26" t="n">
        <v>0.35</v>
      </c>
      <c r="N29" s="27" t="n">
        <v>0.256</v>
      </c>
      <c r="O29" s="28">
        <f>(1-ABS(M29-N29)/M29)*100</f>
        <v/>
      </c>
      <c r="P29" s="29" t="n">
        <v>0.42</v>
      </c>
      <c r="Q29" s="30" t="n">
        <v>0.652</v>
      </c>
      <c r="R29" s="28">
        <f>(1-ABS(P29-Q29)/P29)*100</f>
        <v/>
      </c>
      <c r="S29" s="31" t="n">
        <v>12</v>
      </c>
      <c r="T29" s="29" t="n">
        <v>14.33</v>
      </c>
      <c r="U29" s="28">
        <f>(1-ABS(S29-T29)/S29)*100</f>
        <v/>
      </c>
    </row>
    <row r="30">
      <c r="B30" s="24" t="inlineStr">
        <is>
          <t>09/7</t>
        </is>
      </c>
      <c r="C30" s="25" t="n">
        <v>6301</v>
      </c>
      <c r="D30" s="26" t="n">
        <v>2.62</v>
      </c>
      <c r="E30" s="27" t="n">
        <v>2.531</v>
      </c>
      <c r="F30" s="28">
        <f>(1-ABS(D30-E30)/D30)*100</f>
        <v/>
      </c>
      <c r="G30" s="27" t="n">
        <v>0.157</v>
      </c>
      <c r="H30" s="27" t="n">
        <v>0.164</v>
      </c>
      <c r="I30" s="28">
        <f>(1-ABS(G30-H30)/G30)*100</f>
        <v/>
      </c>
      <c r="J30" s="26" t="n">
        <v>0.93</v>
      </c>
      <c r="K30" s="27" t="n">
        <v>1.011</v>
      </c>
      <c r="L30" s="28">
        <f>(1-ABS(J30-K30)/J30)*100</f>
        <v/>
      </c>
      <c r="M30" s="26" t="n">
        <v>0.33</v>
      </c>
      <c r="N30" s="27" t="n">
        <v>0.264</v>
      </c>
      <c r="O30" s="28">
        <f>(1-ABS(M30-N30)/M30)*100</f>
        <v/>
      </c>
      <c r="P30" s="29" t="n">
        <v>0.4</v>
      </c>
      <c r="Q30" s="30" t="n">
        <v>0.649</v>
      </c>
      <c r="R30" s="28">
        <f>(1-ABS(P30-Q30)/P30)*100</f>
        <v/>
      </c>
      <c r="S30" s="31" t="n">
        <v>12</v>
      </c>
      <c r="T30" s="29" t="n">
        <v>14.09</v>
      </c>
      <c r="U30" s="28">
        <f>(1-ABS(S30-T30)/S30)*100</f>
        <v/>
      </c>
    </row>
    <row r="31">
      <c r="B31" s="24" t="inlineStr">
        <is>
          <t>09/8</t>
        </is>
      </c>
      <c r="C31" s="25" t="n">
        <v>2188</v>
      </c>
      <c r="D31" s="26" t="n">
        <v>2.68</v>
      </c>
      <c r="E31" s="27" t="n">
        <v>2.535</v>
      </c>
      <c r="F31" s="28">
        <f>(1-ABS(D31-E31)/D31)*100</f>
        <v/>
      </c>
      <c r="G31" s="27" t="n">
        <v>0.153</v>
      </c>
      <c r="H31" s="27" t="n">
        <v>0.165</v>
      </c>
      <c r="I31" s="28">
        <f>(1-ABS(G31-H31)/G31)*100</f>
        <v/>
      </c>
      <c r="J31" s="26" t="n">
        <v>0.91</v>
      </c>
      <c r="K31" s="27" t="n">
        <v>1.013</v>
      </c>
      <c r="L31" s="28">
        <f>(1-ABS(J31-K31)/J31)*100</f>
        <v/>
      </c>
      <c r="M31" s="26" t="n">
        <v>0.33</v>
      </c>
      <c r="N31" s="27" t="n">
        <v>0.259</v>
      </c>
      <c r="O31" s="28">
        <f>(1-ABS(M31-N31)/M31)*100</f>
        <v/>
      </c>
      <c r="P31" s="29" t="n">
        <v>0.6</v>
      </c>
      <c r="Q31" s="30" t="n">
        <v>0.652</v>
      </c>
      <c r="R31" s="28">
        <f>(1-ABS(P31-Q31)/P31)*100</f>
        <v/>
      </c>
      <c r="S31" s="31" t="n">
        <v>13</v>
      </c>
      <c r="T31" s="29" t="n">
        <v>14.32</v>
      </c>
      <c r="U31" s="28">
        <f>(1-ABS(S31-T31)/S31)*100</f>
        <v/>
      </c>
    </row>
    <row r="32">
      <c r="B32" s="24" t="inlineStr">
        <is>
          <t>09/9</t>
        </is>
      </c>
      <c r="C32" s="25" t="n">
        <v>5629</v>
      </c>
      <c r="D32" s="26" t="n">
        <v>2.63</v>
      </c>
      <c r="E32" s="27" t="n">
        <v>2.514</v>
      </c>
      <c r="F32" s="28">
        <f>(1-ABS(D32-E32)/D32)*100</f>
        <v/>
      </c>
      <c r="G32" s="27" t="n">
        <v>0.165</v>
      </c>
      <c r="H32" s="27" t="n">
        <v>0.164</v>
      </c>
      <c r="I32" s="28">
        <f>(1-ABS(G32-H32)/G32)*100</f>
        <v/>
      </c>
      <c r="J32" s="26" t="n">
        <v>0.97</v>
      </c>
      <c r="K32" s="27" t="n">
        <v>1.004</v>
      </c>
      <c r="L32" s="28">
        <f>(1-ABS(J32-K32)/J32)*100</f>
        <v/>
      </c>
      <c r="M32" s="26" t="n">
        <v>0.35</v>
      </c>
      <c r="N32" s="27" t="n">
        <v>0.255</v>
      </c>
      <c r="O32" s="28">
        <f>(1-ABS(M32-N32)/M32)*100</f>
        <v/>
      </c>
      <c r="P32" s="29" t="n">
        <v>0.44</v>
      </c>
      <c r="Q32" s="30" t="n">
        <v>0.652</v>
      </c>
      <c r="R32" s="28">
        <f>(1-ABS(P32-Q32)/P32)*100</f>
        <v/>
      </c>
      <c r="S32" s="31" t="n">
        <v>15</v>
      </c>
      <c r="T32" s="29" t="n">
        <v>13.89</v>
      </c>
      <c r="U32" s="28">
        <f>(1-ABS(S32-T32)/S32)*100</f>
        <v/>
      </c>
    </row>
    <row r="33">
      <c r="B33" s="24" t="inlineStr">
        <is>
          <t>09/10</t>
        </is>
      </c>
      <c r="C33" s="25" t="n">
        <v>6516</v>
      </c>
      <c r="D33" s="26" t="n">
        <v>2.56</v>
      </c>
      <c r="E33" s="27" t="n">
        <v>2.521</v>
      </c>
      <c r="F33" s="28">
        <f>(1-ABS(D33-E33)/D33)*100</f>
        <v/>
      </c>
      <c r="G33" s="27" t="n">
        <v>0.168</v>
      </c>
      <c r="H33" s="27" t="n">
        <v>0.163</v>
      </c>
      <c r="I33" s="28">
        <f>(1-ABS(G33-H33)/G33)*100</f>
        <v/>
      </c>
      <c r="J33" s="26" t="n">
        <v>1</v>
      </c>
      <c r="K33" s="27" t="n">
        <v>1.018</v>
      </c>
      <c r="L33" s="28">
        <f>(1-ABS(J33-K33)/J33)*100</f>
        <v/>
      </c>
      <c r="M33" s="26" t="n">
        <v>0.37</v>
      </c>
      <c r="N33" s="27" t="n">
        <v>0.263</v>
      </c>
      <c r="O33" s="28">
        <f>(1-ABS(M33-N33)/M33)*100</f>
        <v/>
      </c>
      <c r="P33" s="29" t="n">
        <v>0.67</v>
      </c>
      <c r="Q33" s="30" t="n">
        <v>0.65</v>
      </c>
      <c r="R33" s="28">
        <f>(1-ABS(P33-Q33)/P33)*100</f>
        <v/>
      </c>
      <c r="S33" s="31" t="n">
        <v>15</v>
      </c>
      <c r="T33" s="29" t="n">
        <v>13.89</v>
      </c>
      <c r="U33" s="28">
        <f>(1-ABS(S33-T33)/S33)*100</f>
        <v/>
      </c>
    </row>
    <row r="34">
      <c r="B34" s="24" t="inlineStr">
        <is>
          <t>09/13</t>
        </is>
      </c>
      <c r="C34" s="25" t="n">
        <v>4273</v>
      </c>
      <c r="D34" s="26" t="n">
        <v>2.59</v>
      </c>
      <c r="E34" s="27" t="n">
        <v>2.537</v>
      </c>
      <c r="F34" s="28">
        <f>(1-ABS(D34-E34)/D34)*100</f>
        <v/>
      </c>
      <c r="G34" s="27" t="n">
        <v>0.162</v>
      </c>
      <c r="H34" s="27" t="n">
        <v>0.164</v>
      </c>
      <c r="I34" s="28">
        <f>(1-ABS(G34-H34)/G34)*100</f>
        <v/>
      </c>
      <c r="J34" s="26" t="n">
        <v>0.99</v>
      </c>
      <c r="K34" s="27" t="n">
        <v>1.031</v>
      </c>
      <c r="L34" s="28">
        <f>(1-ABS(J34-K34)/J34)*100</f>
        <v/>
      </c>
      <c r="M34" s="26" t="n">
        <v>0.34</v>
      </c>
      <c r="N34" s="27" t="n">
        <v>0.258</v>
      </c>
      <c r="O34" s="28">
        <f>(1-ABS(M34-N34)/M34)*100</f>
        <v/>
      </c>
      <c r="P34" s="29" t="n">
        <v>0.4</v>
      </c>
      <c r="Q34" s="30" t="n">
        <v>0.648</v>
      </c>
      <c r="R34" s="28">
        <f>(1-ABS(P34-Q34)/P34)*100</f>
        <v/>
      </c>
      <c r="S34" s="31" t="n">
        <v>13</v>
      </c>
      <c r="T34" s="29" t="n">
        <v>14.14</v>
      </c>
      <c r="U34" s="28">
        <f>(1-ABS(S34-T34)/S34)*100</f>
        <v/>
      </c>
    </row>
    <row r="35">
      <c r="B35" s="24" t="inlineStr">
        <is>
          <t>09/14</t>
        </is>
      </c>
      <c r="C35" s="25" t="n">
        <v>3983</v>
      </c>
      <c r="D35" s="26" t="n">
        <v>2.4</v>
      </c>
      <c r="E35" s="27" t="n">
        <v>2.54</v>
      </c>
      <c r="F35" s="28">
        <f>(1-ABS(D35-E35)/D35)*100</f>
        <v/>
      </c>
      <c r="G35" s="27" t="n">
        <v>0.156</v>
      </c>
      <c r="H35" s="27" t="n">
        <v>0.164</v>
      </c>
      <c r="I35" s="28">
        <f>(1-ABS(G35-H35)/G35)*100</f>
        <v/>
      </c>
      <c r="J35" s="26" t="n">
        <v>1.04</v>
      </c>
      <c r="K35" s="27" t="n">
        <v>1.012</v>
      </c>
      <c r="L35" s="28">
        <f>(1-ABS(J35-K35)/J35)*100</f>
        <v/>
      </c>
      <c r="M35" s="26" t="n">
        <v>0.32</v>
      </c>
      <c r="N35" s="27" t="n">
        <v>0.26</v>
      </c>
      <c r="O35" s="28">
        <f>(1-ABS(M35-N35)/M35)*100</f>
        <v/>
      </c>
      <c r="P35" s="29" t="n">
        <v>0.43</v>
      </c>
      <c r="Q35" s="30" t="n">
        <v>0.656</v>
      </c>
      <c r="R35" s="28">
        <f>(1-ABS(P35-Q35)/P35)*100</f>
        <v/>
      </c>
      <c r="S35" s="31" t="n">
        <v>13</v>
      </c>
      <c r="T35" s="29" t="n">
        <v>14.11</v>
      </c>
      <c r="U35" s="28">
        <f>(1-ABS(S35-T35)/S35)*100</f>
        <v/>
      </c>
    </row>
    <row r="36">
      <c r="B36" s="24" t="inlineStr">
        <is>
          <t>09/15</t>
        </is>
      </c>
      <c r="C36" s="25" t="n">
        <v>3433</v>
      </c>
      <c r="D36" s="26" t="n">
        <v>2.51</v>
      </c>
      <c r="E36" s="27" t="n">
        <v>2.516</v>
      </c>
      <c r="F36" s="28">
        <f>(1-ABS(D36-E36)/D36)*100</f>
        <v/>
      </c>
      <c r="G36" s="27" t="n">
        <v>0.151</v>
      </c>
      <c r="H36" s="27" t="n">
        <v>0.162</v>
      </c>
      <c r="I36" s="28">
        <f>(1-ABS(G36-H36)/G36)*100</f>
        <v/>
      </c>
      <c r="J36" s="26" t="n">
        <v>0.87</v>
      </c>
      <c r="K36" s="27" t="n">
        <v>1.005</v>
      </c>
      <c r="L36" s="28">
        <f>(1-ABS(J36-K36)/J36)*100</f>
        <v/>
      </c>
      <c r="M36" s="26" t="n">
        <v>0.32</v>
      </c>
      <c r="N36" s="27" t="n">
        <v>0.267</v>
      </c>
      <c r="O36" s="28">
        <f>(1-ABS(M36-N36)/M36)*100</f>
        <v/>
      </c>
      <c r="P36" s="29" t="n">
        <v>0.63</v>
      </c>
      <c r="Q36" s="30" t="n">
        <v>0.651</v>
      </c>
      <c r="R36" s="28">
        <f>(1-ABS(P36-Q36)/P36)*100</f>
        <v/>
      </c>
      <c r="S36" s="31" t="n">
        <v>18</v>
      </c>
      <c r="T36" s="29" t="n">
        <v>13.58</v>
      </c>
      <c r="U36" s="28">
        <f>(1-ABS(S36-T36)/S36)*100</f>
        <v/>
      </c>
    </row>
    <row r="37">
      <c r="B37" s="24" t="inlineStr">
        <is>
          <t>09/16</t>
        </is>
      </c>
      <c r="C37" s="25" t="n">
        <v>3106</v>
      </c>
      <c r="D37" s="26" t="n">
        <v>2.47</v>
      </c>
      <c r="E37" s="27" t="n">
        <v>2.54</v>
      </c>
      <c r="F37" s="28">
        <f>(1-ABS(D37-E37)/D37)*100</f>
        <v/>
      </c>
      <c r="G37" s="27" t="n">
        <v>0.166</v>
      </c>
      <c r="H37" s="27" t="n">
        <v>0.165</v>
      </c>
      <c r="I37" s="28">
        <f>(1-ABS(G37-H37)/G37)*100</f>
        <v/>
      </c>
      <c r="J37" s="26" t="n">
        <v>1.05</v>
      </c>
      <c r="K37" s="27" t="n">
        <v>1.028</v>
      </c>
      <c r="L37" s="28">
        <f>(1-ABS(J37-K37)/J37)*100</f>
        <v/>
      </c>
      <c r="M37" s="26" t="n">
        <v>0.37</v>
      </c>
      <c r="N37" s="27" t="n">
        <v>0.265</v>
      </c>
      <c r="O37" s="28">
        <f>(1-ABS(M37-N37)/M37)*100</f>
        <v/>
      </c>
      <c r="P37" s="29" t="n">
        <v>0.4</v>
      </c>
      <c r="Q37" s="30" t="n">
        <v>0.647</v>
      </c>
      <c r="R37" s="28">
        <f>(1-ABS(P37-Q37)/P37)*100</f>
        <v/>
      </c>
      <c r="S37" s="31" t="n">
        <v>14</v>
      </c>
      <c r="T37" s="29" t="n">
        <v>14.36</v>
      </c>
      <c r="U37" s="28">
        <f>(1-ABS(S37-T37)/S37)*100</f>
        <v/>
      </c>
    </row>
    <row r="38">
      <c r="B38" s="24" t="inlineStr">
        <is>
          <t>11/01</t>
        </is>
      </c>
      <c r="C38" s="25" t="n">
        <v>4875</v>
      </c>
      <c r="D38" s="26" t="n">
        <v>2.52</v>
      </c>
      <c r="E38" s="27" t="n">
        <v>2.531</v>
      </c>
      <c r="F38" s="28">
        <f>(1-ABS(D38-E38)/D38)*100</f>
        <v/>
      </c>
      <c r="G38" s="27" t="n">
        <v>0.153</v>
      </c>
      <c r="H38" s="27" t="n">
        <v>0.163</v>
      </c>
      <c r="I38" s="28">
        <f>(1-ABS(G38-H38)/G38)*100</f>
        <v/>
      </c>
      <c r="J38" s="26" t="n">
        <v>0.95</v>
      </c>
      <c r="K38" s="27" t="n">
        <v>1.019</v>
      </c>
      <c r="L38" s="28">
        <f>(1-ABS(J38-K38)/J38)*100</f>
        <v/>
      </c>
      <c r="M38" s="26" t="n">
        <v>0.31</v>
      </c>
      <c r="N38" s="27" t="n">
        <v>0.284</v>
      </c>
      <c r="O38" s="28">
        <f>(1-ABS(M38-N38)/M38)*100</f>
        <v/>
      </c>
      <c r="P38" s="29" t="n">
        <v>0.43</v>
      </c>
      <c r="Q38" s="30" t="n">
        <v>0.669</v>
      </c>
      <c r="R38" s="28">
        <f>(1-ABS(P38-Q38)/P38)*100</f>
        <v/>
      </c>
      <c r="S38" s="31" t="n">
        <v>12</v>
      </c>
      <c r="T38" s="29" t="n">
        <v>13.01</v>
      </c>
      <c r="U38" s="28">
        <f>(1-ABS(S38-T38)/S38)*100</f>
        <v/>
      </c>
    </row>
    <row r="39">
      <c r="B39" s="24" t="inlineStr">
        <is>
          <t>11/02</t>
        </is>
      </c>
      <c r="C39" s="25" t="n">
        <v>2780</v>
      </c>
      <c r="D39" s="26" t="n">
        <v>2.58</v>
      </c>
      <c r="E39" s="27" t="n">
        <v>2.564</v>
      </c>
      <c r="F39" s="28">
        <f>(1-ABS(D39-E39)/D39)*100</f>
        <v/>
      </c>
      <c r="G39" s="27" t="n">
        <v>0.152</v>
      </c>
      <c r="H39" s="27" t="n">
        <v>0.164</v>
      </c>
      <c r="I39" s="28">
        <f>(1-ABS(G39-H39)/G39)*100</f>
        <v/>
      </c>
      <c r="J39" s="26" t="n">
        <v>0.8</v>
      </c>
      <c r="K39" s="27" t="n">
        <v>1.033</v>
      </c>
      <c r="L39" s="28">
        <f>(1-ABS(J39-K39)/J39)*100</f>
        <v/>
      </c>
      <c r="M39" s="26" t="n">
        <v>0.34</v>
      </c>
      <c r="N39" s="27" t="n">
        <v>0.27</v>
      </c>
      <c r="O39" s="28">
        <f>(1-ABS(M39-N39)/M39)*100</f>
        <v/>
      </c>
      <c r="P39" s="29" t="n">
        <v>0.43</v>
      </c>
      <c r="Q39" s="30" t="n">
        <v>0.671</v>
      </c>
      <c r="R39" s="28">
        <f>(1-ABS(P39-Q39)/P39)*100</f>
        <v/>
      </c>
      <c r="S39" s="31" t="n">
        <v>18</v>
      </c>
      <c r="T39" s="29" t="n">
        <v>13.6</v>
      </c>
      <c r="U39" s="28">
        <f>(1-ABS(S39-T39)/S39)*100</f>
        <v/>
      </c>
    </row>
    <row r="40">
      <c r="B40" s="24" t="inlineStr">
        <is>
          <t>11/03</t>
        </is>
      </c>
      <c r="C40" s="25" t="n">
        <v>3288</v>
      </c>
      <c r="D40" s="26" t="n">
        <v>2.52</v>
      </c>
      <c r="E40" s="27" t="n">
        <v>2.483</v>
      </c>
      <c r="F40" s="28">
        <f>(1-ABS(D40-E40)/D40)*100</f>
        <v/>
      </c>
      <c r="G40" s="27" t="n">
        <v>0.15</v>
      </c>
      <c r="H40" s="27" t="n">
        <v>0.16</v>
      </c>
      <c r="I40" s="28">
        <f>(1-ABS(G40-H40)/G40)*100</f>
        <v/>
      </c>
      <c r="J40" s="26" t="n">
        <v>0.83</v>
      </c>
      <c r="K40" s="27" t="n">
        <v>0.997</v>
      </c>
      <c r="L40" s="28">
        <f>(1-ABS(J40-K40)/J40)*100</f>
        <v/>
      </c>
      <c r="M40" s="26" t="n">
        <v>0.3</v>
      </c>
      <c r="N40" s="27" t="n">
        <v>0.285</v>
      </c>
      <c r="O40" s="28">
        <f>(1-ABS(M40-N40)/M40)*100</f>
        <v/>
      </c>
      <c r="P40" s="29" t="n">
        <v>0.59</v>
      </c>
      <c r="Q40" s="30" t="n">
        <v>0.664</v>
      </c>
      <c r="R40" s="28">
        <f>(1-ABS(P40-Q40)/P40)*100</f>
        <v/>
      </c>
      <c r="S40" s="31" t="n">
        <v>16</v>
      </c>
      <c r="T40" s="29" t="n">
        <v>12.46</v>
      </c>
      <c r="U40" s="28">
        <f>(1-ABS(S40-T40)/S40)*100</f>
        <v/>
      </c>
    </row>
    <row r="41">
      <c r="B41" s="24" t="inlineStr">
        <is>
          <t>11/04</t>
        </is>
      </c>
      <c r="C41" s="25" t="n">
        <v>2870</v>
      </c>
      <c r="D41" s="26" t="n">
        <v>2.64</v>
      </c>
      <c r="E41" s="27" t="n">
        <v>2.538</v>
      </c>
      <c r="F41" s="28">
        <f>(1-ABS(D41-E41)/D41)*100</f>
        <v/>
      </c>
      <c r="G41" s="27" t="n">
        <v>0.149</v>
      </c>
      <c r="H41" s="27" t="n">
        <v>0.164</v>
      </c>
      <c r="I41" s="28">
        <f>(1-ABS(G41-H41)/G41)*100</f>
        <v/>
      </c>
      <c r="J41" s="26" t="n">
        <v>0.8</v>
      </c>
      <c r="K41" s="27" t="n">
        <v>1.021</v>
      </c>
      <c r="L41" s="28">
        <f>(1-ABS(J41-K41)/J41)*100</f>
        <v/>
      </c>
      <c r="M41" s="26" t="n">
        <v>0.29</v>
      </c>
      <c r="N41" s="27" t="n">
        <v>0.272</v>
      </c>
      <c r="O41" s="28">
        <f>(1-ABS(M41-N41)/M41)*100</f>
        <v/>
      </c>
      <c r="P41" s="29" t="n">
        <v>0.45</v>
      </c>
      <c r="Q41" s="30" t="n">
        <v>0.65</v>
      </c>
      <c r="R41" s="28">
        <f>(1-ABS(P41-Q41)/P41)*100</f>
        <v/>
      </c>
      <c r="S41" s="31" t="n">
        <v>15</v>
      </c>
      <c r="T41" s="29" t="n">
        <v>13.94</v>
      </c>
      <c r="U41" s="28">
        <f>(1-ABS(S41-T41)/S41)*100</f>
        <v/>
      </c>
    </row>
    <row r="42">
      <c r="B42" s="24" t="inlineStr">
        <is>
          <t>11/05</t>
        </is>
      </c>
      <c r="C42" s="25" t="n">
        <v>4175</v>
      </c>
      <c r="D42" s="26" t="n">
        <v>2.62</v>
      </c>
      <c r="E42" s="27" t="n">
        <v>2.519</v>
      </c>
      <c r="F42" s="28">
        <f>(1-ABS(D42-E42)/D42)*100</f>
        <v/>
      </c>
      <c r="G42" s="27" t="n">
        <v>0.144</v>
      </c>
      <c r="H42" s="27" t="n">
        <v>0.163</v>
      </c>
      <c r="I42" s="28">
        <f>(1-ABS(G42-H42)/G42)*100</f>
        <v/>
      </c>
      <c r="J42" s="26" t="n">
        <v>0.86</v>
      </c>
      <c r="K42" s="27" t="n">
        <v>1.011</v>
      </c>
      <c r="L42" s="28">
        <f>(1-ABS(J42-K42)/J42)*100</f>
        <v/>
      </c>
      <c r="M42" s="26" t="n">
        <v>0.29</v>
      </c>
      <c r="N42" s="27" t="n">
        <v>0.275</v>
      </c>
      <c r="O42" s="28">
        <f>(1-ABS(M42-N42)/M42)*100</f>
        <v/>
      </c>
      <c r="P42" s="29" t="n">
        <v>0.5</v>
      </c>
      <c r="Q42" s="30" t="n">
        <v>0.658</v>
      </c>
      <c r="R42" s="28">
        <f>(1-ABS(P42-Q42)/P42)*100</f>
        <v/>
      </c>
      <c r="S42" s="31" t="n">
        <v>16</v>
      </c>
      <c r="T42" s="29" t="n">
        <v>13.28</v>
      </c>
      <c r="U42" s="28">
        <f>(1-ABS(S42-T42)/S42)*100</f>
        <v/>
      </c>
    </row>
    <row r="43">
      <c r="B43" s="24" t="inlineStr">
        <is>
          <t>11/06</t>
        </is>
      </c>
      <c r="C43" s="25" t="n">
        <v>3929</v>
      </c>
      <c r="D43" s="26" t="n">
        <v>2.55</v>
      </c>
      <c r="E43" s="27" t="n">
        <v>2.456</v>
      </c>
      <c r="F43" s="28">
        <f>(1-ABS(D43-E43)/D43)*100</f>
        <v/>
      </c>
      <c r="G43" s="27" t="n">
        <v>0.147</v>
      </c>
      <c r="H43" s="27" t="n">
        <v>0.157</v>
      </c>
      <c r="I43" s="28">
        <f>(1-ABS(G43-H43)/G43)*100</f>
        <v/>
      </c>
      <c r="J43" s="26" t="n">
        <v>0.89</v>
      </c>
      <c r="K43" s="27" t="n">
        <v>0.985</v>
      </c>
      <c r="L43" s="28">
        <f>(1-ABS(J43-K43)/J43)*100</f>
        <v/>
      </c>
      <c r="M43" s="26" t="n">
        <v>0.29</v>
      </c>
      <c r="N43" s="27" t="n">
        <v>0.269</v>
      </c>
      <c r="O43" s="28">
        <f>(1-ABS(M43-N43)/M43)*100</f>
        <v/>
      </c>
      <c r="P43" s="29" t="n">
        <v>0.43</v>
      </c>
      <c r="Q43" s="30" t="n">
        <v>0.651</v>
      </c>
      <c r="R43" s="28">
        <f>(1-ABS(P43-Q43)/P43)*100</f>
        <v/>
      </c>
      <c r="S43" s="31" t="n">
        <v>15</v>
      </c>
      <c r="T43" s="29" t="n">
        <v>12.58</v>
      </c>
      <c r="U43" s="28">
        <f>(1-ABS(S43-T43)/S43)*100</f>
        <v/>
      </c>
    </row>
    <row r="44">
      <c r="B44" s="24" t="inlineStr">
        <is>
          <t>11/07</t>
        </is>
      </c>
      <c r="C44" s="25" t="n">
        <v>5111</v>
      </c>
      <c r="D44" s="26" t="n">
        <v>2.54</v>
      </c>
      <c r="E44" s="27" t="n">
        <v>2.437</v>
      </c>
      <c r="F44" s="28">
        <f>(1-ABS(D44-E44)/D44)*100</f>
        <v/>
      </c>
      <c r="G44" s="27" t="n">
        <v>0.147</v>
      </c>
      <c r="H44" s="27" t="n">
        <v>0.156</v>
      </c>
      <c r="I44" s="28">
        <f>(1-ABS(G44-H44)/G44)*100</f>
        <v/>
      </c>
      <c r="J44" s="26" t="n">
        <v>0.8100000000000001</v>
      </c>
      <c r="K44" s="27" t="n">
        <v>0.974</v>
      </c>
      <c r="L44" s="28">
        <f>(1-ABS(J44-K44)/J44)*100</f>
        <v/>
      </c>
      <c r="M44" s="26" t="n">
        <v>0.3</v>
      </c>
      <c r="N44" s="27" t="n">
        <v>0.271</v>
      </c>
      <c r="O44" s="28">
        <f>(1-ABS(M44-N44)/M44)*100</f>
        <v/>
      </c>
      <c r="P44" s="29" t="n">
        <v>0.45</v>
      </c>
      <c r="Q44" s="30" t="n">
        <v>0.645</v>
      </c>
      <c r="R44" s="28">
        <f>(1-ABS(P44-Q44)/P44)*100</f>
        <v/>
      </c>
      <c r="S44" s="31" t="n">
        <v>16</v>
      </c>
      <c r="T44" s="29" t="n">
        <v>12.3</v>
      </c>
      <c r="U44" s="28">
        <f>(1-ABS(S44-T44)/S44)*100</f>
        <v/>
      </c>
    </row>
    <row r="45">
      <c r="B45" s="24" t="inlineStr">
        <is>
          <t>11/08</t>
        </is>
      </c>
      <c r="C45" s="25" t="n">
        <v>3738</v>
      </c>
      <c r="D45" s="26" t="n">
        <v>2.71</v>
      </c>
      <c r="E45" s="27" t="n">
        <v>2.491</v>
      </c>
      <c r="F45" s="28">
        <f>(1-ABS(D45-E45)/D45)*100</f>
        <v/>
      </c>
      <c r="G45" s="27" t="n">
        <v>0.162</v>
      </c>
      <c r="H45" s="27" t="n">
        <v>0.161</v>
      </c>
      <c r="I45" s="28">
        <f>(1-ABS(G45-H45)/G45)*100</f>
        <v/>
      </c>
      <c r="J45" s="26" t="n">
        <v>0.99</v>
      </c>
      <c r="K45" s="27" t="n">
        <v>1.001</v>
      </c>
      <c r="L45" s="28">
        <f>(1-ABS(J45-K45)/J45)*100</f>
        <v/>
      </c>
      <c r="M45" s="26" t="n">
        <v>0.32</v>
      </c>
      <c r="N45" s="27" t="n">
        <v>0.275</v>
      </c>
      <c r="O45" s="28">
        <f>(1-ABS(M45-N45)/M45)*100</f>
        <v/>
      </c>
      <c r="P45" s="29" t="n">
        <v>0.5600000000000001</v>
      </c>
      <c r="Q45" s="30" t="n">
        <v>0.647</v>
      </c>
      <c r="R45" s="28">
        <f>(1-ABS(P45-Q45)/P45)*100</f>
        <v/>
      </c>
      <c r="S45" s="31" t="n">
        <v>14</v>
      </c>
      <c r="T45" s="29" t="n">
        <v>13.12</v>
      </c>
      <c r="U45" s="28">
        <f>(1-ABS(S45-T45)/S45)*100</f>
        <v/>
      </c>
    </row>
    <row r="46">
      <c r="B46" s="24" t="inlineStr">
        <is>
          <t>11/09</t>
        </is>
      </c>
      <c r="C46" s="25" t="n">
        <v>3575</v>
      </c>
      <c r="D46" s="26" t="n">
        <v>2.66</v>
      </c>
      <c r="E46" s="27" t="n">
        <v>2.487</v>
      </c>
      <c r="F46" s="28">
        <f>(1-ABS(D46-E46)/D46)*100</f>
        <v/>
      </c>
      <c r="G46" s="27" t="n">
        <v>0.152</v>
      </c>
      <c r="H46" s="27" t="n">
        <v>0.16</v>
      </c>
      <c r="I46" s="28">
        <f>(1-ABS(G46-H46)/G46)*100</f>
        <v/>
      </c>
      <c r="J46" s="26" t="n">
        <v>0.89</v>
      </c>
      <c r="K46" s="27" t="n">
        <v>1.002</v>
      </c>
      <c r="L46" s="28">
        <f>(1-ABS(J46-K46)/J46)*100</f>
        <v/>
      </c>
      <c r="M46" s="26" t="n">
        <v>0.3</v>
      </c>
      <c r="N46" s="27" t="n">
        <v>0.273</v>
      </c>
      <c r="O46" s="28">
        <f>(1-ABS(M46-N46)/M46)*100</f>
        <v/>
      </c>
      <c r="P46" s="29" t="n">
        <v>0.42</v>
      </c>
      <c r="Q46" s="30" t="n">
        <v>0.644</v>
      </c>
      <c r="R46" s="28">
        <f>(1-ABS(P46-Q46)/P46)*100</f>
        <v/>
      </c>
      <c r="S46" s="31" t="n">
        <v>16</v>
      </c>
      <c r="T46" s="29" t="n">
        <v>13.19</v>
      </c>
      <c r="U46" s="28">
        <f>(1-ABS(S46-T46)/S46)*100</f>
        <v/>
      </c>
    </row>
    <row r="47">
      <c r="B47" s="24" t="inlineStr">
        <is>
          <t>11/10</t>
        </is>
      </c>
      <c r="C47" s="25" t="n">
        <v>2617</v>
      </c>
      <c r="D47" s="26" t="n">
        <v>2.46</v>
      </c>
      <c r="E47" s="27" t="n">
        <v>2.538</v>
      </c>
      <c r="F47" s="28">
        <f>(1-ABS(D47-E47)/D47)*100</f>
        <v/>
      </c>
      <c r="G47" s="27" t="n">
        <v>0.148</v>
      </c>
      <c r="H47" s="27" t="n">
        <v>0.164</v>
      </c>
      <c r="I47" s="28">
        <f>(1-ABS(G47-H47)/G47)*100</f>
        <v/>
      </c>
      <c r="J47" s="26" t="n">
        <v>0.8</v>
      </c>
      <c r="K47" s="27" t="n">
        <v>1.02</v>
      </c>
      <c r="L47" s="28">
        <f>(1-ABS(J47-K47)/J47)*100</f>
        <v/>
      </c>
      <c r="M47" s="26" t="n">
        <v>0.34</v>
      </c>
      <c r="N47" s="27" t="n">
        <v>0.286</v>
      </c>
      <c r="O47" s="28">
        <f>(1-ABS(M47-N47)/M47)*100</f>
        <v/>
      </c>
      <c r="P47" s="29" t="n">
        <v>0.41</v>
      </c>
      <c r="Q47" s="30" t="n">
        <v>0.661</v>
      </c>
      <c r="R47" s="28">
        <f>(1-ABS(P47-Q47)/P47)*100</f>
        <v/>
      </c>
      <c r="S47" s="31" t="n">
        <v>18</v>
      </c>
      <c r="T47" s="29" t="n">
        <v>13.28</v>
      </c>
      <c r="U47" s="28">
        <f>(1-ABS(S47-T47)/S47)*100</f>
        <v/>
      </c>
    </row>
    <row r="48">
      <c r="B48" s="24" t="inlineStr">
        <is>
          <t>11/11</t>
        </is>
      </c>
      <c r="C48" s="25" t="n">
        <v>5308</v>
      </c>
      <c r="D48" s="26" t="n">
        <v>2.63</v>
      </c>
      <c r="E48" s="27" t="n">
        <v>2.511</v>
      </c>
      <c r="F48" s="28">
        <f>(1-ABS(D48-E48)/D48)*100</f>
        <v/>
      </c>
      <c r="G48" s="27" t="n">
        <v>0.161</v>
      </c>
      <c r="H48" s="27" t="n">
        <v>0.162</v>
      </c>
      <c r="I48" s="28">
        <f>(1-ABS(G48-H48)/G48)*100</f>
        <v/>
      </c>
      <c r="J48" s="26" t="n">
        <v>0.93</v>
      </c>
      <c r="K48" s="27" t="n">
        <v>1.01</v>
      </c>
      <c r="L48" s="28">
        <f>(1-ABS(J48-K48)/J48)*100</f>
        <v/>
      </c>
      <c r="M48" s="26" t="n">
        <v>0.34</v>
      </c>
      <c r="N48" s="27" t="n">
        <v>0.264</v>
      </c>
      <c r="O48" s="28">
        <f>(1-ABS(M48-N48)/M48)*100</f>
        <v/>
      </c>
      <c r="P48" s="29" t="n">
        <v>0.43</v>
      </c>
      <c r="Q48" s="30" t="n">
        <v>0.646</v>
      </c>
      <c r="R48" s="28">
        <f>(1-ABS(P48-Q48)/P48)*100</f>
        <v/>
      </c>
      <c r="S48" s="31" t="n">
        <v>14</v>
      </c>
      <c r="T48" s="29" t="n">
        <v>13.75</v>
      </c>
      <c r="U48" s="28">
        <f>(1-ABS(S48-T48)/S48)*100</f>
        <v/>
      </c>
    </row>
    <row r="49">
      <c r="B49" s="24" t="inlineStr">
        <is>
          <t>11/12</t>
        </is>
      </c>
      <c r="C49" s="25" t="n">
        <v>6031</v>
      </c>
      <c r="D49" s="26" t="n">
        <v>2.49</v>
      </c>
      <c r="E49" s="27" t="n">
        <v>2.528</v>
      </c>
      <c r="F49" s="28">
        <f>(1-ABS(D49-E49)/D49)*100</f>
        <v/>
      </c>
      <c r="G49" s="27" t="n">
        <v>0.145</v>
      </c>
      <c r="H49" s="27" t="n">
        <v>0.164</v>
      </c>
      <c r="I49" s="28">
        <f>(1-ABS(G49-H49)/G49)*100</f>
        <v/>
      </c>
      <c r="J49" s="26" t="n">
        <v>0.8</v>
      </c>
      <c r="K49" s="27" t="n">
        <v>1.018</v>
      </c>
      <c r="L49" s="28">
        <f>(1-ABS(J49-K49)/J49)*100</f>
        <v/>
      </c>
      <c r="M49" s="26" t="n">
        <v>0.32</v>
      </c>
      <c r="N49" s="27" t="n">
        <v>0.256</v>
      </c>
      <c r="O49" s="28">
        <f>(1-ABS(M49-N49)/M49)*100</f>
        <v/>
      </c>
      <c r="P49" s="29" t="n">
        <v>0.43</v>
      </c>
      <c r="Q49" s="30" t="n">
        <v>0.642</v>
      </c>
      <c r="R49" s="28">
        <f>(1-ABS(P49-Q49)/P49)*100</f>
        <v/>
      </c>
      <c r="S49" s="31" t="n">
        <v>17</v>
      </c>
      <c r="T49" s="29" t="n">
        <v>14.25</v>
      </c>
      <c r="U49" s="28">
        <f>(1-ABS(S49-T49)/S49)*100</f>
        <v/>
      </c>
    </row>
    <row r="50">
      <c r="B50" s="24" t="inlineStr">
        <is>
          <t>11/13</t>
        </is>
      </c>
      <c r="C50" s="25" t="n">
        <v>5319</v>
      </c>
      <c r="D50" s="26" t="n">
        <v>2.54</v>
      </c>
      <c r="E50" s="27" t="n">
        <v>2.504</v>
      </c>
      <c r="F50" s="28">
        <f>(1-ABS(D50-E50)/D50)*100</f>
        <v/>
      </c>
      <c r="G50" s="27" t="n">
        <v>0.151</v>
      </c>
      <c r="H50" s="27" t="n">
        <v>0.159</v>
      </c>
      <c r="I50" s="28">
        <f>(1-ABS(G50-H50)/G50)*100</f>
        <v/>
      </c>
      <c r="J50" s="26" t="n">
        <v>0.91</v>
      </c>
      <c r="K50" s="27" t="n">
        <v>1.008</v>
      </c>
      <c r="L50" s="28">
        <f>(1-ABS(J50-K50)/J50)*100</f>
        <v/>
      </c>
      <c r="M50" s="26" t="n">
        <v>0.29</v>
      </c>
      <c r="N50" s="27" t="n">
        <v>0.275</v>
      </c>
      <c r="O50" s="28">
        <f>(1-ABS(M50-N50)/M50)*100</f>
        <v/>
      </c>
      <c r="P50" s="29" t="n">
        <v>0.43</v>
      </c>
      <c r="Q50" s="30" t="n">
        <v>0.643</v>
      </c>
      <c r="R50" s="28">
        <f>(1-ABS(P50-Q50)/P50)*100</f>
        <v/>
      </c>
      <c r="S50" s="31" t="n">
        <v>17</v>
      </c>
      <c r="T50" s="29" t="n">
        <v>13.32</v>
      </c>
      <c r="U50" s="28">
        <f>(1-ABS(S50-T50)/S50)*100</f>
        <v/>
      </c>
    </row>
    <row r="51">
      <c r="B51" s="24" t="inlineStr">
        <is>
          <t>11/14</t>
        </is>
      </c>
      <c r="C51" s="25" t="n">
        <v>5232</v>
      </c>
      <c r="D51" s="26" t="n">
        <v>2.51</v>
      </c>
      <c r="E51" s="27" t="n">
        <v>2.531</v>
      </c>
      <c r="F51" s="28">
        <f>(1-ABS(D51-E51)/D51)*100</f>
        <v/>
      </c>
      <c r="G51" s="27" t="n">
        <v>0.154</v>
      </c>
      <c r="H51" s="27" t="n">
        <v>0.163</v>
      </c>
      <c r="I51" s="28">
        <f>(1-ABS(G51-H51)/G51)*100</f>
        <v/>
      </c>
      <c r="J51" s="26" t="n">
        <v>0.92</v>
      </c>
      <c r="K51" s="27" t="n">
        <v>1.009</v>
      </c>
      <c r="L51" s="28">
        <f>(1-ABS(J51-K51)/J51)*100</f>
        <v/>
      </c>
      <c r="M51" s="26" t="n">
        <v>0.32</v>
      </c>
      <c r="N51" s="27" t="n">
        <v>0.26</v>
      </c>
      <c r="O51" s="28">
        <f>(1-ABS(M51-N51)/M51)*100</f>
        <v/>
      </c>
      <c r="P51" s="29" t="n">
        <v>0.43</v>
      </c>
      <c r="Q51" s="30" t="n">
        <v>0.648</v>
      </c>
      <c r="R51" s="28">
        <f>(1-ABS(P51-Q51)/P51)*100</f>
        <v/>
      </c>
      <c r="S51" s="31" t="n">
        <v>12</v>
      </c>
      <c r="T51" s="29" t="n">
        <v>14.3</v>
      </c>
      <c r="U51" s="28">
        <f>(1-ABS(S51-T51)/S51)*100</f>
        <v/>
      </c>
    </row>
    <row r="52">
      <c r="B52" s="24" t="inlineStr">
        <is>
          <t>11/22</t>
        </is>
      </c>
      <c r="C52" s="25" t="n">
        <v>560</v>
      </c>
      <c r="D52" s="26" t="n">
        <v>2.47</v>
      </c>
      <c r="E52" s="27" t="n">
        <v>2.507</v>
      </c>
      <c r="F52" s="28">
        <f>(1-ABS(D52-E52)/D52)*100</f>
        <v/>
      </c>
      <c r="G52" s="27" t="n">
        <v>0.15</v>
      </c>
      <c r="H52" s="27" t="n">
        <v>0.161</v>
      </c>
      <c r="I52" s="28">
        <f>(1-ABS(G52-H52)/G52)*100</f>
        <v/>
      </c>
      <c r="J52" s="26" t="n">
        <v>0.84</v>
      </c>
      <c r="K52" s="27" t="n">
        <v>1.014</v>
      </c>
      <c r="L52" s="28">
        <f>(1-ABS(J52-K52)/J52)*100</f>
        <v/>
      </c>
      <c r="M52" s="26" t="n">
        <v>0.32</v>
      </c>
      <c r="N52" s="27" t="n">
        <v>0.291</v>
      </c>
      <c r="O52" s="28">
        <f>(1-ABS(M52-N52)/M52)*100</f>
        <v/>
      </c>
      <c r="P52" s="29" t="n">
        <v>0.4</v>
      </c>
      <c r="Q52" s="30" t="n">
        <v>0.658</v>
      </c>
      <c r="R52" s="28">
        <f>(1-ABS(P52-Q52)/P52)*100</f>
        <v/>
      </c>
      <c r="S52" s="31" t="n">
        <v>17</v>
      </c>
      <c r="T52" s="29" t="n">
        <v>12.62</v>
      </c>
      <c r="U52" s="28">
        <f>(1-ABS(S52-T52)/S52)*100</f>
        <v/>
      </c>
    </row>
    <row r="53">
      <c r="B53" s="24" t="inlineStr">
        <is>
          <t>11/15</t>
        </is>
      </c>
      <c r="C53" s="25" t="n">
        <v>2638</v>
      </c>
      <c r="D53" s="26" t="n">
        <v>2.69</v>
      </c>
      <c r="E53" s="27" t="n">
        <v>2.523</v>
      </c>
      <c r="F53" s="28">
        <f>(1-ABS(D53-E53)/D53)*100</f>
        <v/>
      </c>
      <c r="G53" s="27" t="n">
        <v>0.149</v>
      </c>
      <c r="H53" s="27" t="n">
        <v>0.163</v>
      </c>
      <c r="I53" s="28">
        <f>(1-ABS(G53-H53)/G53)*100</f>
        <v/>
      </c>
      <c r="J53" s="26" t="n">
        <v>0.95</v>
      </c>
      <c r="K53" s="27" t="n">
        <v>1.009</v>
      </c>
      <c r="L53" s="28">
        <f>(1-ABS(J53-K53)/J53)*100</f>
        <v/>
      </c>
      <c r="M53" s="26" t="n">
        <v>0.35</v>
      </c>
      <c r="N53" s="27" t="n">
        <v>0.257</v>
      </c>
      <c r="O53" s="28">
        <f>(1-ABS(M53-N53)/M53)*100</f>
        <v/>
      </c>
      <c r="P53" s="29" t="n">
        <v>0.43</v>
      </c>
      <c r="Q53" s="30" t="n">
        <v>0.652</v>
      </c>
      <c r="R53" s="28">
        <f>(1-ABS(P53-Q53)/P53)*100</f>
        <v/>
      </c>
      <c r="S53" s="31" t="n">
        <v>19</v>
      </c>
      <c r="T53" s="29" t="n">
        <v>14.06</v>
      </c>
      <c r="U53" s="28">
        <f>(1-ABS(S53-T53)/S53)*100</f>
        <v/>
      </c>
    </row>
    <row r="54">
      <c r="B54" s="24" t="inlineStr">
        <is>
          <t>11/16</t>
        </is>
      </c>
      <c r="C54" s="25" t="n">
        <v>6510</v>
      </c>
      <c r="D54" s="26" t="n">
        <v>2.48</v>
      </c>
      <c r="E54" s="27" t="n">
        <v>2.548</v>
      </c>
      <c r="F54" s="28">
        <f>(1-ABS(D54-E54)/D54)*100</f>
        <v/>
      </c>
      <c r="G54" s="27" t="n">
        <v>0.147</v>
      </c>
      <c r="H54" s="27" t="n">
        <v>0.164</v>
      </c>
      <c r="I54" s="28">
        <f>(1-ABS(G54-H54)/G54)*100</f>
        <v/>
      </c>
      <c r="J54" s="26" t="n">
        <v>0.9</v>
      </c>
      <c r="K54" s="27" t="n">
        <v>1.01</v>
      </c>
      <c r="L54" s="28">
        <f>(1-ABS(J54-K54)/J54)*100</f>
        <v/>
      </c>
      <c r="M54" s="26" t="n">
        <v>0.33</v>
      </c>
      <c r="N54" s="27" t="n">
        <v>0.255</v>
      </c>
      <c r="O54" s="28">
        <f>(1-ABS(M54-N54)/M54)*100</f>
        <v/>
      </c>
      <c r="P54" s="29" t="n">
        <v>0.44</v>
      </c>
      <c r="Q54" s="30" t="n">
        <v>0.654</v>
      </c>
      <c r="R54" s="28">
        <f>(1-ABS(P54-Q54)/P54)*100</f>
        <v/>
      </c>
      <c r="S54" s="31" t="n">
        <v>19</v>
      </c>
      <c r="T54" s="29" t="n">
        <v>14.08</v>
      </c>
      <c r="U54" s="28">
        <f>(1-ABS(S54-T54)/S54)*100</f>
        <v/>
      </c>
    </row>
    <row r="55">
      <c r="B55" s="24" t="inlineStr">
        <is>
          <t>11/20</t>
        </is>
      </c>
      <c r="C55" s="25" t="n">
        <v>1930</v>
      </c>
      <c r="D55" s="26" t="n">
        <v>2.55</v>
      </c>
      <c r="E55" s="27" t="n">
        <v>2.224</v>
      </c>
      <c r="F55" s="28">
        <f>(1-ABS(D55-E55)/D55)*100</f>
        <v/>
      </c>
      <c r="G55" s="27" t="n">
        <v>0.159</v>
      </c>
      <c r="H55" s="27" t="n">
        <v>0.14</v>
      </c>
      <c r="I55" s="28">
        <f>(1-ABS(G55-H55)/G55)*100</f>
        <v/>
      </c>
      <c r="J55" s="26" t="n">
        <v>0.8100000000000001</v>
      </c>
      <c r="K55" s="27" t="n">
        <v>0.895</v>
      </c>
      <c r="L55" s="28">
        <f>(1-ABS(J55-K55)/J55)*100</f>
        <v/>
      </c>
      <c r="M55" s="26" t="n">
        <v>0.35</v>
      </c>
      <c r="N55" s="27" t="n">
        <v>0.244</v>
      </c>
      <c r="O55" s="28">
        <f>(1-ABS(M55-N55)/M55)*100</f>
        <v/>
      </c>
      <c r="P55" s="29" t="n">
        <v>0.49</v>
      </c>
      <c r="Q55" s="30" t="n">
        <v>0.5639999999999999</v>
      </c>
      <c r="R55" s="28">
        <f>(1-ABS(P55-Q55)/P55)*100</f>
        <v/>
      </c>
      <c r="S55" s="31" t="n">
        <v>19</v>
      </c>
      <c r="T55" s="29" t="n">
        <v>11.66</v>
      </c>
      <c r="U55" s="28">
        <f>(1-ABS(S55-T55)/S55)*100</f>
        <v/>
      </c>
    </row>
    <row r="56">
      <c r="B56" s="24" t="inlineStr">
        <is>
          <t>11/17</t>
        </is>
      </c>
      <c r="C56" s="25" t="n">
        <v>5009</v>
      </c>
      <c r="D56" s="26" t="n">
        <v>2.5</v>
      </c>
      <c r="E56" s="27" t="n">
        <v>2.53</v>
      </c>
      <c r="F56" s="28">
        <f>(1-ABS(D56-E56)/D56)*100</f>
        <v/>
      </c>
      <c r="G56" s="27" t="n">
        <v>0.154</v>
      </c>
      <c r="H56" s="27" t="n">
        <v>0.164</v>
      </c>
      <c r="I56" s="28">
        <f>(1-ABS(G56-H56)/G56)*100</f>
        <v/>
      </c>
      <c r="J56" s="26" t="n">
        <v>0.9</v>
      </c>
      <c r="K56" s="27" t="n">
        <v>1.011</v>
      </c>
      <c r="L56" s="28">
        <f>(1-ABS(J56-K56)/J56)*100</f>
        <v/>
      </c>
      <c r="M56" s="26" t="n">
        <v>0.36</v>
      </c>
      <c r="N56" s="27" t="n">
        <v>0.248</v>
      </c>
      <c r="O56" s="28">
        <f>(1-ABS(M56-N56)/M56)*100</f>
        <v/>
      </c>
      <c r="P56" s="29" t="n">
        <v>0.53</v>
      </c>
      <c r="Q56" s="30" t="n">
        <v>0.641</v>
      </c>
      <c r="R56" s="28">
        <f>(1-ABS(P56-Q56)/P56)*100</f>
        <v/>
      </c>
      <c r="S56" s="31" t="n">
        <v>19</v>
      </c>
      <c r="T56" s="29" t="n">
        <v>14.66</v>
      </c>
      <c r="U56" s="28">
        <f>(1-ABS(S56-T56)/S56)*100</f>
        <v/>
      </c>
    </row>
    <row r="57">
      <c r="B57" s="24" t="inlineStr">
        <is>
          <t>11/18</t>
        </is>
      </c>
      <c r="C57" s="25" t="n">
        <v>3457</v>
      </c>
      <c r="D57" s="26" t="n">
        <v>2.56</v>
      </c>
      <c r="E57" s="27" t="n">
        <v>2.538</v>
      </c>
      <c r="F57" s="28">
        <f>(1-ABS(D57-E57)/D57)*100</f>
        <v/>
      </c>
      <c r="G57" s="27" t="n">
        <v>0.154</v>
      </c>
      <c r="H57" s="27" t="n">
        <v>0.163</v>
      </c>
      <c r="I57" s="28">
        <f>(1-ABS(G57-H57)/G57)*100</f>
        <v/>
      </c>
      <c r="J57" s="26" t="n">
        <v>0.92</v>
      </c>
      <c r="K57" s="27" t="n">
        <v>1.009</v>
      </c>
      <c r="L57" s="28">
        <f>(1-ABS(J57-K57)/J57)*100</f>
        <v/>
      </c>
      <c r="M57" s="26" t="n">
        <v>0.34</v>
      </c>
      <c r="N57" s="27" t="n">
        <v>0.243</v>
      </c>
      <c r="O57" s="28">
        <f>(1-ABS(M57-N57)/M57)*100</f>
        <v/>
      </c>
      <c r="P57" s="29" t="n">
        <v>0.63</v>
      </c>
      <c r="Q57" s="30" t="n">
        <v>0.638</v>
      </c>
      <c r="R57" s="28">
        <f>(1-ABS(P57-Q57)/P57)*100</f>
        <v/>
      </c>
      <c r="S57" s="31" t="n">
        <v>19</v>
      </c>
      <c r="T57" s="29" t="n">
        <v>14.85</v>
      </c>
      <c r="U57" s="28">
        <f>(1-ABS(S57-T57)/S57)*100</f>
        <v/>
      </c>
    </row>
    <row r="58">
      <c r="B58" s="24" t="inlineStr">
        <is>
          <t>11/19</t>
        </is>
      </c>
      <c r="C58" s="25" t="n">
        <v>2597</v>
      </c>
      <c r="D58" s="26" t="n">
        <v>2.64</v>
      </c>
      <c r="E58" s="27" t="n">
        <v>2.508</v>
      </c>
      <c r="F58" s="28">
        <f>(1-ABS(D58-E58)/D58)*100</f>
        <v/>
      </c>
      <c r="G58" s="27" t="n">
        <v>0.159</v>
      </c>
      <c r="H58" s="27" t="n">
        <v>0.162</v>
      </c>
      <c r="I58" s="28">
        <f>(1-ABS(G58-H58)/G58)*100</f>
        <v/>
      </c>
      <c r="J58" s="26" t="n">
        <v>0.82</v>
      </c>
      <c r="K58" s="27" t="n">
        <v>1.003</v>
      </c>
      <c r="L58" s="28">
        <f>(1-ABS(J58-K58)/J58)*100</f>
        <v/>
      </c>
      <c r="M58" s="26" t="n">
        <v>0.36</v>
      </c>
      <c r="N58" s="27" t="n">
        <v>0.254</v>
      </c>
      <c r="O58" s="28">
        <f>(1-ABS(M58-N58)/M58)*100</f>
        <v/>
      </c>
      <c r="P58" s="29" t="n">
        <v>0.59</v>
      </c>
      <c r="Q58" s="30" t="n">
        <v>0.637</v>
      </c>
      <c r="R58" s="28">
        <f>(1-ABS(P58-Q58)/P58)*100</f>
        <v/>
      </c>
      <c r="S58" s="31" t="n">
        <v>19</v>
      </c>
      <c r="T58" s="29" t="n">
        <v>14.17</v>
      </c>
      <c r="U58" s="28">
        <f>(1-ABS(S58-T58)/S58)*100</f>
        <v/>
      </c>
    </row>
    <row r="59">
      <c r="B59" s="24" t="inlineStr">
        <is>
          <t>11/21A</t>
        </is>
      </c>
      <c r="C59" s="25" t="n">
        <v>2740</v>
      </c>
      <c r="D59" s="26" t="n">
        <v>2.53</v>
      </c>
      <c r="E59" s="27" t="n">
        <v>2.408</v>
      </c>
      <c r="F59" s="28">
        <f>(1-ABS(D59-E59)/D59)*100</f>
        <v/>
      </c>
      <c r="G59" s="27" t="n">
        <v>0.151</v>
      </c>
      <c r="H59" s="27" t="n">
        <v>0.156</v>
      </c>
      <c r="I59" s="28">
        <f>(1-ABS(G59-H59)/G59)*100</f>
        <v/>
      </c>
      <c r="J59" s="26" t="n">
        <v>0.86</v>
      </c>
      <c r="K59" s="27" t="n">
        <v>0.975</v>
      </c>
      <c r="L59" s="28">
        <f>(1-ABS(J59-K59)/J59)*100</f>
        <v/>
      </c>
      <c r="M59" s="26" t="n">
        <v>0.31</v>
      </c>
      <c r="N59" s="27" t="n">
        <v>0.277</v>
      </c>
      <c r="O59" s="28">
        <f>(1-ABS(M59-N59)/M59)*100</f>
        <v/>
      </c>
      <c r="P59" s="29" t="n">
        <v>0.6899999999999999</v>
      </c>
      <c r="Q59" s="30" t="n">
        <v>0.626</v>
      </c>
      <c r="R59" s="28">
        <f>(1-ABS(P59-Q59)/P59)*100</f>
        <v/>
      </c>
      <c r="S59" s="31" t="n">
        <v>17</v>
      </c>
      <c r="T59" s="29" t="n">
        <v>12.36</v>
      </c>
      <c r="U59" s="28">
        <f>(1-ABS(S59-T59)/S59)*100</f>
        <v/>
      </c>
    </row>
    <row r="60">
      <c r="B60" s="24" t="inlineStr">
        <is>
          <t>11/12</t>
        </is>
      </c>
      <c r="C60" s="25" t="n">
        <v>6031</v>
      </c>
      <c r="D60" s="26" t="n">
        <v>2.5</v>
      </c>
      <c r="E60" s="27" t="n">
        <v>2.528</v>
      </c>
      <c r="F60" s="28">
        <f>(1-ABS(D60-E60)/D60)*100</f>
        <v/>
      </c>
      <c r="G60" s="27" t="n">
        <v>0.168</v>
      </c>
      <c r="H60" s="27" t="n">
        <v>0.164</v>
      </c>
      <c r="I60" s="28">
        <f>(1-ABS(G60-H60)/G60)*100</f>
        <v/>
      </c>
      <c r="J60" s="26" t="n">
        <v>1.02</v>
      </c>
      <c r="K60" s="27" t="n">
        <v>1.018</v>
      </c>
      <c r="L60" s="28">
        <f>(1-ABS(J60-K60)/J60)*100</f>
        <v/>
      </c>
      <c r="M60" s="26" t="n">
        <v>0.39</v>
      </c>
      <c r="N60" s="27" t="n">
        <v>0.256</v>
      </c>
      <c r="O60" s="28">
        <f>(1-ABS(M60-N60)/M60)*100</f>
        <v/>
      </c>
      <c r="P60" s="29" t="n">
        <v>0.6899999999999999</v>
      </c>
      <c r="Q60" s="30" t="n">
        <v>0.642</v>
      </c>
      <c r="R60" s="28">
        <f>(1-ABS(P60-Q60)/P60)*100</f>
        <v/>
      </c>
      <c r="S60" s="31" t="n">
        <v>15</v>
      </c>
      <c r="T60" s="29" t="n">
        <v>14.25</v>
      </c>
      <c r="U60" s="28">
        <f>(1-ABS(S60-T60)/S60)*100</f>
        <v/>
      </c>
    </row>
    <row r="61" ht="35" customHeight="1">
      <c r="A61" s="33" t="inlineStr">
        <is>
          <t>AVG ACCURACY</t>
        </is>
      </c>
      <c r="F61" s="34">
        <f>AVERAGE(F7:F60)</f>
        <v/>
      </c>
      <c r="I61" s="34">
        <f>AVERAGE(I7:I60)</f>
        <v/>
      </c>
      <c r="L61" s="34">
        <f>AVERAGE(L7:L60)</f>
        <v/>
      </c>
      <c r="O61" s="34">
        <f>AVERAGE(O7:O60)</f>
        <v/>
      </c>
      <c r="R61" s="35">
        <f>AVERAGE(R7:R60)</f>
        <v/>
      </c>
      <c r="U61" s="34">
        <f>AVERAGE(U7:U60)</f>
        <v/>
      </c>
    </row>
    <row r="62" ht="40" customHeight="1">
      <c r="A62" s="36" t="inlineStr">
        <is>
          <t>Best result closer to 0</t>
        </is>
      </c>
      <c r="B62" s="24" t="inlineStr">
        <is>
          <t>R^2 (Coefficient of determination)</t>
        </is>
      </c>
      <c r="C62" s="37" t="n"/>
      <c r="D62" s="38">
        <f>RSQ(E7:E60, D7:D60)</f>
        <v/>
      </c>
      <c r="E62" s="39" t="n"/>
      <c r="F62" s="37" t="n"/>
      <c r="G62" s="38">
        <f>RSQ(H7:H60, G7:G60)</f>
        <v/>
      </c>
      <c r="H62" s="39" t="n"/>
      <c r="I62" s="37" t="n"/>
      <c r="J62" s="38">
        <f>RSQ(K7:K60, J7:J60)</f>
        <v/>
      </c>
      <c r="K62" s="39" t="n"/>
      <c r="L62" s="37" t="n"/>
      <c r="M62" s="38">
        <f>RSQ(N7:N60, M7:M60)</f>
        <v/>
      </c>
      <c r="N62" s="39" t="n"/>
      <c r="O62" s="37" t="n"/>
      <c r="P62" s="40">
        <f>RSQ(Q7:Q60, P7:P60)</f>
        <v/>
      </c>
      <c r="Q62" s="39" t="n"/>
      <c r="R62" s="37" t="n"/>
      <c r="S62" s="40">
        <f>RSQ(T7:T60, S7:S60)</f>
        <v/>
      </c>
      <c r="T62" s="39" t="n"/>
      <c r="U62" s="37" t="n"/>
    </row>
    <row r="63" ht="39" customHeight="1">
      <c r="A63" s="36" t="inlineStr">
        <is>
          <t>Best result closer to 1</t>
        </is>
      </c>
      <c r="B63" s="24" t="inlineStr">
        <is>
          <t>MAE (Average size of prediction errors)</t>
        </is>
      </c>
      <c r="C63" s="37" t="n"/>
      <c r="D63" s="38">
        <f>SUMPRODUCT(ABS(D7:D60-E7:E60))/COUNT(D7:D60)</f>
        <v/>
      </c>
      <c r="E63" s="39" t="n"/>
      <c r="F63" s="37" t="n"/>
      <c r="G63" s="38">
        <f>SUMPRODUCT(ABS(G7:G60-H7:H60))/COUNT(G7:G60)</f>
        <v/>
      </c>
      <c r="H63" s="39" t="n"/>
      <c r="I63" s="37" t="n"/>
      <c r="J63" s="38">
        <f>SUMPRODUCT(ABS(J7:J60-K7:K60))/COUNT(J7:J60)</f>
        <v/>
      </c>
      <c r="K63" s="39" t="n"/>
      <c r="L63" s="37" t="n"/>
      <c r="M63" s="38">
        <f>SUMPRODUCT(ABS(M7:M60-N7:N60))/COUNT(M7:M60)</f>
        <v/>
      </c>
      <c r="N63" s="39" t="n"/>
      <c r="O63" s="37" t="n"/>
      <c r="P63" s="40">
        <f>SUMPRODUCT(ABS(P7:P60-Q7:Q60))/COUNT(P7:P60)</f>
        <v/>
      </c>
      <c r="Q63" s="39" t="n"/>
      <c r="R63" s="37" t="n"/>
      <c r="S63" s="40">
        <f>SUMPRODUCT(ABS(S7:S60-T7:T60))/COUNT(S7:S60)</f>
        <v/>
      </c>
      <c r="T63" s="39" t="n"/>
      <c r="U63" s="37" t="n"/>
    </row>
    <row r="64" ht="66" customHeight="1">
      <c r="A64" s="36" t="inlineStr">
        <is>
          <t>Best result closer to 1</t>
        </is>
      </c>
      <c r="B64" s="24" t="inlineStr">
        <is>
          <t>RMSE (Prediction error, with larger mistakes penalised more)</t>
        </is>
      </c>
      <c r="C64" s="37" t="n"/>
      <c r="D64" s="38">
        <f>SQRT(SUMXMY2(D7:D60, E7:E60)/COUNT(D7:D60))</f>
        <v/>
      </c>
      <c r="E64" s="39" t="n"/>
      <c r="F64" s="37" t="n"/>
      <c r="G64" s="38">
        <f>SQRT(SUMXMY2(G7:G60, H7:H60)/COUNT(G7:G60))</f>
        <v/>
      </c>
      <c r="H64" s="39" t="n"/>
      <c r="I64" s="37" t="n"/>
      <c r="J64" s="38">
        <f>SQRT(SUMXMY2(J7:J60, K7:K60)/COUNT(J7:J60))</f>
        <v/>
      </c>
      <c r="K64" s="39" t="n"/>
      <c r="L64" s="37" t="n"/>
      <c r="M64" s="38">
        <f>SQRT(SUMXMY2(M7:M60, N7:N60)/COUNT(M7:M60))</f>
        <v/>
      </c>
      <c r="N64" s="39" t="n"/>
      <c r="O64" s="37" t="n"/>
      <c r="P64" s="40">
        <f>SQRT(SUMXMY2(P7:P60, Q7:Q60)/COUNT(P7:P60))</f>
        <v/>
      </c>
      <c r="Q64" s="39" t="n"/>
      <c r="R64" s="37" t="n"/>
      <c r="S64" s="40">
        <f>SQRT(SUMXMY2(S7:S60, T7:T60)/COUNT(S7:S60))</f>
        <v/>
      </c>
      <c r="T64" s="39" t="n"/>
      <c r="U64" s="37" t="n"/>
    </row>
  </sheetData>
  <mergeCells count="31">
    <mergeCell ref="B62:C62"/>
    <mergeCell ref="B4:O4"/>
    <mergeCell ref="G62:I62"/>
    <mergeCell ref="J63:L63"/>
    <mergeCell ref="G5:I5"/>
    <mergeCell ref="D62:F62"/>
    <mergeCell ref="G64:I64"/>
    <mergeCell ref="S64:U64"/>
    <mergeCell ref="M62:O62"/>
    <mergeCell ref="G63:I63"/>
    <mergeCell ref="D64:F64"/>
    <mergeCell ref="S5:U5"/>
    <mergeCell ref="D5:F5"/>
    <mergeCell ref="J62:L62"/>
    <mergeCell ref="P5:R5"/>
    <mergeCell ref="P62:R62"/>
    <mergeCell ref="M63:O63"/>
    <mergeCell ref="S63:U63"/>
    <mergeCell ref="P64:R64"/>
    <mergeCell ref="J64:L64"/>
    <mergeCell ref="B5:B6"/>
    <mergeCell ref="D63:F63"/>
    <mergeCell ref="P4:U4"/>
    <mergeCell ref="J5:L5"/>
    <mergeCell ref="B64:C64"/>
    <mergeCell ref="P63:R63"/>
    <mergeCell ref="M5:O5"/>
    <mergeCell ref="S62:U62"/>
    <mergeCell ref="B63:C63"/>
    <mergeCell ref="M64:O64"/>
    <mergeCell ref="C5:C6"/>
  </mergeCells>
  <conditionalFormatting sqref="F7:F60 I7:I60 L7:L60 O7:O60 R7:R60 U7:U60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3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09/01</t>
        </is>
      </c>
      <c r="C7" s="25" t="n">
        <v>4581</v>
      </c>
      <c r="D7" s="26" t="n">
        <v>2.65</v>
      </c>
      <c r="E7" s="27" t="n">
        <v>2.137</v>
      </c>
      <c r="F7" s="28">
        <f>(1-ABS(D7-E7)/D7)*100</f>
        <v/>
      </c>
      <c r="G7" s="27" t="n">
        <v>0.162</v>
      </c>
      <c r="H7" s="27" t="n">
        <v>0.133</v>
      </c>
      <c r="I7" s="28">
        <f>(1-ABS(G7-H7)/G7)*100</f>
        <v/>
      </c>
      <c r="J7" s="26" t="n">
        <v>0.92</v>
      </c>
      <c r="K7" s="27" t="n">
        <v>0.864</v>
      </c>
      <c r="L7" s="28">
        <f>(1-ABS(J7-K7)/J7)*100</f>
        <v/>
      </c>
      <c r="M7" s="26" t="n">
        <v>0.32</v>
      </c>
      <c r="N7" s="27" t="n">
        <v>0.251</v>
      </c>
      <c r="O7" s="28">
        <f>(1-ABS(M7-N7)/M7)*100</f>
        <v/>
      </c>
      <c r="P7" s="29" t="n">
        <v>0.42</v>
      </c>
      <c r="Q7" s="30" t="n">
        <v>0.542</v>
      </c>
      <c r="R7" s="28">
        <f>(1-ABS(P7-Q7)/P7)*100</f>
        <v/>
      </c>
      <c r="S7" s="31" t="n">
        <v>17</v>
      </c>
      <c r="T7" s="29" t="n">
        <v>10.69</v>
      </c>
      <c r="U7" s="28">
        <f>(1-ABS(S7-T7)/S7)*100</f>
        <v/>
      </c>
    </row>
    <row r="8">
      <c r="B8" s="24" t="inlineStr">
        <is>
          <t>09/02</t>
        </is>
      </c>
      <c r="C8" s="25" t="n">
        <v>4564</v>
      </c>
      <c r="D8" s="26" t="n">
        <v>2.58</v>
      </c>
      <c r="E8" s="27" t="n">
        <v>2.258</v>
      </c>
      <c r="F8" s="28">
        <f>(1-ABS(D8-E8)/D8)*100</f>
        <v/>
      </c>
      <c r="G8" s="27" t="n">
        <v>0.167</v>
      </c>
      <c r="H8" s="27" t="n">
        <v>0.141</v>
      </c>
      <c r="I8" s="28">
        <f>(1-ABS(G8-H8)/G8)*100</f>
        <v/>
      </c>
      <c r="J8" s="26" t="n">
        <v>1.15</v>
      </c>
      <c r="K8" s="27" t="n">
        <v>0.917</v>
      </c>
      <c r="L8" s="28">
        <f>(1-ABS(J8-K8)/J8)*100</f>
        <v/>
      </c>
      <c r="M8" s="26" t="n">
        <v>0.32</v>
      </c>
      <c r="N8" s="27" t="n">
        <v>0.262</v>
      </c>
      <c r="O8" s="28">
        <f>(1-ABS(M8-N8)/M8)*100</f>
        <v/>
      </c>
      <c r="P8" s="29" t="n">
        <v>0.48</v>
      </c>
      <c r="Q8" s="30" t="n">
        <v>0.577</v>
      </c>
      <c r="R8" s="28">
        <f>(1-ABS(P8-Q8)/P8)*100</f>
        <v/>
      </c>
      <c r="S8" s="31" t="n">
        <v>17</v>
      </c>
      <c r="T8" s="29" t="n">
        <v>11.1</v>
      </c>
      <c r="U8" s="28">
        <f>(1-ABS(S8-T8)/S8)*100</f>
        <v/>
      </c>
    </row>
    <row r="9">
      <c r="B9" s="24" t="inlineStr">
        <is>
          <t>09/03</t>
        </is>
      </c>
      <c r="C9" s="25" t="n">
        <v>6070</v>
      </c>
      <c r="D9" s="26" t="n">
        <v>2.61</v>
      </c>
      <c r="E9" s="27" t="n">
        <v>2.552</v>
      </c>
      <c r="F9" s="28">
        <f>(1-ABS(D9-E9)/D9)*100</f>
        <v/>
      </c>
      <c r="G9" s="27" t="n">
        <v>0.161</v>
      </c>
      <c r="H9" s="27" t="n">
        <v>0.164</v>
      </c>
      <c r="I9" s="28">
        <f>(1-ABS(G9-H9)/G9)*100</f>
        <v/>
      </c>
      <c r="J9" s="26" t="n">
        <v>1.11</v>
      </c>
      <c r="K9" s="27" t="n">
        <v>1.051</v>
      </c>
      <c r="L9" s="28">
        <f>(1-ABS(J9-K9)/J9)*100</f>
        <v/>
      </c>
      <c r="M9" s="26" t="n">
        <v>0.25</v>
      </c>
      <c r="N9" s="27" t="n">
        <v>0.27</v>
      </c>
      <c r="O9" s="28">
        <f>(1-ABS(M9-N9)/M9)*100</f>
        <v/>
      </c>
      <c r="P9" s="29" t="n">
        <v>0.5600000000000001</v>
      </c>
      <c r="Q9" s="30" t="n">
        <v>0.68</v>
      </c>
      <c r="R9" s="28">
        <f>(1-ABS(P9-Q9)/P9)*100</f>
        <v/>
      </c>
      <c r="S9" s="31" t="n">
        <v>15</v>
      </c>
      <c r="T9" s="29" t="n">
        <v>12.33</v>
      </c>
      <c r="U9" s="28">
        <f>(1-ABS(S9-T9)/S9)*100</f>
        <v/>
      </c>
    </row>
    <row r="10">
      <c r="B10" s="24" t="inlineStr">
        <is>
          <t>09/04</t>
        </is>
      </c>
      <c r="C10" s="25" t="n">
        <v>3548</v>
      </c>
      <c r="D10" s="26" t="n">
        <v>2.66</v>
      </c>
      <c r="E10" s="27" t="n">
        <v>2.432</v>
      </c>
      <c r="F10" s="28">
        <f>(1-ABS(D10-E10)/D10)*100</f>
        <v/>
      </c>
      <c r="G10" s="27" t="n">
        <v>0.17</v>
      </c>
      <c r="H10" s="27" t="n">
        <v>0.154</v>
      </c>
      <c r="I10" s="28">
        <f>(1-ABS(G10-H10)/G10)*100</f>
        <v/>
      </c>
      <c r="J10" s="26" t="n">
        <v>1.11</v>
      </c>
      <c r="K10" s="27" t="n">
        <v>0.983</v>
      </c>
      <c r="L10" s="28">
        <f>(1-ABS(J10-K10)/J10)*100</f>
        <v/>
      </c>
      <c r="M10" s="26" t="n">
        <v>0.33</v>
      </c>
      <c r="N10" s="27" t="n">
        <v>0.265</v>
      </c>
      <c r="O10" s="28">
        <f>(1-ABS(M10-N10)/M10)*100</f>
        <v/>
      </c>
      <c r="P10" s="29" t="n">
        <v>0.41</v>
      </c>
      <c r="Q10" s="30" t="n">
        <v>0.633</v>
      </c>
      <c r="R10" s="28">
        <f>(1-ABS(P10-Q10)/P10)*100</f>
        <v/>
      </c>
      <c r="S10" s="31" t="n">
        <v>16</v>
      </c>
      <c r="T10" s="29" t="n">
        <v>12.14</v>
      </c>
      <c r="U10" s="28">
        <f>(1-ABS(S10-T10)/S10)*100</f>
        <v/>
      </c>
    </row>
    <row r="11">
      <c r="B11" s="24" t="inlineStr">
        <is>
          <t>09/05</t>
        </is>
      </c>
      <c r="C11" s="25" t="n">
        <v>4262</v>
      </c>
      <c r="D11" s="26" t="n">
        <v>2.71</v>
      </c>
      <c r="E11" s="27" t="n">
        <v>2.53</v>
      </c>
      <c r="F11" s="28">
        <f>(1-ABS(D11-E11)/D11)*100</f>
        <v/>
      </c>
      <c r="G11" s="27" t="n">
        <v>0.173</v>
      </c>
      <c r="H11" s="27" t="n">
        <v>0.159</v>
      </c>
      <c r="I11" s="28">
        <f>(1-ABS(G11-H11)/G11)*100</f>
        <v/>
      </c>
      <c r="J11" s="26" t="n">
        <v>1.13</v>
      </c>
      <c r="K11" s="27" t="n">
        <v>1.048</v>
      </c>
      <c r="L11" s="28">
        <f>(1-ABS(J11-K11)/J11)*100</f>
        <v/>
      </c>
      <c r="M11" s="26" t="n">
        <v>0.28</v>
      </c>
      <c r="N11" s="27" t="n">
        <v>0.274</v>
      </c>
      <c r="O11" s="28">
        <f>(1-ABS(M11-N11)/M11)*100</f>
        <v/>
      </c>
      <c r="P11" s="29" t="n">
        <v>0.5</v>
      </c>
      <c r="Q11" s="30" t="n">
        <v>0.642</v>
      </c>
      <c r="R11" s="28">
        <f>(1-ABS(P11-Q11)/P11)*100</f>
        <v/>
      </c>
      <c r="S11" s="31" t="n">
        <v>17</v>
      </c>
      <c r="T11" s="29" t="n">
        <v>12.99</v>
      </c>
      <c r="U11" s="28">
        <f>(1-ABS(S11-T11)/S11)*100</f>
        <v/>
      </c>
    </row>
    <row r="12">
      <c r="B12" s="24" t="inlineStr">
        <is>
          <t>09/06</t>
        </is>
      </c>
      <c r="C12" s="25" t="n">
        <v>4852</v>
      </c>
      <c r="D12" s="26" t="n">
        <v>2.48</v>
      </c>
      <c r="E12" s="27" t="n">
        <v>2.503</v>
      </c>
      <c r="F12" s="28">
        <f>(1-ABS(D12-E12)/D12)*100</f>
        <v/>
      </c>
      <c r="G12" s="27" t="n">
        <v>0.147</v>
      </c>
      <c r="H12" s="27" t="n">
        <v>0.157</v>
      </c>
      <c r="I12" s="28">
        <f>(1-ABS(G12-H12)/G12)*100</f>
        <v/>
      </c>
      <c r="J12" s="26" t="n">
        <v>0.85</v>
      </c>
      <c r="K12" s="27" t="n">
        <v>1.044</v>
      </c>
      <c r="L12" s="28">
        <f>(1-ABS(J12-K12)/J12)*100</f>
        <v/>
      </c>
      <c r="M12" s="26" t="n">
        <v>0.32</v>
      </c>
      <c r="N12" s="27" t="n">
        <v>0.268</v>
      </c>
      <c r="O12" s="28">
        <f>(1-ABS(M12-N12)/M12)*100</f>
        <v/>
      </c>
      <c r="P12" s="29" t="n">
        <v>0.52</v>
      </c>
      <c r="Q12" s="30" t="n">
        <v>0.626</v>
      </c>
      <c r="R12" s="28">
        <f>(1-ABS(P12-Q12)/P12)*100</f>
        <v/>
      </c>
      <c r="S12" s="31" t="n">
        <v>19</v>
      </c>
      <c r="T12" s="29" t="n">
        <v>12.93</v>
      </c>
      <c r="U12" s="28">
        <f>(1-ABS(S12-T12)/S12)*100</f>
        <v/>
      </c>
    </row>
    <row r="13">
      <c r="B13" s="24" t="inlineStr">
        <is>
          <t>09/07</t>
        </is>
      </c>
      <c r="C13" s="25" t="n">
        <v>4728</v>
      </c>
      <c r="D13" s="26" t="n">
        <v>2.53</v>
      </c>
      <c r="E13" s="27" t="n">
        <v>1.881</v>
      </c>
      <c r="F13" s="28">
        <f>(1-ABS(D13-E13)/D13)*100</f>
        <v/>
      </c>
      <c r="G13" s="27" t="n">
        <v>0.157</v>
      </c>
      <c r="H13" s="27" t="n">
        <v>0.114</v>
      </c>
      <c r="I13" s="28">
        <f>(1-ABS(G13-H13)/G13)*100</f>
        <v/>
      </c>
      <c r="J13" s="26" t="n">
        <v>1.03</v>
      </c>
      <c r="K13" s="27" t="n">
        <v>0.766</v>
      </c>
      <c r="L13" s="28">
        <f>(1-ABS(J13-K13)/J13)*100</f>
        <v/>
      </c>
      <c r="M13" s="26" t="n">
        <v>0.27</v>
      </c>
      <c r="N13" s="27" t="n">
        <v>0.222</v>
      </c>
      <c r="O13" s="28">
        <f>(1-ABS(M13-N13)/M13)*100</f>
        <v/>
      </c>
      <c r="P13" s="29" t="n">
        <v>0.5</v>
      </c>
      <c r="Q13" s="30" t="n">
        <v>0.448</v>
      </c>
      <c r="R13" s="28">
        <f>(1-ABS(P13-Q13)/P13)*100</f>
        <v/>
      </c>
      <c r="S13" s="31" t="n">
        <v>16</v>
      </c>
      <c r="T13" s="29" t="n">
        <v>9.66</v>
      </c>
      <c r="U13" s="28">
        <f>(1-ABS(S13-T13)/S13)*100</f>
        <v/>
      </c>
    </row>
    <row r="14">
      <c r="B14" s="24" t="inlineStr">
        <is>
          <t>09/08</t>
        </is>
      </c>
      <c r="C14" s="25" t="n">
        <v>2558</v>
      </c>
      <c r="D14" s="26" t="n">
        <v>2.57</v>
      </c>
      <c r="E14" s="27" t="n">
        <v>2.368</v>
      </c>
      <c r="F14" s="28">
        <f>(1-ABS(D14-E14)/D14)*100</f>
        <v/>
      </c>
      <c r="G14" s="27" t="n">
        <v>0.165</v>
      </c>
      <c r="H14" s="27" t="n">
        <v>0.147</v>
      </c>
      <c r="I14" s="28">
        <f>(1-ABS(G14-H14)/G14)*100</f>
        <v/>
      </c>
      <c r="J14" s="26" t="n">
        <v>1.01</v>
      </c>
      <c r="K14" s="27" t="n">
        <v>0.993</v>
      </c>
      <c r="L14" s="28">
        <f>(1-ABS(J14-K14)/J14)*100</f>
        <v/>
      </c>
      <c r="M14" s="26" t="n">
        <v>0.26</v>
      </c>
      <c r="N14" s="27" t="n">
        <v>0.263</v>
      </c>
      <c r="O14" s="28">
        <f>(1-ABS(M14-N14)/M14)*100</f>
        <v/>
      </c>
      <c r="P14" s="29" t="n">
        <v>0.4</v>
      </c>
      <c r="Q14" s="30" t="n">
        <v>0.589</v>
      </c>
      <c r="R14" s="28">
        <f>(1-ABS(P14-Q14)/P14)*100</f>
        <v/>
      </c>
      <c r="S14" s="31" t="n">
        <v>17</v>
      </c>
      <c r="T14" s="29" t="n">
        <v>11.64</v>
      </c>
      <c r="U14" s="28">
        <f>(1-ABS(S14-T14)/S14)*100</f>
        <v/>
      </c>
    </row>
    <row r="15">
      <c r="B15" s="24" t="inlineStr">
        <is>
          <t>09/09</t>
        </is>
      </c>
      <c r="C15" s="25" t="n">
        <v>3645</v>
      </c>
      <c r="D15" s="26" t="n">
        <v>2.48</v>
      </c>
      <c r="E15" s="27" t="n">
        <v>2.505</v>
      </c>
      <c r="F15" s="28">
        <f>(1-ABS(D15-E15)/D15)*100</f>
        <v/>
      </c>
      <c r="G15" s="27" t="n">
        <v>0.167</v>
      </c>
      <c r="H15" s="27" t="n">
        <v>0.16</v>
      </c>
      <c r="I15" s="28">
        <f>(1-ABS(G15-H15)/G15)*100</f>
        <v/>
      </c>
      <c r="J15" s="26" t="n">
        <v>1.03</v>
      </c>
      <c r="K15" s="27" t="n">
        <v>1.034</v>
      </c>
      <c r="L15" s="28">
        <f>(1-ABS(J15-K15)/J15)*100</f>
        <v/>
      </c>
      <c r="M15" s="26" t="n">
        <v>0.28</v>
      </c>
      <c r="N15" s="27" t="n">
        <v>0.266</v>
      </c>
      <c r="O15" s="28">
        <f>(1-ABS(M15-N15)/M15)*100</f>
        <v/>
      </c>
      <c r="P15" s="29" t="n">
        <v>0.43</v>
      </c>
      <c r="Q15" s="30" t="n">
        <v>0.656</v>
      </c>
      <c r="R15" s="28">
        <f>(1-ABS(P15-Q15)/P15)*100</f>
        <v/>
      </c>
      <c r="S15" s="31" t="n">
        <v>16</v>
      </c>
      <c r="T15" s="29" t="n">
        <v>12.05</v>
      </c>
      <c r="U15" s="28">
        <f>(1-ABS(S15-T15)/S15)*100</f>
        <v/>
      </c>
    </row>
    <row r="16">
      <c r="B16" s="24" t="inlineStr">
        <is>
          <t>09/10</t>
        </is>
      </c>
      <c r="C16" s="25" t="n">
        <v>3949</v>
      </c>
      <c r="D16" s="26" t="n">
        <v>2.7</v>
      </c>
      <c r="E16" s="27" t="n">
        <v>1.834</v>
      </c>
      <c r="F16" s="28">
        <f>(1-ABS(D16-E16)/D16)*100</f>
        <v/>
      </c>
      <c r="G16" s="27" t="n">
        <v>0.157</v>
      </c>
      <c r="H16" s="27" t="n">
        <v>0.11</v>
      </c>
      <c r="I16" s="28">
        <f>(1-ABS(G16-H16)/G16)*100</f>
        <v/>
      </c>
      <c r="J16" s="26" t="n">
        <v>1.1</v>
      </c>
      <c r="K16" s="27" t="n">
        <v>0.73</v>
      </c>
      <c r="L16" s="28">
        <f>(1-ABS(J16-K16)/J16)*100</f>
        <v/>
      </c>
      <c r="M16" s="26" t="n">
        <v>0.29</v>
      </c>
      <c r="N16" s="27" t="n">
        <v>0.224</v>
      </c>
      <c r="O16" s="28">
        <f>(1-ABS(M16-N16)/M16)*100</f>
        <v/>
      </c>
      <c r="P16" s="29" t="n">
        <v>0.53</v>
      </c>
      <c r="Q16" s="30" t="n">
        <v>0.445</v>
      </c>
      <c r="R16" s="28">
        <f>(1-ABS(P16-Q16)/P16)*100</f>
        <v/>
      </c>
      <c r="S16" s="31" t="n">
        <v>15</v>
      </c>
      <c r="T16" s="29" t="n">
        <v>9.32</v>
      </c>
      <c r="U16" s="28">
        <f>(1-ABS(S16-T16)/S16)*100</f>
        <v/>
      </c>
    </row>
    <row r="17" ht="40" customHeight="1">
      <c r="A17" s="32" t="inlineStr">
        <is>
          <t>Best result closer to 1</t>
        </is>
      </c>
      <c r="B17" s="24" t="inlineStr">
        <is>
          <t>09/11</t>
        </is>
      </c>
      <c r="C17" s="25" t="n">
        <v>4396</v>
      </c>
      <c r="D17" s="26" t="n">
        <v>2.62</v>
      </c>
      <c r="E17" s="27" t="n">
        <v>2.505</v>
      </c>
      <c r="F17" s="28">
        <f>(1-ABS(D17-E17)/D17)*100</f>
        <v/>
      </c>
      <c r="G17" s="27" t="n">
        <v>0.159</v>
      </c>
      <c r="H17" s="27" t="n">
        <v>0.159</v>
      </c>
      <c r="I17" s="28">
        <f>(1-ABS(G17-H17)/G17)*100</f>
        <v/>
      </c>
      <c r="J17" s="26" t="n">
        <v>1.07</v>
      </c>
      <c r="K17" s="27" t="n">
        <v>1.028</v>
      </c>
      <c r="L17" s="28">
        <f>(1-ABS(J17-K17)/J17)*100</f>
        <v/>
      </c>
      <c r="M17" s="26" t="n">
        <v>0.25</v>
      </c>
      <c r="N17" s="27" t="n">
        <v>0.274</v>
      </c>
      <c r="O17" s="28">
        <f>(1-ABS(M17-N17)/M17)*100</f>
        <v/>
      </c>
      <c r="P17" s="29" t="n">
        <v>0.49</v>
      </c>
      <c r="Q17" s="30" t="n">
        <v>0.653</v>
      </c>
      <c r="R17" s="28">
        <f>(1-ABS(P17-Q17)/P17)*100</f>
        <v/>
      </c>
      <c r="S17" s="31" t="n">
        <v>16</v>
      </c>
      <c r="T17" s="29" t="n">
        <v>12.5</v>
      </c>
      <c r="U17" s="28">
        <f>(1-ABS(S17-T17)/S17)*100</f>
        <v/>
      </c>
    </row>
    <row r="18" ht="39" customHeight="1">
      <c r="A18" s="32" t="inlineStr">
        <is>
          <t>Best result closer to 0</t>
        </is>
      </c>
      <c r="B18" s="24" t="inlineStr">
        <is>
          <t>09/12</t>
        </is>
      </c>
      <c r="C18" s="25" t="n">
        <v>4068</v>
      </c>
      <c r="D18" s="26" t="n">
        <v>2.54</v>
      </c>
      <c r="E18" s="27" t="n">
        <v>2.523</v>
      </c>
      <c r="F18" s="28">
        <f>(1-ABS(D18-E18)/D18)*100</f>
        <v/>
      </c>
      <c r="G18" s="27" t="n">
        <v>0.173</v>
      </c>
      <c r="H18" s="27" t="n">
        <v>0.158</v>
      </c>
      <c r="I18" s="28">
        <f>(1-ABS(G18-H18)/G18)*100</f>
        <v/>
      </c>
      <c r="J18" s="26" t="n">
        <v>1.14</v>
      </c>
      <c r="K18" s="27" t="n">
        <v>1.066</v>
      </c>
      <c r="L18" s="28">
        <f>(1-ABS(J18-K18)/J18)*100</f>
        <v/>
      </c>
      <c r="M18" s="26" t="n">
        <v>0.3</v>
      </c>
      <c r="N18" s="27" t="n">
        <v>0.273</v>
      </c>
      <c r="O18" s="28">
        <f>(1-ABS(M18-N18)/M18)*100</f>
        <v/>
      </c>
      <c r="P18" s="29" t="n">
        <v>0.52</v>
      </c>
      <c r="Q18" s="30" t="n">
        <v>0.631</v>
      </c>
      <c r="R18" s="28">
        <f>(1-ABS(P18-Q18)/P18)*100</f>
        <v/>
      </c>
      <c r="S18" s="31" t="n">
        <v>17</v>
      </c>
      <c r="T18" s="29" t="n">
        <v>12.93</v>
      </c>
      <c r="U18" s="28">
        <f>(1-ABS(S18-T18)/S18)*100</f>
        <v/>
      </c>
    </row>
    <row r="19" ht="66" customHeight="1">
      <c r="A19" s="32" t="inlineStr">
        <is>
          <t>Best result closer to 1</t>
        </is>
      </c>
      <c r="B19" s="24" t="inlineStr">
        <is>
          <t>09/13</t>
        </is>
      </c>
      <c r="C19" s="25" t="n">
        <v>3272</v>
      </c>
      <c r="D19" s="26" t="n">
        <v>2.53</v>
      </c>
      <c r="E19" s="27" t="n">
        <v>2.503</v>
      </c>
      <c r="F19" s="28">
        <f>(1-ABS(D19-E19)/D19)*100</f>
        <v/>
      </c>
      <c r="G19" s="27" t="n">
        <v>0.173</v>
      </c>
      <c r="H19" s="27" t="n">
        <v>0.157</v>
      </c>
      <c r="I19" s="28">
        <f>(1-ABS(G19-H19)/G19)*100</f>
        <v/>
      </c>
      <c r="J19" s="26" t="n">
        <v>1.13</v>
      </c>
      <c r="K19" s="27" t="n">
        <v>1.053</v>
      </c>
      <c r="L19" s="28">
        <f>(1-ABS(J19-K19)/J19)*100</f>
        <v/>
      </c>
      <c r="M19" s="26" t="n">
        <v>0.28</v>
      </c>
      <c r="N19" s="27" t="n">
        <v>0.254</v>
      </c>
      <c r="O19" s="28">
        <f>(1-ABS(M19-N19)/M19)*100</f>
        <v/>
      </c>
      <c r="P19" s="29" t="n">
        <v>0.43</v>
      </c>
      <c r="Q19" s="30" t="n">
        <v>0.613</v>
      </c>
      <c r="R19" s="28">
        <f>(1-ABS(P19-Q19)/P19)*100</f>
        <v/>
      </c>
      <c r="S19" s="31" t="n">
        <v>17</v>
      </c>
      <c r="T19" s="29" t="n">
        <v>13.07</v>
      </c>
      <c r="U19" s="28">
        <f>(1-ABS(S19-T19)/S19)*100</f>
        <v/>
      </c>
    </row>
    <row r="20">
      <c r="B20" s="24" t="inlineStr">
        <is>
          <t>09/14</t>
        </is>
      </c>
      <c r="C20" s="25" t="n">
        <v>6436</v>
      </c>
      <c r="D20" s="26" t="n">
        <v>2.61</v>
      </c>
      <c r="E20" s="27" t="n">
        <v>2.27</v>
      </c>
      <c r="F20" s="28">
        <f>(1-ABS(D20-E20)/D20)*100</f>
        <v/>
      </c>
      <c r="G20" s="27" t="n">
        <v>0.157</v>
      </c>
      <c r="H20" s="27" t="n">
        <v>0.144</v>
      </c>
      <c r="I20" s="28">
        <f>(1-ABS(G20-H20)/G20)*100</f>
        <v/>
      </c>
      <c r="J20" s="26" t="n">
        <v>0.99</v>
      </c>
      <c r="K20" s="27" t="n">
        <v>0.905</v>
      </c>
      <c r="L20" s="28">
        <f>(1-ABS(J20-K20)/J20)*100</f>
        <v/>
      </c>
      <c r="M20" s="26" t="n">
        <v>0.27</v>
      </c>
      <c r="N20" s="27" t="n">
        <v>0.252</v>
      </c>
      <c r="O20" s="28">
        <f>(1-ABS(M20-N20)/M20)*100</f>
        <v/>
      </c>
      <c r="P20" s="29" t="n">
        <v>0.4</v>
      </c>
      <c r="Q20" s="30" t="n">
        <v>0.61</v>
      </c>
      <c r="R20" s="28">
        <f>(1-ABS(P20-Q20)/P20)*100</f>
        <v/>
      </c>
      <c r="S20" s="31" t="n">
        <v>17</v>
      </c>
      <c r="T20" s="29" t="n">
        <v>10.41</v>
      </c>
      <c r="U20" s="28">
        <f>(1-ABS(S20-T20)/S20)*100</f>
        <v/>
      </c>
    </row>
    <row r="21">
      <c r="B21" s="24" t="inlineStr">
        <is>
          <t>09/15</t>
        </is>
      </c>
      <c r="C21" s="25" t="n">
        <v>5283</v>
      </c>
      <c r="D21" s="26" t="n">
        <v>2.55</v>
      </c>
      <c r="E21" s="27" t="n">
        <v>2.477</v>
      </c>
      <c r="F21" s="28">
        <f>(1-ABS(D21-E21)/D21)*100</f>
        <v/>
      </c>
      <c r="G21" s="27" t="n">
        <v>0.178</v>
      </c>
      <c r="H21" s="27" t="n">
        <v>0.155</v>
      </c>
      <c r="I21" s="28">
        <f>(1-ABS(G21-H21)/G21)*100</f>
        <v/>
      </c>
      <c r="J21" s="26" t="n">
        <v>1.19</v>
      </c>
      <c r="K21" s="27" t="n">
        <v>1.042</v>
      </c>
      <c r="L21" s="28">
        <f>(1-ABS(J21-K21)/J21)*100</f>
        <v/>
      </c>
      <c r="M21" s="26" t="n">
        <v>0.32</v>
      </c>
      <c r="N21" s="27" t="n">
        <v>0.245</v>
      </c>
      <c r="O21" s="28">
        <f>(1-ABS(M21-N21)/M21)*100</f>
        <v/>
      </c>
      <c r="P21" s="29" t="n">
        <v>0.59</v>
      </c>
      <c r="Q21" s="30" t="n">
        <v>0.602</v>
      </c>
      <c r="R21" s="28">
        <f>(1-ABS(P21-Q21)/P21)*100</f>
        <v/>
      </c>
      <c r="S21" s="31" t="n">
        <v>18</v>
      </c>
      <c r="T21" s="29" t="n">
        <v>13.38</v>
      </c>
      <c r="U21" s="28">
        <f>(1-ABS(S21-T21)/S21)*100</f>
        <v/>
      </c>
    </row>
    <row r="22">
      <c r="B22" s="24" t="inlineStr">
        <is>
          <t>09/16</t>
        </is>
      </c>
      <c r="C22" s="25" t="n">
        <v>4717</v>
      </c>
      <c r="D22" s="26" t="n">
        <v>2.54</v>
      </c>
      <c r="E22" s="27" t="n">
        <v>2.535</v>
      </c>
      <c r="F22" s="28">
        <f>(1-ABS(D22-E22)/D22)*100</f>
        <v/>
      </c>
      <c r="G22" s="27" t="n">
        <v>0.163</v>
      </c>
      <c r="H22" s="27" t="n">
        <v>0.161</v>
      </c>
      <c r="I22" s="28">
        <f>(1-ABS(G22-H22)/G22)*100</f>
        <v/>
      </c>
      <c r="J22" s="26" t="n">
        <v>1.08</v>
      </c>
      <c r="K22" s="27" t="n">
        <v>1.049</v>
      </c>
      <c r="L22" s="28">
        <f>(1-ABS(J22-K22)/J22)*100</f>
        <v/>
      </c>
      <c r="M22" s="26" t="n">
        <v>0.31</v>
      </c>
      <c r="N22" s="27" t="n">
        <v>0.257</v>
      </c>
      <c r="O22" s="28">
        <f>(1-ABS(M22-N22)/M22)*100</f>
        <v/>
      </c>
      <c r="P22" s="29" t="n">
        <v>0.48</v>
      </c>
      <c r="Q22" s="30" t="n">
        <v>0.629</v>
      </c>
      <c r="R22" s="28">
        <f>(1-ABS(P22-Q22)/P22)*100</f>
        <v/>
      </c>
      <c r="S22" s="31" t="n">
        <v>16</v>
      </c>
      <c r="T22" s="29" t="n">
        <v>13.14</v>
      </c>
      <c r="U22" s="28">
        <f>(1-ABS(S22-T22)/S22)*100</f>
        <v/>
      </c>
    </row>
    <row r="23">
      <c r="B23" s="24" t="inlineStr">
        <is>
          <t>09/17</t>
        </is>
      </c>
      <c r="C23" s="25" t="n">
        <v>2843</v>
      </c>
      <c r="D23" s="26" t="n">
        <v>2.65</v>
      </c>
      <c r="E23" s="27" t="n">
        <v>2.312</v>
      </c>
      <c r="F23" s="28">
        <f>(1-ABS(D23-E23)/D23)*100</f>
        <v/>
      </c>
      <c r="G23" s="27" t="n">
        <v>0.169</v>
      </c>
      <c r="H23" s="27" t="n">
        <v>0.149</v>
      </c>
      <c r="I23" s="28">
        <f>(1-ABS(G23-H23)/G23)*100</f>
        <v/>
      </c>
      <c r="J23" s="26" t="n">
        <v>1.14</v>
      </c>
      <c r="K23" s="27" t="n">
        <v>0.925</v>
      </c>
      <c r="L23" s="28">
        <f>(1-ABS(J23-K23)/J23)*100</f>
        <v/>
      </c>
      <c r="M23" s="26" t="n">
        <v>0.31</v>
      </c>
      <c r="N23" s="27" t="n">
        <v>0.265</v>
      </c>
      <c r="O23" s="28">
        <f>(1-ABS(M23-N23)/M23)*100</f>
        <v/>
      </c>
      <c r="P23" s="29" t="n">
        <v>0.49</v>
      </c>
      <c r="Q23" s="30" t="n">
        <v>0.609</v>
      </c>
      <c r="R23" s="28">
        <f>(1-ABS(P23-Q23)/P23)*100</f>
        <v/>
      </c>
      <c r="S23" s="31" t="n">
        <v>17</v>
      </c>
      <c r="T23" s="29" t="n">
        <v>11.05</v>
      </c>
      <c r="U23" s="28">
        <f>(1-ABS(S23-T23)/S23)*100</f>
        <v/>
      </c>
    </row>
    <row r="24">
      <c r="B24" s="24" t="inlineStr">
        <is>
          <t>09/18</t>
        </is>
      </c>
      <c r="C24" s="25" t="n">
        <v>3726</v>
      </c>
      <c r="D24" s="26" t="n">
        <v>2.61</v>
      </c>
      <c r="E24" s="27" t="n">
        <v>2.41</v>
      </c>
      <c r="F24" s="28">
        <f>(1-ABS(D24-E24)/D24)*100</f>
        <v/>
      </c>
      <c r="G24" s="27" t="n">
        <v>0.159</v>
      </c>
      <c r="H24" s="27" t="n">
        <v>0.153</v>
      </c>
      <c r="I24" s="28">
        <f>(1-ABS(G24-H24)/G24)*100</f>
        <v/>
      </c>
      <c r="J24" s="26" t="n">
        <v>1</v>
      </c>
      <c r="K24" s="27" t="n">
        <v>0.978</v>
      </c>
      <c r="L24" s="28">
        <f>(1-ABS(J24-K24)/J24)*100</f>
        <v/>
      </c>
      <c r="M24" s="26" t="n">
        <v>0.3</v>
      </c>
      <c r="N24" s="27" t="n">
        <v>0.266</v>
      </c>
      <c r="O24" s="28">
        <f>(1-ABS(M24-N24)/M24)*100</f>
        <v/>
      </c>
      <c r="P24" s="29" t="n">
        <v>0.59</v>
      </c>
      <c r="Q24" s="30" t="n">
        <v>0.62</v>
      </c>
      <c r="R24" s="28">
        <f>(1-ABS(P24-Q24)/P24)*100</f>
        <v/>
      </c>
      <c r="S24" s="31" t="n">
        <v>16</v>
      </c>
      <c r="T24" s="29" t="n">
        <v>12.26</v>
      </c>
      <c r="U24" s="28">
        <f>(1-ABS(S24-T24)/S24)*100</f>
        <v/>
      </c>
    </row>
    <row r="25">
      <c r="B25" s="24" t="inlineStr">
        <is>
          <t>10/01</t>
        </is>
      </c>
      <c r="C25" s="25" t="n">
        <v>4123</v>
      </c>
      <c r="D25" s="26" t="n">
        <v>2.53</v>
      </c>
      <c r="E25" s="27" t="n">
        <v>2.494</v>
      </c>
      <c r="F25" s="28">
        <f>(1-ABS(D25-E25)/D25)*100</f>
        <v/>
      </c>
      <c r="G25" s="27" t="n">
        <v>0.159</v>
      </c>
      <c r="H25" s="27" t="n">
        <v>0.159</v>
      </c>
      <c r="I25" s="28">
        <f>(1-ABS(G25-H25)/G25)*100</f>
        <v/>
      </c>
      <c r="J25" s="26" t="n">
        <v>1.06</v>
      </c>
      <c r="K25" s="27" t="n">
        <v>1.015</v>
      </c>
      <c r="L25" s="28">
        <f>(1-ABS(J25-K25)/J25)*100</f>
        <v/>
      </c>
      <c r="M25" s="26" t="n">
        <v>0.31</v>
      </c>
      <c r="N25" s="27" t="n">
        <v>0.279</v>
      </c>
      <c r="O25" s="28">
        <f>(1-ABS(M25-N25)/M25)*100</f>
        <v/>
      </c>
      <c r="P25" s="29" t="n">
        <v>0.41</v>
      </c>
      <c r="Q25" s="30" t="n">
        <v>0.674</v>
      </c>
      <c r="R25" s="28">
        <f>(1-ABS(P25-Q25)/P25)*100</f>
        <v/>
      </c>
      <c r="S25" s="31" t="n">
        <v>16</v>
      </c>
      <c r="T25" s="29" t="n">
        <v>11.7</v>
      </c>
      <c r="U25" s="28">
        <f>(1-ABS(S25-T25)/S25)*100</f>
        <v/>
      </c>
    </row>
    <row r="26">
      <c r="B26" s="24" t="inlineStr">
        <is>
          <t>10/02</t>
        </is>
      </c>
      <c r="C26" s="25" t="n">
        <v>5459</v>
      </c>
      <c r="D26" s="26" t="n">
        <v>2.55</v>
      </c>
      <c r="E26" s="27" t="n">
        <v>2.435</v>
      </c>
      <c r="F26" s="28">
        <f>(1-ABS(D26-E26)/D26)*100</f>
        <v/>
      </c>
      <c r="G26" s="27" t="n">
        <v>0.174</v>
      </c>
      <c r="H26" s="27" t="n">
        <v>0.153</v>
      </c>
      <c r="I26" s="28">
        <f>(1-ABS(G26-H26)/G26)*100</f>
        <v/>
      </c>
      <c r="J26" s="26" t="n">
        <v>1.13</v>
      </c>
      <c r="K26" s="27" t="n">
        <v>0.998</v>
      </c>
      <c r="L26" s="28">
        <f>(1-ABS(J26-K26)/J26)*100</f>
        <v/>
      </c>
      <c r="M26" s="26" t="n">
        <v>0.29</v>
      </c>
      <c r="N26" s="27" t="n">
        <v>0.271</v>
      </c>
      <c r="O26" s="28">
        <f>(1-ABS(M26-N26)/M26)*100</f>
        <v/>
      </c>
      <c r="P26" s="29" t="n">
        <v>0.52</v>
      </c>
      <c r="Q26" s="30" t="n">
        <v>0.628</v>
      </c>
      <c r="R26" s="28">
        <f>(1-ABS(P26-Q26)/P26)*100</f>
        <v/>
      </c>
      <c r="S26" s="31" t="n">
        <v>17</v>
      </c>
      <c r="T26" s="29" t="n">
        <v>11.98</v>
      </c>
      <c r="U26" s="28">
        <f>(1-ABS(S26-T26)/S26)*100</f>
        <v/>
      </c>
    </row>
    <row r="27">
      <c r="B27" s="24" t="inlineStr">
        <is>
          <t>10/03</t>
        </is>
      </c>
      <c r="C27" s="25" t="n">
        <v>4817</v>
      </c>
      <c r="D27" s="26" t="n">
        <v>2.67</v>
      </c>
      <c r="E27" s="27" t="n">
        <v>2.419</v>
      </c>
      <c r="F27" s="28">
        <f>(1-ABS(D27-E27)/D27)*100</f>
        <v/>
      </c>
      <c r="G27" s="27" t="n">
        <v>0.17</v>
      </c>
      <c r="H27" s="27" t="n">
        <v>0.152</v>
      </c>
      <c r="I27" s="28">
        <f>(1-ABS(G27-H27)/G27)*100</f>
        <v/>
      </c>
      <c r="J27" s="26" t="n">
        <v>1.03</v>
      </c>
      <c r="K27" s="27" t="n">
        <v>0.993</v>
      </c>
      <c r="L27" s="28">
        <f>(1-ABS(J27-K27)/J27)*100</f>
        <v/>
      </c>
      <c r="M27" s="26" t="n">
        <v>0.29</v>
      </c>
      <c r="N27" s="27" t="n">
        <v>0.266</v>
      </c>
      <c r="O27" s="28">
        <f>(1-ABS(M27-N27)/M27)*100</f>
        <v/>
      </c>
      <c r="P27" s="29" t="n">
        <v>0.5</v>
      </c>
      <c r="Q27" s="30" t="n">
        <v>0.627</v>
      </c>
      <c r="R27" s="28">
        <f>(1-ABS(P27-Q27)/P27)*100</f>
        <v/>
      </c>
      <c r="S27" s="31" t="n">
        <v>17</v>
      </c>
      <c r="T27" s="29" t="n">
        <v>11.84</v>
      </c>
      <c r="U27" s="28">
        <f>(1-ABS(S27-T27)/S27)*100</f>
        <v/>
      </c>
    </row>
    <row r="28">
      <c r="B28" s="24" t="inlineStr">
        <is>
          <t>10/04</t>
        </is>
      </c>
      <c r="C28" s="25" t="n">
        <v>4775</v>
      </c>
      <c r="D28" s="26" t="n">
        <v>2.68</v>
      </c>
      <c r="E28" s="27" t="n">
        <v>2.289</v>
      </c>
      <c r="F28" s="28">
        <f>(1-ABS(D28-E28)/D28)*100</f>
        <v/>
      </c>
      <c r="G28" s="27" t="n">
        <v>0.153</v>
      </c>
      <c r="H28" s="27" t="n">
        <v>0.143</v>
      </c>
      <c r="I28" s="28">
        <f>(1-ABS(G28-H28)/G28)*100</f>
        <v/>
      </c>
      <c r="J28" s="26" t="n">
        <v>0.93</v>
      </c>
      <c r="K28" s="27" t="n">
        <v>0.928</v>
      </c>
      <c r="L28" s="28">
        <f>(1-ABS(J28-K28)/J28)*100</f>
        <v/>
      </c>
      <c r="M28" s="26" t="n">
        <v>0.3</v>
      </c>
      <c r="N28" s="27" t="n">
        <v>0.252</v>
      </c>
      <c r="O28" s="28">
        <f>(1-ABS(M28-N28)/M28)*100</f>
        <v/>
      </c>
      <c r="P28" s="29" t="n">
        <v>0.57</v>
      </c>
      <c r="Q28" s="30" t="n">
        <v>0.582</v>
      </c>
      <c r="R28" s="28">
        <f>(1-ABS(P28-Q28)/P28)*100</f>
        <v/>
      </c>
      <c r="S28" s="31" t="n">
        <v>17</v>
      </c>
      <c r="T28" s="29" t="n">
        <v>11.31</v>
      </c>
      <c r="U28" s="28">
        <f>(1-ABS(S28-T28)/S28)*100</f>
        <v/>
      </c>
    </row>
    <row r="29">
      <c r="B29" s="24" t="inlineStr">
        <is>
          <t>10/05</t>
        </is>
      </c>
      <c r="C29" s="25" t="n">
        <v>4581</v>
      </c>
      <c r="D29" s="26" t="n">
        <v>2.63</v>
      </c>
      <c r="E29" s="27" t="n">
        <v>2.32</v>
      </c>
      <c r="F29" s="28">
        <f>(1-ABS(D29-E29)/D29)*100</f>
        <v/>
      </c>
      <c r="G29" s="27" t="n">
        <v>0.173</v>
      </c>
      <c r="H29" s="27" t="n">
        <v>0.147</v>
      </c>
      <c r="I29" s="28">
        <f>(1-ABS(G29-H29)/G29)*100</f>
        <v/>
      </c>
      <c r="J29" s="26" t="n">
        <v>1.13</v>
      </c>
      <c r="K29" s="27" t="n">
        <v>0.924</v>
      </c>
      <c r="L29" s="28">
        <f>(1-ABS(J29-K29)/J29)*100</f>
        <v/>
      </c>
      <c r="M29" s="26" t="n">
        <v>0.28</v>
      </c>
      <c r="N29" s="27" t="n">
        <v>0.26</v>
      </c>
      <c r="O29" s="28">
        <f>(1-ABS(M29-N29)/M29)*100</f>
        <v/>
      </c>
      <c r="P29" s="29" t="n">
        <v>0.43</v>
      </c>
      <c r="Q29" s="30" t="n">
        <v>0.599</v>
      </c>
      <c r="R29" s="28">
        <f>(1-ABS(P29-Q29)/P29)*100</f>
        <v/>
      </c>
      <c r="S29" s="31" t="n">
        <v>17</v>
      </c>
      <c r="T29" s="29" t="n">
        <v>11.38</v>
      </c>
      <c r="U29" s="28">
        <f>(1-ABS(S29-T29)/S29)*100</f>
        <v/>
      </c>
    </row>
    <row r="30">
      <c r="B30" s="24" t="inlineStr">
        <is>
          <t>10/06</t>
        </is>
      </c>
      <c r="C30" s="25" t="n">
        <v>4827</v>
      </c>
      <c r="D30" s="26" t="n">
        <v>2.56</v>
      </c>
      <c r="E30" s="27" t="n">
        <v>2.261</v>
      </c>
      <c r="F30" s="28">
        <f>(1-ABS(D30-E30)/D30)*100</f>
        <v/>
      </c>
      <c r="G30" s="27" t="n">
        <v>0.164</v>
      </c>
      <c r="H30" s="27" t="n">
        <v>0.141</v>
      </c>
      <c r="I30" s="28">
        <f>(1-ABS(G30-H30)/G30)*100</f>
        <v/>
      </c>
      <c r="J30" s="26" t="n">
        <v>1.09</v>
      </c>
      <c r="K30" s="27" t="n">
        <v>0.912</v>
      </c>
      <c r="L30" s="28">
        <f>(1-ABS(J30-K30)/J30)*100</f>
        <v/>
      </c>
      <c r="M30" s="26" t="n">
        <v>0.31</v>
      </c>
      <c r="N30" s="27" t="n">
        <v>0.247</v>
      </c>
      <c r="O30" s="28">
        <f>(1-ABS(M30-N30)/M30)*100</f>
        <v/>
      </c>
      <c r="P30" s="29" t="n">
        <v>0.4</v>
      </c>
      <c r="Q30" s="30" t="n">
        <v>0.5659999999999999</v>
      </c>
      <c r="R30" s="28">
        <f>(1-ABS(P30-Q30)/P30)*100</f>
        <v/>
      </c>
      <c r="S30" s="31" t="n">
        <v>16</v>
      </c>
      <c r="T30" s="29" t="n">
        <v>11.49</v>
      </c>
      <c r="U30" s="28">
        <f>(1-ABS(S30-T30)/S30)*100</f>
        <v/>
      </c>
    </row>
    <row r="31">
      <c r="B31" s="24" t="inlineStr">
        <is>
          <t>10/07</t>
        </is>
      </c>
      <c r="C31" s="25" t="n">
        <v>5042</v>
      </c>
      <c r="D31" s="26" t="n">
        <v>2.71</v>
      </c>
      <c r="E31" s="27" t="n">
        <v>2.289</v>
      </c>
      <c r="F31" s="28">
        <f>(1-ABS(D31-E31)/D31)*100</f>
        <v/>
      </c>
      <c r="G31" s="27" t="n">
        <v>0.155</v>
      </c>
      <c r="H31" s="27" t="n">
        <v>0.144</v>
      </c>
      <c r="I31" s="28">
        <f>(1-ABS(G31-H31)/G31)*100</f>
        <v/>
      </c>
      <c r="J31" s="26" t="n">
        <v>0.88</v>
      </c>
      <c r="K31" s="27" t="n">
        <v>0.915</v>
      </c>
      <c r="L31" s="28">
        <f>(1-ABS(J31-K31)/J31)*100</f>
        <v/>
      </c>
      <c r="M31" s="26" t="n">
        <v>0.3</v>
      </c>
      <c r="N31" s="27" t="n">
        <v>0.256</v>
      </c>
      <c r="O31" s="28">
        <f>(1-ABS(M31-N31)/M31)*100</f>
        <v/>
      </c>
      <c r="P31" s="29" t="n">
        <v>0.46</v>
      </c>
      <c r="Q31" s="30" t="n">
        <v>0.59</v>
      </c>
      <c r="R31" s="28">
        <f>(1-ABS(P31-Q31)/P31)*100</f>
        <v/>
      </c>
      <c r="S31" s="31" t="n">
        <v>17</v>
      </c>
      <c r="T31" s="29" t="n">
        <v>11.29</v>
      </c>
      <c r="U31" s="28">
        <f>(1-ABS(S31-T31)/S31)*100</f>
        <v/>
      </c>
    </row>
    <row r="32">
      <c r="B32" s="24" t="inlineStr">
        <is>
          <t>10/08</t>
        </is>
      </c>
      <c r="C32" s="25" t="n">
        <v>2714</v>
      </c>
      <c r="D32" s="26" t="n">
        <v>2.71</v>
      </c>
      <c r="E32" s="27" t="n">
        <v>2.328</v>
      </c>
      <c r="F32" s="28">
        <f>(1-ABS(D32-E32)/D32)*100</f>
        <v/>
      </c>
      <c r="G32" s="27" t="n">
        <v>0.163</v>
      </c>
      <c r="H32" s="27" t="n">
        <v>0.145</v>
      </c>
      <c r="I32" s="28">
        <f>(1-ABS(G32-H32)/G32)*100</f>
        <v/>
      </c>
      <c r="J32" s="26" t="n">
        <v>0.9399999999999999</v>
      </c>
      <c r="K32" s="27" t="n">
        <v>0.963</v>
      </c>
      <c r="L32" s="28">
        <f>(1-ABS(J32-K32)/J32)*100</f>
        <v/>
      </c>
      <c r="M32" s="26" t="n">
        <v>0.29</v>
      </c>
      <c r="N32" s="27" t="n">
        <v>0.257</v>
      </c>
      <c r="O32" s="28">
        <f>(1-ABS(M32-N32)/M32)*100</f>
        <v/>
      </c>
      <c r="P32" s="29" t="n">
        <v>0.47</v>
      </c>
      <c r="Q32" s="30" t="n">
        <v>0.588</v>
      </c>
      <c r="R32" s="28">
        <f>(1-ABS(P32-Q32)/P32)*100</f>
        <v/>
      </c>
      <c r="S32" s="31" t="n">
        <v>17</v>
      </c>
      <c r="T32" s="29" t="n">
        <v>11.45</v>
      </c>
      <c r="U32" s="28">
        <f>(1-ABS(S32-T32)/S32)*100</f>
        <v/>
      </c>
    </row>
    <row r="33">
      <c r="B33" s="24" t="inlineStr">
        <is>
          <t>10/09</t>
        </is>
      </c>
      <c r="C33" s="25" t="n">
        <v>2373</v>
      </c>
      <c r="D33" s="26" t="n">
        <v>2.58</v>
      </c>
      <c r="E33" s="27" t="n">
        <v>2.009</v>
      </c>
      <c r="F33" s="28">
        <f>(1-ABS(D33-E33)/D33)*100</f>
        <v/>
      </c>
      <c r="G33" s="27" t="n">
        <v>0.168</v>
      </c>
      <c r="H33" s="27" t="n">
        <v>0.125</v>
      </c>
      <c r="I33" s="28">
        <f>(1-ABS(G33-H33)/G33)*100</f>
        <v/>
      </c>
      <c r="J33" s="26" t="n">
        <v>1.05</v>
      </c>
      <c r="K33" s="27" t="n">
        <v>0.8090000000000001</v>
      </c>
      <c r="L33" s="28">
        <f>(1-ABS(J33-K33)/J33)*100</f>
        <v/>
      </c>
      <c r="M33" s="26" t="n">
        <v>0.31</v>
      </c>
      <c r="N33" s="27" t="n">
        <v>0.227</v>
      </c>
      <c r="O33" s="28">
        <f>(1-ABS(M33-N33)/M33)*100</f>
        <v/>
      </c>
      <c r="P33" s="29" t="n">
        <v>0.43</v>
      </c>
      <c r="Q33" s="30" t="n">
        <v>0.521</v>
      </c>
      <c r="R33" s="28">
        <f>(1-ABS(P33-Q33)/P33)*100</f>
        <v/>
      </c>
      <c r="S33" s="31" t="n">
        <v>17</v>
      </c>
      <c r="T33" s="29" t="n">
        <v>9.57</v>
      </c>
      <c r="U33" s="28">
        <f>(1-ABS(S33-T33)/S33)*100</f>
        <v/>
      </c>
    </row>
    <row r="34">
      <c r="B34" s="24" t="inlineStr">
        <is>
          <t>10/10</t>
        </is>
      </c>
      <c r="C34" s="25" t="n">
        <v>4552</v>
      </c>
      <c r="D34" s="26" t="n">
        <v>2.55</v>
      </c>
      <c r="E34" s="27" t="n">
        <v>2.193</v>
      </c>
      <c r="F34" s="28">
        <f>(1-ABS(D34-E34)/D34)*100</f>
        <v/>
      </c>
      <c r="G34" s="27" t="n">
        <v>0.158</v>
      </c>
      <c r="H34" s="27" t="n">
        <v>0.137</v>
      </c>
      <c r="I34" s="28">
        <f>(1-ABS(G34-H34)/G34)*100</f>
        <v/>
      </c>
      <c r="J34" s="26" t="n">
        <v>1.01</v>
      </c>
      <c r="K34" s="27" t="n">
        <v>0.896</v>
      </c>
      <c r="L34" s="28">
        <f>(1-ABS(J34-K34)/J34)*100</f>
        <v/>
      </c>
      <c r="M34" s="26" t="n">
        <v>0.3</v>
      </c>
      <c r="N34" s="27" t="n">
        <v>0.248</v>
      </c>
      <c r="O34" s="28">
        <f>(1-ABS(M34-N34)/M34)*100</f>
        <v/>
      </c>
      <c r="P34" s="29" t="n">
        <v>0.48</v>
      </c>
      <c r="Q34" s="30" t="n">
        <v>0.548</v>
      </c>
      <c r="R34" s="28">
        <f>(1-ABS(P34-Q34)/P34)*100</f>
        <v/>
      </c>
      <c r="S34" s="31" t="n">
        <v>15</v>
      </c>
      <c r="T34" s="29" t="n">
        <v>11.07</v>
      </c>
      <c r="U34" s="28">
        <f>(1-ABS(S34-T34)/S34)*100</f>
        <v/>
      </c>
    </row>
    <row r="35">
      <c r="B35" s="24" t="inlineStr">
        <is>
          <t>10/11</t>
        </is>
      </c>
      <c r="C35" s="25" t="n">
        <v>5406</v>
      </c>
      <c r="D35" s="26" t="n">
        <v>2.64</v>
      </c>
      <c r="E35" s="27" t="n">
        <v>2.181</v>
      </c>
      <c r="F35" s="28">
        <f>(1-ABS(D35-E35)/D35)*100</f>
        <v/>
      </c>
      <c r="G35" s="27" t="n">
        <v>0.164</v>
      </c>
      <c r="H35" s="27" t="n">
        <v>0.138</v>
      </c>
      <c r="I35" s="28">
        <f>(1-ABS(G35-H35)/G35)*100</f>
        <v/>
      </c>
      <c r="J35" s="26" t="n">
        <v>1.14</v>
      </c>
      <c r="K35" s="27" t="n">
        <v>0.882</v>
      </c>
      <c r="L35" s="28">
        <f>(1-ABS(J35-K35)/J35)*100</f>
        <v/>
      </c>
      <c r="M35" s="26" t="n">
        <v>0.31</v>
      </c>
      <c r="N35" s="27" t="n">
        <v>0.238</v>
      </c>
      <c r="O35" s="28">
        <f>(1-ABS(M35-N35)/M35)*100</f>
        <v/>
      </c>
      <c r="P35" s="29" t="n">
        <v>0.51</v>
      </c>
      <c r="Q35" s="30" t="n">
        <v>0.553</v>
      </c>
      <c r="R35" s="28">
        <f>(1-ABS(P35-Q35)/P35)*100</f>
        <v/>
      </c>
      <c r="S35" s="31" t="n">
        <v>15</v>
      </c>
      <c r="T35" s="29" t="n">
        <v>10.47</v>
      </c>
      <c r="U35" s="28">
        <f>(1-ABS(S35-T35)/S35)*100</f>
        <v/>
      </c>
    </row>
    <row r="36">
      <c r="B36" s="24" t="inlineStr">
        <is>
          <t>10/12</t>
        </is>
      </c>
      <c r="C36" s="25" t="n">
        <v>5117</v>
      </c>
      <c r="D36" s="26" t="n">
        <v>2.59</v>
      </c>
      <c r="E36" s="27" t="n">
        <v>2.486</v>
      </c>
      <c r="F36" s="28">
        <f>(1-ABS(D36-E36)/D36)*100</f>
        <v/>
      </c>
      <c r="G36" s="27" t="n">
        <v>0.179</v>
      </c>
      <c r="H36" s="27" t="n">
        <v>0.159</v>
      </c>
      <c r="I36" s="28">
        <f>(1-ABS(G36-H36)/G36)*100</f>
        <v/>
      </c>
      <c r="J36" s="26" t="n">
        <v>1.04</v>
      </c>
      <c r="K36" s="27" t="n">
        <v>1.025</v>
      </c>
      <c r="L36" s="28">
        <f>(1-ABS(J36-K36)/J36)*100</f>
        <v/>
      </c>
      <c r="M36" s="26" t="n">
        <v>0.28</v>
      </c>
      <c r="N36" s="27" t="n">
        <v>0.253</v>
      </c>
      <c r="O36" s="28">
        <f>(1-ABS(M36-N36)/M36)*100</f>
        <v/>
      </c>
      <c r="P36" s="29" t="n">
        <v>0.52</v>
      </c>
      <c r="Q36" s="30" t="n">
        <v>0.619</v>
      </c>
      <c r="R36" s="28">
        <f>(1-ABS(P36-Q36)/P36)*100</f>
        <v/>
      </c>
      <c r="S36" s="31" t="n">
        <v>17</v>
      </c>
      <c r="T36" s="29" t="n">
        <v>12.93</v>
      </c>
      <c r="U36" s="28">
        <f>(1-ABS(S36-T36)/S36)*100</f>
        <v/>
      </c>
    </row>
    <row r="37">
      <c r="B37" s="24" t="inlineStr">
        <is>
          <t>10/13</t>
        </is>
      </c>
      <c r="C37" s="25" t="n">
        <v>5641</v>
      </c>
      <c r="D37" s="26" t="n">
        <v>2.55</v>
      </c>
      <c r="E37" s="27" t="n">
        <v>2.278</v>
      </c>
      <c r="F37" s="28">
        <f>(1-ABS(D37-E37)/D37)*100</f>
        <v/>
      </c>
      <c r="G37" s="27" t="n">
        <v>0.162</v>
      </c>
      <c r="H37" s="27" t="n">
        <v>0.141</v>
      </c>
      <c r="I37" s="28">
        <f>(1-ABS(G37-H37)/G37)*100</f>
        <v/>
      </c>
      <c r="J37" s="26" t="n">
        <v>0.99</v>
      </c>
      <c r="K37" s="27" t="n">
        <v>0.957</v>
      </c>
      <c r="L37" s="28">
        <f>(1-ABS(J37-K37)/J37)*100</f>
        <v/>
      </c>
      <c r="M37" s="26" t="n">
        <v>0.29</v>
      </c>
      <c r="N37" s="27" t="n">
        <v>0.246</v>
      </c>
      <c r="O37" s="28">
        <f>(1-ABS(M37-N37)/M37)*100</f>
        <v/>
      </c>
      <c r="P37" s="29" t="n">
        <v>0.58</v>
      </c>
      <c r="Q37" s="30" t="n">
        <v>0.5570000000000001</v>
      </c>
      <c r="R37" s="28">
        <f>(1-ABS(P37-Q37)/P37)*100</f>
        <v/>
      </c>
      <c r="S37" s="31" t="n">
        <v>16</v>
      </c>
      <c r="T37" s="29" t="n">
        <v>11.52</v>
      </c>
      <c r="U37" s="28">
        <f>(1-ABS(S37-T37)/S37)*100</f>
        <v/>
      </c>
    </row>
    <row r="38">
      <c r="B38" s="24" t="inlineStr">
        <is>
          <t>10/14</t>
        </is>
      </c>
      <c r="C38" s="25" t="n">
        <v>3918</v>
      </c>
      <c r="D38" s="26" t="n">
        <v>2.63</v>
      </c>
      <c r="E38" s="27" t="n">
        <v>2.418</v>
      </c>
      <c r="F38" s="28">
        <f>(1-ABS(D38-E38)/D38)*100</f>
        <v/>
      </c>
      <c r="G38" s="27" t="n">
        <v>0.168</v>
      </c>
      <c r="H38" s="27" t="n">
        <v>0.156</v>
      </c>
      <c r="I38" s="28">
        <f>(1-ABS(G38-H38)/G38)*100</f>
        <v/>
      </c>
      <c r="J38" s="26" t="n">
        <v>1.1</v>
      </c>
      <c r="K38" s="27" t="n">
        <v>0.979</v>
      </c>
      <c r="L38" s="28">
        <f>(1-ABS(J38-K38)/J38)*100</f>
        <v/>
      </c>
      <c r="M38" s="26" t="n">
        <v>0.33</v>
      </c>
      <c r="N38" s="27" t="n">
        <v>0.252</v>
      </c>
      <c r="O38" s="28">
        <f>(1-ABS(M38-N38)/M38)*100</f>
        <v/>
      </c>
      <c r="P38" s="29" t="n">
        <v>0.47</v>
      </c>
      <c r="Q38" s="30" t="n">
        <v>0.64</v>
      </c>
      <c r="R38" s="28">
        <f>(1-ABS(P38-Q38)/P38)*100</f>
        <v/>
      </c>
      <c r="S38" s="31" t="n">
        <v>15</v>
      </c>
      <c r="T38" s="29" t="n">
        <v>11.74</v>
      </c>
      <c r="U38" s="28">
        <f>(1-ABS(S38-T38)/S38)*100</f>
        <v/>
      </c>
    </row>
    <row r="39">
      <c r="B39" s="24" t="inlineStr">
        <is>
          <t>10/15</t>
        </is>
      </c>
      <c r="C39" s="25" t="n">
        <v>4766</v>
      </c>
      <c r="D39" s="26" t="n">
        <v>2.58</v>
      </c>
      <c r="E39" s="27" t="n">
        <v>2.046</v>
      </c>
      <c r="F39" s="28">
        <f>(1-ABS(D39-E39)/D39)*100</f>
        <v/>
      </c>
      <c r="G39" s="27" t="n">
        <v>0.164</v>
      </c>
      <c r="H39" s="27" t="n">
        <v>0.129</v>
      </c>
      <c r="I39" s="28">
        <f>(1-ABS(G39-H39)/G39)*100</f>
        <v/>
      </c>
      <c r="J39" s="26" t="n">
        <v>1</v>
      </c>
      <c r="K39" s="27" t="n">
        <v>0.789</v>
      </c>
      <c r="L39" s="28">
        <f>(1-ABS(J39-K39)/J39)*100</f>
        <v/>
      </c>
      <c r="M39" s="26" t="n">
        <v>0.26</v>
      </c>
      <c r="N39" s="27" t="n">
        <v>0.246</v>
      </c>
      <c r="O39" s="28">
        <f>(1-ABS(M39-N39)/M39)*100</f>
        <v/>
      </c>
      <c r="P39" s="29" t="n">
        <v>0.49</v>
      </c>
      <c r="Q39" s="30" t="n">
        <v>0.546</v>
      </c>
      <c r="R39" s="28">
        <f>(1-ABS(P39-Q39)/P39)*100</f>
        <v/>
      </c>
      <c r="S39" s="31" t="n">
        <v>15</v>
      </c>
      <c r="T39" s="29" t="n">
        <v>8.98</v>
      </c>
      <c r="U39" s="28">
        <f>(1-ABS(S39-T39)/S39)*100</f>
        <v/>
      </c>
    </row>
    <row r="40">
      <c r="B40" s="24" t="inlineStr">
        <is>
          <t>10/16</t>
        </is>
      </c>
      <c r="C40" s="25" t="n">
        <v>5627</v>
      </c>
      <c r="D40" s="26" t="n">
        <v>2.61</v>
      </c>
      <c r="E40" s="27" t="n">
        <v>2.174</v>
      </c>
      <c r="F40" s="28">
        <f>(1-ABS(D40-E40)/D40)*100</f>
        <v/>
      </c>
      <c r="G40" s="27" t="n">
        <v>0.163</v>
      </c>
      <c r="H40" s="27" t="n">
        <v>0.133</v>
      </c>
      <c r="I40" s="28">
        <f>(1-ABS(G40-H40)/G40)*100</f>
        <v/>
      </c>
      <c r="J40" s="26" t="n">
        <v>1.03</v>
      </c>
      <c r="K40" s="27" t="n">
        <v>0.911</v>
      </c>
      <c r="L40" s="28">
        <f>(1-ABS(J40-K40)/J40)*100</f>
        <v/>
      </c>
      <c r="M40" s="26" t="n">
        <v>0.32</v>
      </c>
      <c r="N40" s="27" t="n">
        <v>0.237</v>
      </c>
      <c r="O40" s="28">
        <f>(1-ABS(M40-N40)/M40)*100</f>
        <v/>
      </c>
      <c r="P40" s="29" t="n">
        <v>0.49</v>
      </c>
      <c r="Q40" s="30" t="n">
        <v>0.529</v>
      </c>
      <c r="R40" s="28">
        <f>(1-ABS(P40-Q40)/P40)*100</f>
        <v/>
      </c>
      <c r="S40" s="31" t="n">
        <v>17</v>
      </c>
      <c r="T40" s="29" t="n">
        <v>10.88</v>
      </c>
      <c r="U40" s="28">
        <f>(1-ABS(S40-T40)/S40)*100</f>
        <v/>
      </c>
    </row>
    <row r="41">
      <c r="B41" s="24" t="inlineStr">
        <is>
          <t>10/17</t>
        </is>
      </c>
      <c r="C41" s="25" t="n">
        <v>5347</v>
      </c>
      <c r="D41" s="26" t="n">
        <v>2.58</v>
      </c>
      <c r="E41" s="27" t="n">
        <v>2.496</v>
      </c>
      <c r="F41" s="28">
        <f>(1-ABS(D41-E41)/D41)*100</f>
        <v/>
      </c>
      <c r="G41" s="27" t="n">
        <v>0.171</v>
      </c>
      <c r="H41" s="27" t="n">
        <v>0.158</v>
      </c>
      <c r="I41" s="28">
        <f>(1-ABS(G41-H41)/G41)*100</f>
        <v/>
      </c>
      <c r="J41" s="26" t="n">
        <v>1.13</v>
      </c>
      <c r="K41" s="27" t="n">
        <v>1.041</v>
      </c>
      <c r="L41" s="28">
        <f>(1-ABS(J41-K41)/J41)*100</f>
        <v/>
      </c>
      <c r="M41" s="26" t="n">
        <v>0.27</v>
      </c>
      <c r="N41" s="27" t="n">
        <v>0.267</v>
      </c>
      <c r="O41" s="28">
        <f>(1-ABS(M41-N41)/M41)*100</f>
        <v/>
      </c>
      <c r="P41" s="29" t="n">
        <v>0.5</v>
      </c>
      <c r="Q41" s="30" t="n">
        <v>0.631</v>
      </c>
      <c r="R41" s="28">
        <f>(1-ABS(P41-Q41)/P41)*100</f>
        <v/>
      </c>
      <c r="S41" s="31" t="n">
        <v>17</v>
      </c>
      <c r="T41" s="29" t="n">
        <v>12.65</v>
      </c>
      <c r="U41" s="28">
        <f>(1-ABS(S41-T41)/S41)*100</f>
        <v/>
      </c>
    </row>
    <row r="42">
      <c r="B42" s="24" t="inlineStr">
        <is>
          <t>10/18</t>
        </is>
      </c>
      <c r="C42" s="25" t="n">
        <v>5798</v>
      </c>
      <c r="D42" s="26" t="n">
        <v>2.7</v>
      </c>
      <c r="E42" s="27" t="n">
        <v>2.304</v>
      </c>
      <c r="F42" s="28">
        <f>(1-ABS(D42-E42)/D42)*100</f>
        <v/>
      </c>
      <c r="G42" s="27" t="n">
        <v>0.153</v>
      </c>
      <c r="H42" s="27" t="n">
        <v>0.146</v>
      </c>
      <c r="I42" s="28">
        <f>(1-ABS(G42-H42)/G42)*100</f>
        <v/>
      </c>
      <c r="J42" s="26" t="n">
        <v>1.05</v>
      </c>
      <c r="K42" s="27" t="n">
        <v>0.9419999999999999</v>
      </c>
      <c r="L42" s="28">
        <f>(1-ABS(J42-K42)/J42)*100</f>
        <v/>
      </c>
      <c r="M42" s="26" t="n">
        <v>0.28</v>
      </c>
      <c r="N42" s="27" t="n">
        <v>0.247</v>
      </c>
      <c r="O42" s="28">
        <f>(1-ABS(M42-N42)/M42)*100</f>
        <v/>
      </c>
      <c r="P42" s="29" t="n">
        <v>0.4</v>
      </c>
      <c r="Q42" s="30" t="n">
        <v>0.603</v>
      </c>
      <c r="R42" s="28">
        <f>(1-ABS(P42-Q42)/P42)*100</f>
        <v/>
      </c>
      <c r="S42" s="31" t="n">
        <v>15</v>
      </c>
      <c r="T42" s="29" t="n">
        <v>11.28</v>
      </c>
      <c r="U42" s="28">
        <f>(1-ABS(S42-T42)/S42)*100</f>
        <v/>
      </c>
    </row>
    <row r="43">
      <c r="B43" s="24" t="inlineStr">
        <is>
          <t>10/19</t>
        </is>
      </c>
      <c r="C43" s="25" t="n">
        <v>5936</v>
      </c>
      <c r="D43" s="26" t="n">
        <v>2.69</v>
      </c>
      <c r="E43" s="27" t="n">
        <v>2.044</v>
      </c>
      <c r="F43" s="28">
        <f>(1-ABS(D43-E43)/D43)*100</f>
        <v/>
      </c>
      <c r="G43" s="27" t="n">
        <v>0.166</v>
      </c>
      <c r="H43" s="27" t="n">
        <v>0.129</v>
      </c>
      <c r="I43" s="28">
        <f>(1-ABS(G43-H43)/G43)*100</f>
        <v/>
      </c>
      <c r="J43" s="26" t="n">
        <v>1.02</v>
      </c>
      <c r="K43" s="27" t="n">
        <v>0.804</v>
      </c>
      <c r="L43" s="28">
        <f>(1-ABS(J43-K43)/J43)*100</f>
        <v/>
      </c>
      <c r="M43" s="26" t="n">
        <v>0.32</v>
      </c>
      <c r="N43" s="27" t="n">
        <v>0.245</v>
      </c>
      <c r="O43" s="28">
        <f>(1-ABS(M43-N43)/M43)*100</f>
        <v/>
      </c>
      <c r="P43" s="29" t="n">
        <v>0.41</v>
      </c>
      <c r="Q43" s="30" t="n">
        <v>0.538</v>
      </c>
      <c r="R43" s="28">
        <f>(1-ABS(P43-Q43)/P43)*100</f>
        <v/>
      </c>
      <c r="S43" s="31" t="n">
        <v>17</v>
      </c>
      <c r="T43" s="29" t="n">
        <v>9.26</v>
      </c>
      <c r="U43" s="28">
        <f>(1-ABS(S43-T43)/S43)*100</f>
        <v/>
      </c>
    </row>
    <row r="44">
      <c r="B44" s="24" t="inlineStr">
        <is>
          <t>10/20</t>
        </is>
      </c>
      <c r="C44" s="25" t="n">
        <v>6264</v>
      </c>
      <c r="D44" s="26" t="n">
        <v>2.58</v>
      </c>
      <c r="E44" s="27" t="n">
        <v>2.52</v>
      </c>
      <c r="F44" s="28">
        <f>(1-ABS(D44-E44)/D44)*100</f>
        <v/>
      </c>
      <c r="G44" s="27" t="n">
        <v>0.163</v>
      </c>
      <c r="H44" s="27" t="n">
        <v>0.163</v>
      </c>
      <c r="I44" s="28">
        <f>(1-ABS(G44-H44)/G44)*100</f>
        <v/>
      </c>
      <c r="J44" s="26" t="n">
        <v>1.06</v>
      </c>
      <c r="K44" s="27" t="n">
        <v>1.02</v>
      </c>
      <c r="L44" s="28">
        <f>(1-ABS(J44-K44)/J44)*100</f>
        <v/>
      </c>
      <c r="M44" s="26" t="n">
        <v>0.32</v>
      </c>
      <c r="N44" s="27" t="n">
        <v>0.267</v>
      </c>
      <c r="O44" s="28">
        <f>(1-ABS(M44-N44)/M44)*100</f>
        <v/>
      </c>
      <c r="P44" s="29" t="n">
        <v>0.43</v>
      </c>
      <c r="Q44" s="30" t="n">
        <v>0.694</v>
      </c>
      <c r="R44" s="28">
        <f>(1-ABS(P44-Q44)/P44)*100</f>
        <v/>
      </c>
      <c r="S44" s="31" t="n">
        <v>17</v>
      </c>
      <c r="T44" s="29" t="n">
        <v>11.31</v>
      </c>
      <c r="U44" s="28">
        <f>(1-ABS(S44-T44)/S44)*100</f>
        <v/>
      </c>
    </row>
    <row r="45">
      <c r="B45" s="24" t="inlineStr">
        <is>
          <t>10/21</t>
        </is>
      </c>
      <c r="C45" s="25" t="n">
        <v>3147</v>
      </c>
      <c r="D45" s="26" t="n">
        <v>2.63</v>
      </c>
      <c r="E45" s="27" t="n">
        <v>2.219</v>
      </c>
      <c r="F45" s="28">
        <f>(1-ABS(D45-E45)/D45)*100</f>
        <v/>
      </c>
      <c r="G45" s="27" t="n">
        <v>0.156</v>
      </c>
      <c r="H45" s="27" t="n">
        <v>0.142</v>
      </c>
      <c r="I45" s="28">
        <f>(1-ABS(G45-H45)/G45)*100</f>
        <v/>
      </c>
      <c r="J45" s="26" t="n">
        <v>0.88</v>
      </c>
      <c r="K45" s="27" t="n">
        <v>0.881</v>
      </c>
      <c r="L45" s="28">
        <f>(1-ABS(J45-K45)/J45)*100</f>
        <v/>
      </c>
      <c r="M45" s="26" t="n">
        <v>0.31</v>
      </c>
      <c r="N45" s="27" t="n">
        <v>0.277</v>
      </c>
      <c r="O45" s="28">
        <f>(1-ABS(M45-N45)/M45)*100</f>
        <v/>
      </c>
      <c r="P45" s="29" t="n">
        <v>0.43</v>
      </c>
      <c r="Q45" s="30" t="n">
        <v>0.602</v>
      </c>
      <c r="R45" s="28">
        <f>(1-ABS(P45-Q45)/P45)*100</f>
        <v/>
      </c>
      <c r="S45" s="31" t="n">
        <v>18</v>
      </c>
      <c r="T45" s="29" t="n">
        <v>10.13</v>
      </c>
      <c r="U45" s="28">
        <f>(1-ABS(S45-T45)/S45)*100</f>
        <v/>
      </c>
    </row>
    <row r="46">
      <c r="B46" s="24" t="inlineStr">
        <is>
          <t>10/22</t>
        </is>
      </c>
      <c r="C46" s="25" t="n">
        <v>2942</v>
      </c>
      <c r="D46" s="26" t="n">
        <v>2.69</v>
      </c>
      <c r="E46" s="27" t="n">
        <v>2.335</v>
      </c>
      <c r="F46" s="28">
        <f>(1-ABS(D46-E46)/D46)*100</f>
        <v/>
      </c>
      <c r="G46" s="27" t="n">
        <v>0.154</v>
      </c>
      <c r="H46" s="27" t="n">
        <v>0.149</v>
      </c>
      <c r="I46" s="28">
        <f>(1-ABS(G46-H46)/G46)*100</f>
        <v/>
      </c>
      <c r="J46" s="26" t="n">
        <v>1.08</v>
      </c>
      <c r="K46" s="27" t="n">
        <v>0.951</v>
      </c>
      <c r="L46" s="28">
        <f>(1-ABS(J46-K46)/J46)*100</f>
        <v/>
      </c>
      <c r="M46" s="26" t="n">
        <v>0.29</v>
      </c>
      <c r="N46" s="27" t="n">
        <v>0.276</v>
      </c>
      <c r="O46" s="28">
        <f>(1-ABS(M46-N46)/M46)*100</f>
        <v/>
      </c>
      <c r="P46" s="29" t="n">
        <v>0.42</v>
      </c>
      <c r="Q46" s="30" t="n">
        <v>0.628</v>
      </c>
      <c r="R46" s="28">
        <f>(1-ABS(P46-Q46)/P46)*100</f>
        <v/>
      </c>
      <c r="S46" s="31" t="n">
        <v>15</v>
      </c>
      <c r="T46" s="29" t="n">
        <v>11</v>
      </c>
      <c r="U46" s="28">
        <f>(1-ABS(S46-T46)/S46)*100</f>
        <v/>
      </c>
    </row>
    <row r="47">
      <c r="B47" s="24" t="inlineStr">
        <is>
          <t>10/23</t>
        </is>
      </c>
      <c r="C47" s="25" t="n">
        <v>6099</v>
      </c>
      <c r="D47" s="26" t="n">
        <v>2.68</v>
      </c>
      <c r="E47" s="27" t="n">
        <v>2.562</v>
      </c>
      <c r="F47" s="28">
        <f>(1-ABS(D47-E47)/D47)*100</f>
        <v/>
      </c>
      <c r="G47" s="27" t="n">
        <v>0.16</v>
      </c>
      <c r="H47" s="27" t="n">
        <v>0.162</v>
      </c>
      <c r="I47" s="28">
        <f>(1-ABS(G47-H47)/G47)*100</f>
        <v/>
      </c>
      <c r="J47" s="26" t="n">
        <v>0.98</v>
      </c>
      <c r="K47" s="27" t="n">
        <v>1.07</v>
      </c>
      <c r="L47" s="28">
        <f>(1-ABS(J47-K47)/J47)*100</f>
        <v/>
      </c>
      <c r="M47" s="26" t="n">
        <v>0.3</v>
      </c>
      <c r="N47" s="27" t="n">
        <v>0.264</v>
      </c>
      <c r="O47" s="28">
        <f>(1-ABS(M47-N47)/M47)*100</f>
        <v/>
      </c>
      <c r="P47" s="29" t="n">
        <v>0.62</v>
      </c>
      <c r="Q47" s="30" t="n">
        <v>0.64</v>
      </c>
      <c r="R47" s="28">
        <f>(1-ABS(P47-Q47)/P47)*100</f>
        <v/>
      </c>
      <c r="S47" s="31" t="n">
        <v>17</v>
      </c>
      <c r="T47" s="29" t="n">
        <v>13.35</v>
      </c>
      <c r="U47" s="28">
        <f>(1-ABS(S47-T47)/S47)*100</f>
        <v/>
      </c>
    </row>
    <row r="48">
      <c r="B48" s="24" t="inlineStr">
        <is>
          <t>10/24</t>
        </is>
      </c>
      <c r="C48" s="25" t="n">
        <v>2937</v>
      </c>
      <c r="D48" s="26" t="n">
        <v>2.65</v>
      </c>
      <c r="E48" s="27" t="n">
        <v>2.6</v>
      </c>
      <c r="F48" s="28">
        <f>(1-ABS(D48-E48)/D48)*100</f>
        <v/>
      </c>
      <c r="G48" s="27" t="n">
        <v>0.159</v>
      </c>
      <c r="H48" s="27" t="n">
        <v>0.165</v>
      </c>
      <c r="I48" s="28">
        <f>(1-ABS(G48-H48)/G48)*100</f>
        <v/>
      </c>
      <c r="J48" s="26" t="n">
        <v>0.97</v>
      </c>
      <c r="K48" s="27" t="n">
        <v>1.077</v>
      </c>
      <c r="L48" s="28">
        <f>(1-ABS(J48-K48)/J48)*100</f>
        <v/>
      </c>
      <c r="M48" s="26" t="n">
        <v>0.29</v>
      </c>
      <c r="N48" s="27" t="n">
        <v>0.262</v>
      </c>
      <c r="O48" s="28">
        <f>(1-ABS(M48-N48)/M48)*100</f>
        <v/>
      </c>
      <c r="P48" s="29" t="n">
        <v>0.53</v>
      </c>
      <c r="Q48" s="30" t="n">
        <v>0.647</v>
      </c>
      <c r="R48" s="28">
        <f>(1-ABS(P48-Q48)/P48)*100</f>
        <v/>
      </c>
      <c r="S48" s="31" t="n">
        <v>15</v>
      </c>
      <c r="T48" s="29" t="n">
        <v>13.47</v>
      </c>
      <c r="U48" s="28">
        <f>(1-ABS(S48-T48)/S48)*100</f>
        <v/>
      </c>
    </row>
    <row r="49">
      <c r="B49" s="24" t="inlineStr">
        <is>
          <t>10/25</t>
        </is>
      </c>
      <c r="C49" s="25" t="n">
        <v>2621</v>
      </c>
      <c r="D49" s="26" t="n">
        <v>2.62</v>
      </c>
      <c r="E49" s="27" t="n">
        <v>2.488</v>
      </c>
      <c r="F49" s="28">
        <f>(1-ABS(D49-E49)/D49)*100</f>
        <v/>
      </c>
      <c r="G49" s="27" t="n">
        <v>0.157</v>
      </c>
      <c r="H49" s="27" t="n">
        <v>0.16</v>
      </c>
      <c r="I49" s="28">
        <f>(1-ABS(G49-H49)/G49)*100</f>
        <v/>
      </c>
      <c r="J49" s="26" t="n">
        <v>1</v>
      </c>
      <c r="K49" s="27" t="n">
        <v>1.006</v>
      </c>
      <c r="L49" s="28">
        <f>(1-ABS(J49-K49)/J49)*100</f>
        <v/>
      </c>
      <c r="M49" s="26" t="n">
        <v>0.28</v>
      </c>
      <c r="N49" s="27" t="n">
        <v>0.273</v>
      </c>
      <c r="O49" s="28">
        <f>(1-ABS(M49-N49)/M49)*100</f>
        <v/>
      </c>
      <c r="P49" s="29" t="n">
        <v>0.43</v>
      </c>
      <c r="Q49" s="30" t="n">
        <v>0.656</v>
      </c>
      <c r="R49" s="28">
        <f>(1-ABS(P49-Q49)/P49)*100</f>
        <v/>
      </c>
      <c r="S49" s="31" t="n">
        <v>15</v>
      </c>
      <c r="T49" s="29" t="n">
        <v>12.53</v>
      </c>
      <c r="U49" s="28">
        <f>(1-ABS(S49-T49)/S49)*100</f>
        <v/>
      </c>
    </row>
    <row r="50" ht="35" customHeight="1">
      <c r="A50" s="33" t="inlineStr">
        <is>
          <t>AVG ACCURACY</t>
        </is>
      </c>
      <c r="F50" s="34">
        <f>AVERAGE(F7:F49)</f>
        <v/>
      </c>
      <c r="I50" s="34">
        <f>AVERAGE(I7:I49)</f>
        <v/>
      </c>
      <c r="L50" s="34">
        <f>AVERAGE(L7:L49)</f>
        <v/>
      </c>
      <c r="O50" s="34">
        <f>AVERAGE(O7:O49)</f>
        <v/>
      </c>
      <c r="R50" s="35">
        <f>AVERAGE(R7:R49)</f>
        <v/>
      </c>
      <c r="U50" s="35">
        <f>AVERAGE(U7:U49)</f>
        <v/>
      </c>
    </row>
    <row r="51" ht="40" customHeight="1">
      <c r="A51" s="36" t="inlineStr">
        <is>
          <t>Best result closer to 0</t>
        </is>
      </c>
      <c r="B51" s="24" t="inlineStr">
        <is>
          <t>R^2 (Coefficient of determination)</t>
        </is>
      </c>
      <c r="C51" s="37" t="n"/>
      <c r="D51" s="38">
        <f>RSQ(E7:E49, D7:D49)</f>
        <v/>
      </c>
      <c r="E51" s="39" t="n"/>
      <c r="F51" s="37" t="n"/>
      <c r="G51" s="38">
        <f>RSQ(H7:H49, G7:G49)</f>
        <v/>
      </c>
      <c r="H51" s="39" t="n"/>
      <c r="I51" s="37" t="n"/>
      <c r="J51" s="38">
        <f>RSQ(K7:K49, J7:J49)</f>
        <v/>
      </c>
      <c r="K51" s="39" t="n"/>
      <c r="L51" s="37" t="n"/>
      <c r="M51" s="38">
        <f>RSQ(N7:N49, M7:M49)</f>
        <v/>
      </c>
      <c r="N51" s="39" t="n"/>
      <c r="O51" s="37" t="n"/>
      <c r="P51" s="40">
        <f>RSQ(Q7:Q49, P7:P49)</f>
        <v/>
      </c>
      <c r="Q51" s="39" t="n"/>
      <c r="R51" s="37" t="n"/>
      <c r="S51" s="40">
        <f>RSQ(T7:T49, S7:S49)</f>
        <v/>
      </c>
      <c r="T51" s="39" t="n"/>
      <c r="U51" s="37" t="n"/>
    </row>
    <row r="52" ht="39" customHeight="1">
      <c r="A52" s="36" t="inlineStr">
        <is>
          <t>Best result closer to 1</t>
        </is>
      </c>
      <c r="B52" s="24" t="inlineStr">
        <is>
          <t>MAE (Average size of prediction errors)</t>
        </is>
      </c>
      <c r="C52" s="37" t="n"/>
      <c r="D52" s="38">
        <f>SUMPRODUCT(ABS(D7:D49-E7:E49))/COUNT(D7:D49)</f>
        <v/>
      </c>
      <c r="E52" s="39" t="n"/>
      <c r="F52" s="37" t="n"/>
      <c r="G52" s="38">
        <f>SUMPRODUCT(ABS(G7:G49-H7:H49))/COUNT(G7:G49)</f>
        <v/>
      </c>
      <c r="H52" s="39" t="n"/>
      <c r="I52" s="37" t="n"/>
      <c r="J52" s="38">
        <f>SUMPRODUCT(ABS(J7:J49-K7:K49))/COUNT(J7:J49)</f>
        <v/>
      </c>
      <c r="K52" s="39" t="n"/>
      <c r="L52" s="37" t="n"/>
      <c r="M52" s="38">
        <f>SUMPRODUCT(ABS(M7:M49-N7:N49))/COUNT(M7:M49)</f>
        <v/>
      </c>
      <c r="N52" s="39" t="n"/>
      <c r="O52" s="37" t="n"/>
      <c r="P52" s="40">
        <f>SUMPRODUCT(ABS(P7:P49-Q7:Q49))/COUNT(P7:P49)</f>
        <v/>
      </c>
      <c r="Q52" s="39" t="n"/>
      <c r="R52" s="37" t="n"/>
      <c r="S52" s="40">
        <f>SUMPRODUCT(ABS(S7:S49-T7:T49))/COUNT(S7:S49)</f>
        <v/>
      </c>
      <c r="T52" s="39" t="n"/>
      <c r="U52" s="37" t="n"/>
    </row>
    <row r="53" ht="66" customHeight="1">
      <c r="A53" s="36" t="inlineStr">
        <is>
          <t>Best result closer to 1</t>
        </is>
      </c>
      <c r="B53" s="24" t="inlineStr">
        <is>
          <t>RMSE (Prediction error, with larger mistakes penalised more)</t>
        </is>
      </c>
      <c r="C53" s="37" t="n"/>
      <c r="D53" s="38">
        <f>SQRT(SUMXMY2(D7:D49, E7:E49)/COUNT(D7:D49))</f>
        <v/>
      </c>
      <c r="E53" s="39" t="n"/>
      <c r="F53" s="37" t="n"/>
      <c r="G53" s="38">
        <f>SQRT(SUMXMY2(G7:G49, H7:H49)/COUNT(G7:G49))</f>
        <v/>
      </c>
      <c r="H53" s="39" t="n"/>
      <c r="I53" s="37" t="n"/>
      <c r="J53" s="38">
        <f>SQRT(SUMXMY2(J7:J49, K7:K49)/COUNT(J7:J49))</f>
        <v/>
      </c>
      <c r="K53" s="39" t="n"/>
      <c r="L53" s="37" t="n"/>
      <c r="M53" s="38">
        <f>SQRT(SUMXMY2(M7:M49, N7:N49)/COUNT(M7:M49))</f>
        <v/>
      </c>
      <c r="N53" s="39" t="n"/>
      <c r="O53" s="37" t="n"/>
      <c r="P53" s="40">
        <f>SQRT(SUMXMY2(P7:P49, Q7:Q49)/COUNT(P7:P49))</f>
        <v/>
      </c>
      <c r="Q53" s="39" t="n"/>
      <c r="R53" s="37" t="n"/>
      <c r="S53" s="40">
        <f>SQRT(SUMXMY2(S7:S49, T7:T49)/COUNT(S7:S49))</f>
        <v/>
      </c>
      <c r="T53" s="39" t="n"/>
      <c r="U53" s="37" t="n"/>
    </row>
  </sheetData>
  <mergeCells count="31">
    <mergeCell ref="P52:R52"/>
    <mergeCell ref="B4:O4"/>
    <mergeCell ref="G53:I53"/>
    <mergeCell ref="D53:F53"/>
    <mergeCell ref="B52:C52"/>
    <mergeCell ref="S53:U53"/>
    <mergeCell ref="G5:I5"/>
    <mergeCell ref="P53:R53"/>
    <mergeCell ref="G51:I51"/>
    <mergeCell ref="B53:C53"/>
    <mergeCell ref="D51:F51"/>
    <mergeCell ref="J51:L51"/>
    <mergeCell ref="S5:U5"/>
    <mergeCell ref="D5:F5"/>
    <mergeCell ref="P5:R5"/>
    <mergeCell ref="J52:L52"/>
    <mergeCell ref="S51:U51"/>
    <mergeCell ref="M53:O53"/>
    <mergeCell ref="G52:I52"/>
    <mergeCell ref="P51:R51"/>
    <mergeCell ref="B5:B6"/>
    <mergeCell ref="P4:U4"/>
    <mergeCell ref="J5:L5"/>
    <mergeCell ref="B51:C51"/>
    <mergeCell ref="M52:O52"/>
    <mergeCell ref="M5:O5"/>
    <mergeCell ref="S52:U52"/>
    <mergeCell ref="C5:C6"/>
    <mergeCell ref="D52:F52"/>
    <mergeCell ref="M51:O51"/>
    <mergeCell ref="J53:L53"/>
  </mergeCells>
  <conditionalFormatting sqref="F7:F49 I7:I49 L7:L49 O7:O49 R7:R49 U7:U49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4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06/01</t>
        </is>
      </c>
      <c r="C7" s="25" t="n">
        <v>5900</v>
      </c>
      <c r="D7" s="26" t="n">
        <v>2.51</v>
      </c>
      <c r="E7" s="27" t="n">
        <v>2.468</v>
      </c>
      <c r="F7" s="28">
        <f>(1-ABS(D7-E7)/D7)*100</f>
        <v/>
      </c>
      <c r="G7" s="27" t="n">
        <v>0.176</v>
      </c>
      <c r="H7" s="27" t="n">
        <v>0.159</v>
      </c>
      <c r="I7" s="28">
        <f>(1-ABS(G7-H7)/G7)*100</f>
        <v/>
      </c>
      <c r="J7" s="26" t="n">
        <v>0.96</v>
      </c>
      <c r="K7" s="27" t="n">
        <v>0.998</v>
      </c>
      <c r="L7" s="28">
        <f>(1-ABS(J7-K7)/J7)*100</f>
        <v/>
      </c>
      <c r="M7" s="26" t="n">
        <v>0.3</v>
      </c>
      <c r="N7" s="27" t="n">
        <v>0.267</v>
      </c>
      <c r="O7" s="28">
        <f>(1-ABS(M7-N7)/M7)*100</f>
        <v/>
      </c>
      <c r="P7" s="29" t="n">
        <v>0.42</v>
      </c>
      <c r="Q7" s="30" t="n">
        <v>0.641</v>
      </c>
      <c r="R7" s="28">
        <f>(1-ABS(P7-Q7)/P7)*100</f>
        <v/>
      </c>
      <c r="S7" s="31" t="n">
        <v>16</v>
      </c>
      <c r="T7" s="29" t="n">
        <v>12.6</v>
      </c>
      <c r="U7" s="28">
        <f>(1-ABS(S7-T7)/S7)*100</f>
        <v/>
      </c>
    </row>
    <row r="8">
      <c r="B8" s="24" t="inlineStr">
        <is>
          <t>06/02</t>
        </is>
      </c>
      <c r="C8" s="25" t="n">
        <v>5469</v>
      </c>
      <c r="D8" s="26" t="n">
        <v>2.55</v>
      </c>
      <c r="E8" s="27" t="n">
        <v>2.544</v>
      </c>
      <c r="F8" s="28">
        <f>(1-ABS(D8-E8)/D8)*100</f>
        <v/>
      </c>
      <c r="G8" s="27" t="n">
        <v>0.165</v>
      </c>
      <c r="H8" s="27" t="n">
        <v>0.163</v>
      </c>
      <c r="I8" s="28">
        <f>(1-ABS(G8-H8)/G8)*100</f>
        <v/>
      </c>
      <c r="J8" s="26" t="n">
        <v>0.9</v>
      </c>
      <c r="K8" s="27" t="n">
        <v>1.053</v>
      </c>
      <c r="L8" s="28">
        <f>(1-ABS(J8-K8)/J8)*100</f>
        <v/>
      </c>
      <c r="M8" s="26" t="n">
        <v>0.26</v>
      </c>
      <c r="N8" s="27" t="n">
        <v>0.246</v>
      </c>
      <c r="O8" s="28">
        <f>(1-ABS(M8-N8)/M8)*100</f>
        <v/>
      </c>
      <c r="P8" s="29" t="n">
        <v>0.66</v>
      </c>
      <c r="Q8" s="30" t="n">
        <v>0.625</v>
      </c>
      <c r="R8" s="28">
        <f>(1-ABS(P8-Q8)/P8)*100</f>
        <v/>
      </c>
      <c r="S8" s="31" t="n">
        <v>15</v>
      </c>
      <c r="T8" s="29" t="n">
        <v>13.8</v>
      </c>
      <c r="U8" s="28">
        <f>(1-ABS(S8-T8)/S8)*100</f>
        <v/>
      </c>
    </row>
    <row r="9">
      <c r="B9" s="24" t="inlineStr">
        <is>
          <t>06/03</t>
        </is>
      </c>
      <c r="C9" s="25" t="n">
        <v>5375</v>
      </c>
      <c r="D9" s="26" t="n">
        <v>2.65</v>
      </c>
      <c r="E9" s="27" t="n">
        <v>2.413</v>
      </c>
      <c r="F9" s="28">
        <f>(1-ABS(D9-E9)/D9)*100</f>
        <v/>
      </c>
      <c r="G9" s="27" t="n">
        <v>0.169</v>
      </c>
      <c r="H9" s="27" t="n">
        <v>0.154</v>
      </c>
      <c r="I9" s="28">
        <f>(1-ABS(G9-H9)/G9)*100</f>
        <v/>
      </c>
      <c r="J9" s="26" t="n">
        <v>0.93</v>
      </c>
      <c r="K9" s="27" t="n">
        <v>0.97</v>
      </c>
      <c r="L9" s="28">
        <f>(1-ABS(J9-K9)/J9)*100</f>
        <v/>
      </c>
      <c r="M9" s="26" t="n">
        <v>0.3</v>
      </c>
      <c r="N9" s="27" t="n">
        <v>0.248</v>
      </c>
      <c r="O9" s="28">
        <f>(1-ABS(M9-N9)/M9)*100</f>
        <v/>
      </c>
      <c r="P9" s="29" t="n">
        <v>0.48</v>
      </c>
      <c r="Q9" s="30" t="n">
        <v>0.619</v>
      </c>
      <c r="R9" s="28">
        <f>(1-ABS(P9-Q9)/P9)*100</f>
        <v/>
      </c>
      <c r="S9" s="31" t="n">
        <v>16</v>
      </c>
      <c r="T9" s="29" t="n">
        <v>12.16</v>
      </c>
      <c r="U9" s="28">
        <f>(1-ABS(S9-T9)/S9)*100</f>
        <v/>
      </c>
    </row>
    <row r="10">
      <c r="B10" s="24" t="inlineStr">
        <is>
          <t>06/04</t>
        </is>
      </c>
      <c r="C10" s="25" t="n">
        <v>4905</v>
      </c>
      <c r="D10" s="26" t="n">
        <v>2.52</v>
      </c>
      <c r="E10" s="27" t="n">
        <v>2.241</v>
      </c>
      <c r="F10" s="28">
        <f>(1-ABS(D10-E10)/D10)*100</f>
        <v/>
      </c>
      <c r="G10" s="27" t="n">
        <v>0.174</v>
      </c>
      <c r="H10" s="27" t="n">
        <v>0.143</v>
      </c>
      <c r="I10" s="28">
        <f>(1-ABS(G10-H10)/G10)*100</f>
        <v/>
      </c>
      <c r="J10" s="26" t="n">
        <v>0.9399999999999999</v>
      </c>
      <c r="K10" s="27" t="n">
        <v>0.888</v>
      </c>
      <c r="L10" s="28">
        <f>(1-ABS(J10-K10)/J10)*100</f>
        <v/>
      </c>
      <c r="M10" s="26" t="n">
        <v>0.3</v>
      </c>
      <c r="N10" s="27" t="n">
        <v>0.247</v>
      </c>
      <c r="O10" s="28">
        <f>(1-ABS(M10-N10)/M10)*100</f>
        <v/>
      </c>
      <c r="P10" s="29" t="n">
        <v>0.73</v>
      </c>
      <c r="Q10" s="30" t="n">
        <v>0.58</v>
      </c>
      <c r="R10" s="28">
        <f>(1-ABS(P10-Q10)/P10)*100</f>
        <v/>
      </c>
      <c r="S10" s="31" t="n">
        <v>16</v>
      </c>
      <c r="T10" s="29" t="n">
        <v>10.81</v>
      </c>
      <c r="U10" s="28">
        <f>(1-ABS(S10-T10)/S10)*100</f>
        <v/>
      </c>
    </row>
    <row r="11">
      <c r="B11" s="24" t="inlineStr">
        <is>
          <t>06/05</t>
        </is>
      </c>
      <c r="C11" s="25" t="n">
        <v>5609</v>
      </c>
      <c r="D11" s="26" t="n">
        <v>2.6</v>
      </c>
      <c r="E11" s="27" t="n">
        <v>2.342</v>
      </c>
      <c r="F11" s="28">
        <f>(1-ABS(D11-E11)/D11)*100</f>
        <v/>
      </c>
      <c r="G11" s="27" t="n">
        <v>0.178</v>
      </c>
      <c r="H11" s="27" t="n">
        <v>0.151</v>
      </c>
      <c r="I11" s="28">
        <f>(1-ABS(G11-H11)/G11)*100</f>
        <v/>
      </c>
      <c r="J11" s="26" t="n">
        <v>0.93</v>
      </c>
      <c r="K11" s="27" t="n">
        <v>0.947</v>
      </c>
      <c r="L11" s="28">
        <f>(1-ABS(J11-K11)/J11)*100</f>
        <v/>
      </c>
      <c r="M11" s="26" t="n">
        <v>0.33</v>
      </c>
      <c r="N11" s="27" t="n">
        <v>0.258</v>
      </c>
      <c r="O11" s="28">
        <f>(1-ABS(M11-N11)/M11)*100</f>
        <v/>
      </c>
      <c r="P11" s="29" t="n">
        <v>0.7</v>
      </c>
      <c r="Q11" s="30" t="n">
        <v>0.613</v>
      </c>
      <c r="R11" s="28">
        <f>(1-ABS(P11-Q11)/P11)*100</f>
        <v/>
      </c>
      <c r="S11" s="31" t="n">
        <v>16</v>
      </c>
      <c r="T11" s="29" t="n">
        <v>11.44</v>
      </c>
      <c r="U11" s="28">
        <f>(1-ABS(S11-T11)/S11)*100</f>
        <v/>
      </c>
    </row>
    <row r="12">
      <c r="B12" s="24" t="inlineStr">
        <is>
          <t>06/06</t>
        </is>
      </c>
      <c r="C12" s="25" t="n">
        <v>6247</v>
      </c>
      <c r="D12" s="26" t="n">
        <v>2.65</v>
      </c>
      <c r="E12" s="27" t="n">
        <v>2.495</v>
      </c>
      <c r="F12" s="28">
        <f>(1-ABS(D12-E12)/D12)*100</f>
        <v/>
      </c>
      <c r="G12" s="27" t="n">
        <v>0.171</v>
      </c>
      <c r="H12" s="27" t="n">
        <v>0.163</v>
      </c>
      <c r="I12" s="28">
        <f>(1-ABS(G12-H12)/G12)*100</f>
        <v/>
      </c>
      <c r="J12" s="26" t="n">
        <v>0.83</v>
      </c>
      <c r="K12" s="27" t="n">
        <v>1.012</v>
      </c>
      <c r="L12" s="28">
        <f>(1-ABS(J12-K12)/J12)*100</f>
        <v/>
      </c>
      <c r="M12" s="26" t="n">
        <v>0.28</v>
      </c>
      <c r="N12" s="27" t="n">
        <v>0.294</v>
      </c>
      <c r="O12" s="28">
        <f>(1-ABS(M12-N12)/M12)*100</f>
        <v/>
      </c>
      <c r="P12" s="29" t="n">
        <v>0.41</v>
      </c>
      <c r="Q12" s="30" t="n">
        <v>0.651</v>
      </c>
      <c r="R12" s="28">
        <f>(1-ABS(P12-Q12)/P12)*100</f>
        <v/>
      </c>
      <c r="S12" s="31" t="n">
        <v>16</v>
      </c>
      <c r="T12" s="29" t="n">
        <v>12.53</v>
      </c>
      <c r="U12" s="28">
        <f>(1-ABS(S12-T12)/S12)*100</f>
        <v/>
      </c>
    </row>
    <row r="13">
      <c r="B13" s="24" t="inlineStr">
        <is>
          <t>06/07</t>
        </is>
      </c>
      <c r="C13" s="25" t="n">
        <v>6615</v>
      </c>
      <c r="D13" s="26" t="n">
        <v>2.55</v>
      </c>
      <c r="E13" s="27" t="n">
        <v>2.503</v>
      </c>
      <c r="F13" s="28">
        <f>(1-ABS(D13-E13)/D13)*100</f>
        <v/>
      </c>
      <c r="G13" s="27" t="n">
        <v>0.179</v>
      </c>
      <c r="H13" s="27" t="n">
        <v>0.163</v>
      </c>
      <c r="I13" s="28">
        <f>(1-ABS(G13-H13)/G13)*100</f>
        <v/>
      </c>
      <c r="J13" s="26" t="n">
        <v>0.98</v>
      </c>
      <c r="K13" s="27" t="n">
        <v>1.011</v>
      </c>
      <c r="L13" s="28">
        <f>(1-ABS(J13-K13)/J13)*100</f>
        <v/>
      </c>
      <c r="M13" s="26" t="n">
        <v>0.31</v>
      </c>
      <c r="N13" s="27" t="n">
        <v>0.281</v>
      </c>
      <c r="O13" s="28">
        <f>(1-ABS(M13-N13)/M13)*100</f>
        <v/>
      </c>
      <c r="P13" s="29" t="n">
        <v>0.4</v>
      </c>
      <c r="Q13" s="30" t="n">
        <v>0.659</v>
      </c>
      <c r="R13" s="28">
        <f>(1-ABS(P13-Q13)/P13)*100</f>
        <v/>
      </c>
      <c r="S13" s="31" t="n">
        <v>17</v>
      </c>
      <c r="T13" s="29" t="n">
        <v>12.54</v>
      </c>
      <c r="U13" s="28">
        <f>(1-ABS(S13-T13)/S13)*100</f>
        <v/>
      </c>
    </row>
    <row r="14">
      <c r="B14" s="24" t="inlineStr">
        <is>
          <t>06/08</t>
        </is>
      </c>
      <c r="C14" s="25" t="n">
        <v>5401</v>
      </c>
      <c r="D14" s="26" t="n">
        <v>2.55</v>
      </c>
      <c r="E14" s="27" t="n">
        <v>2.41</v>
      </c>
      <c r="F14" s="28">
        <f>(1-ABS(D14-E14)/D14)*100</f>
        <v/>
      </c>
      <c r="G14" s="27" t="n">
        <v>0.174</v>
      </c>
      <c r="H14" s="27" t="n">
        <v>0.155</v>
      </c>
      <c r="I14" s="28">
        <f>(1-ABS(G14-H14)/G14)*100</f>
        <v/>
      </c>
      <c r="J14" s="26" t="n">
        <v>0.95</v>
      </c>
      <c r="K14" s="27" t="n">
        <v>0.968</v>
      </c>
      <c r="L14" s="28">
        <f>(1-ABS(J14-K14)/J14)*100</f>
        <v/>
      </c>
      <c r="M14" s="26" t="n">
        <v>0.29</v>
      </c>
      <c r="N14" s="27" t="n">
        <v>0.272</v>
      </c>
      <c r="O14" s="28">
        <f>(1-ABS(M14-N14)/M14)*100</f>
        <v/>
      </c>
      <c r="P14" s="29" t="n">
        <v>0.45</v>
      </c>
      <c r="Q14" s="30" t="n">
        <v>0.641</v>
      </c>
      <c r="R14" s="28">
        <f>(1-ABS(P14-Q14)/P14)*100</f>
        <v/>
      </c>
      <c r="S14" s="31" t="n">
        <v>16</v>
      </c>
      <c r="T14" s="29" t="n">
        <v>11.83</v>
      </c>
      <c r="U14" s="28">
        <f>(1-ABS(S14-T14)/S14)*100</f>
        <v/>
      </c>
    </row>
    <row r="15">
      <c r="B15" s="24" t="inlineStr">
        <is>
          <t>06/09</t>
        </is>
      </c>
      <c r="C15" s="25" t="n">
        <v>4820</v>
      </c>
      <c r="D15" s="26" t="n">
        <v>2.63</v>
      </c>
      <c r="E15" s="27" t="n">
        <v>2.504</v>
      </c>
      <c r="F15" s="28">
        <f>(1-ABS(D15-E15)/D15)*100</f>
        <v/>
      </c>
      <c r="G15" s="27" t="n">
        <v>0.168</v>
      </c>
      <c r="H15" s="27" t="n">
        <v>0.159</v>
      </c>
      <c r="I15" s="28">
        <f>(1-ABS(G15-H15)/G15)*100</f>
        <v/>
      </c>
      <c r="J15" s="26" t="n">
        <v>0.87</v>
      </c>
      <c r="K15" s="27" t="n">
        <v>1.025</v>
      </c>
      <c r="L15" s="28">
        <f>(1-ABS(J15-K15)/J15)*100</f>
        <v/>
      </c>
      <c r="M15" s="26" t="n">
        <v>0.29</v>
      </c>
      <c r="N15" s="27" t="n">
        <v>0.27</v>
      </c>
      <c r="O15" s="28">
        <f>(1-ABS(M15-N15)/M15)*100</f>
        <v/>
      </c>
      <c r="P15" s="29" t="n">
        <v>0.5</v>
      </c>
      <c r="Q15" s="30" t="n">
        <v>0.655</v>
      </c>
      <c r="R15" s="28">
        <f>(1-ABS(P15-Q15)/P15)*100</f>
        <v/>
      </c>
      <c r="S15" s="31" t="n">
        <v>17</v>
      </c>
      <c r="T15" s="29" t="n">
        <v>12.8</v>
      </c>
      <c r="U15" s="28">
        <f>(1-ABS(S15-T15)/S15)*100</f>
        <v/>
      </c>
    </row>
    <row r="16">
      <c r="B16" s="24" t="inlineStr">
        <is>
          <t>06/10</t>
        </is>
      </c>
      <c r="C16" s="25" t="n">
        <v>4428</v>
      </c>
      <c r="D16" s="26" t="n">
        <v>2.65</v>
      </c>
      <c r="E16" s="27" t="n">
        <v>2.472</v>
      </c>
      <c r="F16" s="28">
        <f>(1-ABS(D16-E16)/D16)*100</f>
        <v/>
      </c>
      <c r="G16" s="27" t="n">
        <v>0.17</v>
      </c>
      <c r="H16" s="27" t="n">
        <v>0.16</v>
      </c>
      <c r="I16" s="28">
        <f>(1-ABS(G16-H16)/G16)*100</f>
        <v/>
      </c>
      <c r="J16" s="26" t="n">
        <v>0.8</v>
      </c>
      <c r="K16" s="27" t="n">
        <v>0.99</v>
      </c>
      <c r="L16" s="28">
        <f>(1-ABS(J16-K16)/J16)*100</f>
        <v/>
      </c>
      <c r="M16" s="26" t="n">
        <v>0.3</v>
      </c>
      <c r="N16" s="27" t="n">
        <v>0.27</v>
      </c>
      <c r="O16" s="28">
        <f>(1-ABS(M16-N16)/M16)*100</f>
        <v/>
      </c>
      <c r="P16" s="29" t="n">
        <v>0.51</v>
      </c>
      <c r="Q16" s="30" t="n">
        <v>0.662</v>
      </c>
      <c r="R16" s="28">
        <f>(1-ABS(P16-Q16)/P16)*100</f>
        <v/>
      </c>
      <c r="S16" s="31" t="n">
        <v>18</v>
      </c>
      <c r="T16" s="29" t="n">
        <v>12.05</v>
      </c>
      <c r="U16" s="28">
        <f>(1-ABS(S16-T16)/S16)*100</f>
        <v/>
      </c>
    </row>
    <row r="17" ht="40" customHeight="1">
      <c r="A17" s="32" t="inlineStr">
        <is>
          <t>Best result closer to 1</t>
        </is>
      </c>
      <c r="B17" s="24" t="inlineStr">
        <is>
          <t>06/11</t>
        </is>
      </c>
      <c r="C17" s="25" t="n">
        <v>4169</v>
      </c>
      <c r="D17" s="26" t="n">
        <v>2.55</v>
      </c>
      <c r="E17" s="27" t="n">
        <v>2.523</v>
      </c>
      <c r="F17" s="28">
        <f>(1-ABS(D17-E17)/D17)*100</f>
        <v/>
      </c>
      <c r="G17" s="27" t="n">
        <v>0.167</v>
      </c>
      <c r="H17" s="27" t="n">
        <v>0.164</v>
      </c>
      <c r="I17" s="28">
        <f>(1-ABS(G17-H17)/G17)*100</f>
        <v/>
      </c>
      <c r="J17" s="26" t="n">
        <v>0.82</v>
      </c>
      <c r="K17" s="27" t="n">
        <v>1.022</v>
      </c>
      <c r="L17" s="28">
        <f>(1-ABS(J17-K17)/J17)*100</f>
        <v/>
      </c>
      <c r="M17" s="26" t="n">
        <v>0.25</v>
      </c>
      <c r="N17" s="27" t="n">
        <v>0.278</v>
      </c>
      <c r="O17" s="28">
        <f>(1-ABS(M17-N17)/M17)*100</f>
        <v/>
      </c>
      <c r="P17" s="29" t="n">
        <v>0.5600000000000001</v>
      </c>
      <c r="Q17" s="30" t="n">
        <v>0.654</v>
      </c>
      <c r="R17" s="28">
        <f>(1-ABS(P17-Q17)/P17)*100</f>
        <v/>
      </c>
      <c r="S17" s="31" t="n">
        <v>18</v>
      </c>
      <c r="T17" s="29" t="n">
        <v>13.19</v>
      </c>
      <c r="U17" s="28">
        <f>(1-ABS(S17-T17)/S17)*100</f>
        <v/>
      </c>
    </row>
    <row r="18" ht="39" customHeight="1">
      <c r="A18" s="32" t="inlineStr">
        <is>
          <t>Best result closer to 0</t>
        </is>
      </c>
      <c r="B18" s="24" t="inlineStr">
        <is>
          <t>06/12</t>
        </is>
      </c>
      <c r="C18" s="25" t="n">
        <v>4910</v>
      </c>
      <c r="D18" s="26" t="n">
        <v>2.5</v>
      </c>
      <c r="E18" s="27" t="n">
        <v>2.539</v>
      </c>
      <c r="F18" s="28">
        <f>(1-ABS(D18-E18)/D18)*100</f>
        <v/>
      </c>
      <c r="G18" s="27" t="n">
        <v>0.162</v>
      </c>
      <c r="H18" s="27" t="n">
        <v>0.164</v>
      </c>
      <c r="I18" s="28">
        <f>(1-ABS(G18-H18)/G18)*100</f>
        <v/>
      </c>
      <c r="J18" s="26" t="n">
        <v>0.84</v>
      </c>
      <c r="K18" s="27" t="n">
        <v>1.041</v>
      </c>
      <c r="L18" s="28">
        <f>(1-ABS(J18-K18)/J18)*100</f>
        <v/>
      </c>
      <c r="M18" s="26" t="n">
        <v>0.25</v>
      </c>
      <c r="N18" s="27" t="n">
        <v>0.253</v>
      </c>
      <c r="O18" s="28">
        <f>(1-ABS(M18-N18)/M18)*100</f>
        <v/>
      </c>
      <c r="P18" s="29" t="n">
        <v>0.54</v>
      </c>
      <c r="Q18" s="30" t="n">
        <v>0.633</v>
      </c>
      <c r="R18" s="28">
        <f>(1-ABS(P18-Q18)/P18)*100</f>
        <v/>
      </c>
      <c r="S18" s="31" t="n">
        <v>18</v>
      </c>
      <c r="T18" s="29" t="n">
        <v>14.05</v>
      </c>
      <c r="U18" s="28">
        <f>(1-ABS(S18-T18)/S18)*100</f>
        <v/>
      </c>
    </row>
    <row r="19" ht="66" customHeight="1">
      <c r="A19" s="32" t="inlineStr">
        <is>
          <t>Best result closer to 1</t>
        </is>
      </c>
      <c r="B19" s="24" t="inlineStr">
        <is>
          <t>06/16</t>
        </is>
      </c>
      <c r="C19" s="25" t="n">
        <v>5419</v>
      </c>
      <c r="D19" s="26" t="n">
        <v>2.56</v>
      </c>
      <c r="E19" s="27" t="n">
        <v>2.504</v>
      </c>
      <c r="F19" s="28">
        <f>(1-ABS(D19-E19)/D19)*100</f>
        <v/>
      </c>
      <c r="G19" s="27" t="n">
        <v>0.163</v>
      </c>
      <c r="H19" s="27" t="n">
        <v>0.162</v>
      </c>
      <c r="I19" s="28">
        <f>(1-ABS(G19-H19)/G19)*100</f>
        <v/>
      </c>
      <c r="J19" s="26" t="n">
        <v>0.8100000000000001</v>
      </c>
      <c r="K19" s="27" t="n">
        <v>1.001</v>
      </c>
      <c r="L19" s="28">
        <f>(1-ABS(J19-K19)/J19)*100</f>
        <v/>
      </c>
      <c r="M19" s="26" t="n">
        <v>0.25</v>
      </c>
      <c r="N19" s="27" t="n">
        <v>0.272</v>
      </c>
      <c r="O19" s="28">
        <f>(1-ABS(M19-N19)/M19)*100</f>
        <v/>
      </c>
      <c r="P19" s="29" t="n">
        <v>0.54</v>
      </c>
      <c r="Q19" s="30" t="n">
        <v>0.651</v>
      </c>
      <c r="R19" s="28">
        <f>(1-ABS(P19-Q19)/P19)*100</f>
        <v/>
      </c>
      <c r="S19" s="31" t="n">
        <v>18</v>
      </c>
      <c r="T19" s="29" t="n">
        <v>13.25</v>
      </c>
      <c r="U19" s="28">
        <f>(1-ABS(S19-T19)/S19)*100</f>
        <v/>
      </c>
    </row>
    <row r="20">
      <c r="B20" s="24" t="inlineStr">
        <is>
          <t>06/17</t>
        </is>
      </c>
      <c r="C20" s="25" t="n">
        <v>2273</v>
      </c>
      <c r="D20" s="26" t="n">
        <v>2.56</v>
      </c>
      <c r="E20" s="27" t="n">
        <v>2.26</v>
      </c>
      <c r="F20" s="28">
        <f>(1-ABS(D20-E20)/D20)*100</f>
        <v/>
      </c>
      <c r="G20" s="27" t="n">
        <v>0.169</v>
      </c>
      <c r="H20" s="27" t="n">
        <v>0.144</v>
      </c>
      <c r="I20" s="28">
        <f>(1-ABS(G20-H20)/G20)*100</f>
        <v/>
      </c>
      <c r="J20" s="26" t="n">
        <v>0.88</v>
      </c>
      <c r="K20" s="27" t="n">
        <v>0.892</v>
      </c>
      <c r="L20" s="28">
        <f>(1-ABS(J20-K20)/J20)*100</f>
        <v/>
      </c>
      <c r="M20" s="26" t="n">
        <v>0.25</v>
      </c>
      <c r="N20" s="27" t="n">
        <v>0.259</v>
      </c>
      <c r="O20" s="28">
        <f>(1-ABS(M20-N20)/M20)*100</f>
        <v/>
      </c>
      <c r="P20" s="29" t="n">
        <v>0.51</v>
      </c>
      <c r="Q20" s="30" t="n">
        <v>0.597</v>
      </c>
      <c r="R20" s="28">
        <f>(1-ABS(P20-Q20)/P20)*100</f>
        <v/>
      </c>
      <c r="S20" s="31" t="n">
        <v>18</v>
      </c>
      <c r="T20" s="29" t="n">
        <v>10.88</v>
      </c>
      <c r="U20" s="28">
        <f>(1-ABS(S20-T20)/S20)*100</f>
        <v/>
      </c>
    </row>
    <row r="21">
      <c r="B21" s="24" t="inlineStr">
        <is>
          <t>06/18</t>
        </is>
      </c>
      <c r="C21" s="25" t="n">
        <v>1627</v>
      </c>
      <c r="D21" s="26" t="n">
        <v>2.64</v>
      </c>
      <c r="E21" s="27" t="n">
        <v>2.471</v>
      </c>
      <c r="F21" s="28">
        <f>(1-ABS(D21-E21)/D21)*100</f>
        <v/>
      </c>
      <c r="G21" s="27" t="n">
        <v>0.17</v>
      </c>
      <c r="H21" s="27" t="n">
        <v>0.161</v>
      </c>
      <c r="I21" s="28">
        <f>(1-ABS(G21-H21)/G21)*100</f>
        <v/>
      </c>
      <c r="J21" s="26" t="n">
        <v>0.92</v>
      </c>
      <c r="K21" s="27" t="n">
        <v>0.989</v>
      </c>
      <c r="L21" s="28">
        <f>(1-ABS(J21-K21)/J21)*100</f>
        <v/>
      </c>
      <c r="M21" s="26" t="n">
        <v>0.3</v>
      </c>
      <c r="N21" s="27" t="n">
        <v>0.28</v>
      </c>
      <c r="O21" s="28">
        <f>(1-ABS(M21-N21)/M21)*100</f>
        <v/>
      </c>
      <c r="P21" s="29" t="n">
        <v>0.41</v>
      </c>
      <c r="Q21" s="30" t="n">
        <v>0.669</v>
      </c>
      <c r="R21" s="28">
        <f>(1-ABS(P21-Q21)/P21)*100</f>
        <v/>
      </c>
      <c r="S21" s="31" t="n">
        <v>16</v>
      </c>
      <c r="T21" s="29" t="n">
        <v>11.58</v>
      </c>
      <c r="U21" s="28">
        <f>(1-ABS(S21-T21)/S21)*100</f>
        <v/>
      </c>
    </row>
    <row r="22">
      <c r="B22" s="24" t="inlineStr">
        <is>
          <t>06/13</t>
        </is>
      </c>
      <c r="C22" s="25" t="n">
        <v>6164</v>
      </c>
      <c r="D22" s="26" t="n">
        <v>2.56</v>
      </c>
      <c r="E22" s="27" t="n">
        <v>2.442</v>
      </c>
      <c r="F22" s="28">
        <f>(1-ABS(D22-E22)/D22)*100</f>
        <v/>
      </c>
      <c r="G22" s="27" t="n">
        <v>0.155</v>
      </c>
      <c r="H22" s="27" t="n">
        <v>0.16</v>
      </c>
      <c r="I22" s="28">
        <f>(1-ABS(G22-H22)/G22)*100</f>
        <v/>
      </c>
      <c r="J22" s="26" t="n">
        <v>0.85</v>
      </c>
      <c r="K22" s="27" t="n">
        <v>0.975</v>
      </c>
      <c r="L22" s="28">
        <f>(1-ABS(J22-K22)/J22)*100</f>
        <v/>
      </c>
      <c r="M22" s="26" t="n">
        <v>0.27</v>
      </c>
      <c r="N22" s="27" t="n">
        <v>0.278</v>
      </c>
      <c r="O22" s="28">
        <f>(1-ABS(M22-N22)/M22)*100</f>
        <v/>
      </c>
      <c r="P22" s="29" t="n">
        <v>0.67</v>
      </c>
      <c r="Q22" s="30" t="n">
        <v>0.674</v>
      </c>
      <c r="R22" s="28">
        <f>(1-ABS(P22-Q22)/P22)*100</f>
        <v/>
      </c>
      <c r="S22" s="31" t="n">
        <v>13</v>
      </c>
      <c r="T22" s="29" t="n">
        <v>10.86</v>
      </c>
      <c r="U22" s="28">
        <f>(1-ABS(S22-T22)/S22)*100</f>
        <v/>
      </c>
    </row>
    <row r="23">
      <c r="B23" s="24" t="inlineStr">
        <is>
          <t>06/14</t>
        </is>
      </c>
      <c r="C23" s="25" t="n">
        <v>7792</v>
      </c>
      <c r="D23" s="26" t="n">
        <v>2.6</v>
      </c>
      <c r="E23" s="27" t="n">
        <v>2.436</v>
      </c>
      <c r="F23" s="28">
        <f>(1-ABS(D23-E23)/D23)*100</f>
        <v/>
      </c>
      <c r="G23" s="27" t="n">
        <v>0.163</v>
      </c>
      <c r="H23" s="27" t="n">
        <v>0.157</v>
      </c>
      <c r="I23" s="28">
        <f>(1-ABS(G23-H23)/G23)*100</f>
        <v/>
      </c>
      <c r="J23" s="26" t="n">
        <v>0.86</v>
      </c>
      <c r="K23" s="27" t="n">
        <v>0.982</v>
      </c>
      <c r="L23" s="28">
        <f>(1-ABS(J23-K23)/J23)*100</f>
        <v/>
      </c>
      <c r="M23" s="26" t="n">
        <v>0.28</v>
      </c>
      <c r="N23" s="27" t="n">
        <v>0.269</v>
      </c>
      <c r="O23" s="28">
        <f>(1-ABS(M23-N23)/M23)*100</f>
        <v/>
      </c>
      <c r="P23" s="29" t="n">
        <v>0.5600000000000001</v>
      </c>
      <c r="Q23" s="30" t="n">
        <v>0.648</v>
      </c>
      <c r="R23" s="28">
        <f>(1-ABS(P23-Q23)/P23)*100</f>
        <v/>
      </c>
      <c r="S23" s="31" t="n">
        <v>17</v>
      </c>
      <c r="T23" s="29" t="n">
        <v>11.38</v>
      </c>
      <c r="U23" s="28">
        <f>(1-ABS(S23-T23)/S23)*100</f>
        <v/>
      </c>
    </row>
    <row r="24">
      <c r="B24" s="24" t="inlineStr">
        <is>
          <t>06/15</t>
        </is>
      </c>
      <c r="C24" s="25" t="n">
        <v>2215</v>
      </c>
      <c r="D24" s="26" t="n">
        <v>2.55</v>
      </c>
      <c r="E24" s="27" t="n">
        <v>2.389</v>
      </c>
      <c r="F24" s="28">
        <f>(1-ABS(D24-E24)/D24)*100</f>
        <v/>
      </c>
      <c r="G24" s="27" t="n">
        <v>0.16</v>
      </c>
      <c r="H24" s="27" t="n">
        <v>0.153</v>
      </c>
      <c r="I24" s="28">
        <f>(1-ABS(G24-H24)/G24)*100</f>
        <v/>
      </c>
      <c r="J24" s="26" t="n">
        <v>0.82</v>
      </c>
      <c r="K24" s="27" t="n">
        <v>0.946</v>
      </c>
      <c r="L24" s="28">
        <f>(1-ABS(J24-K24)/J24)*100</f>
        <v/>
      </c>
      <c r="M24" s="26" t="n">
        <v>0.28</v>
      </c>
      <c r="N24" s="27" t="n">
        <v>0.277</v>
      </c>
      <c r="O24" s="28">
        <f>(1-ABS(M24-N24)/M24)*100</f>
        <v/>
      </c>
      <c r="P24" s="29" t="n">
        <v>0.52</v>
      </c>
      <c r="Q24" s="30" t="n">
        <v>0.647</v>
      </c>
      <c r="R24" s="28">
        <f>(1-ABS(P24-Q24)/P24)*100</f>
        <v/>
      </c>
      <c r="S24" s="31" t="n">
        <v>18</v>
      </c>
      <c r="T24" s="29" t="n">
        <v>10.94</v>
      </c>
      <c r="U24" s="28">
        <f>(1-ABS(S24-T24)/S24)*100</f>
        <v/>
      </c>
    </row>
    <row r="25">
      <c r="B25" s="24" t="inlineStr">
        <is>
          <t>07/19</t>
        </is>
      </c>
      <c r="C25" s="25" t="n">
        <v>3187</v>
      </c>
      <c r="D25" s="26" t="n">
        <v>2.5</v>
      </c>
      <c r="E25" s="27" t="n">
        <v>2.109</v>
      </c>
      <c r="F25" s="28">
        <f>(1-ABS(D25-E25)/D25)*100</f>
        <v/>
      </c>
      <c r="G25" s="27" t="n">
        <v>0.173</v>
      </c>
      <c r="H25" s="27" t="n">
        <v>0.133</v>
      </c>
      <c r="I25" s="28">
        <f>(1-ABS(G25-H25)/G25)*100</f>
        <v/>
      </c>
      <c r="J25" s="26" t="n">
        <v>1.09</v>
      </c>
      <c r="K25" s="27" t="n">
        <v>0.827</v>
      </c>
      <c r="L25" s="28">
        <f>(1-ABS(J25-K25)/J25)*100</f>
        <v/>
      </c>
      <c r="M25" s="26" t="n">
        <v>0.24</v>
      </c>
      <c r="N25" s="27" t="n">
        <v>0.249</v>
      </c>
      <c r="O25" s="28">
        <f>(1-ABS(M25-N25)/M25)*100</f>
        <v/>
      </c>
      <c r="P25" s="29" t="n">
        <v>0.6</v>
      </c>
      <c r="Q25" s="30" t="n">
        <v>0.553</v>
      </c>
      <c r="R25" s="28">
        <f>(1-ABS(P25-Q25)/P25)*100</f>
        <v/>
      </c>
      <c r="S25" s="31" t="n">
        <v>19</v>
      </c>
      <c r="T25" s="29" t="n">
        <v>9.789999999999999</v>
      </c>
      <c r="U25" s="28">
        <f>(1-ABS(S25-T25)/S25)*100</f>
        <v/>
      </c>
    </row>
    <row r="26">
      <c r="B26" s="24" t="inlineStr">
        <is>
          <t>07/20</t>
        </is>
      </c>
      <c r="C26" s="25" t="n">
        <v>2468</v>
      </c>
      <c r="D26" s="26" t="n">
        <v>2.57</v>
      </c>
      <c r="E26" s="27" t="n">
        <v>2.363</v>
      </c>
      <c r="F26" s="28">
        <f>(1-ABS(D26-E26)/D26)*100</f>
        <v/>
      </c>
      <c r="G26" s="27" t="n">
        <v>0.176</v>
      </c>
      <c r="H26" s="27" t="n">
        <v>0.151</v>
      </c>
      <c r="I26" s="28">
        <f>(1-ABS(G26-H26)/G26)*100</f>
        <v/>
      </c>
      <c r="J26" s="26" t="n">
        <v>0.97</v>
      </c>
      <c r="K26" s="27" t="n">
        <v>0.953</v>
      </c>
      <c r="L26" s="28">
        <f>(1-ABS(J26-K26)/J26)*100</f>
        <v/>
      </c>
      <c r="M26" s="26" t="n">
        <v>0.3</v>
      </c>
      <c r="N26" s="27" t="n">
        <v>0.266</v>
      </c>
      <c r="O26" s="28">
        <f>(1-ABS(M26-N26)/M26)*100</f>
        <v/>
      </c>
      <c r="P26" s="29" t="n">
        <v>0.42</v>
      </c>
      <c r="Q26" s="30" t="n">
        <v>0.632</v>
      </c>
      <c r="R26" s="28">
        <f>(1-ABS(P26-Q26)/P26)*100</f>
        <v/>
      </c>
      <c r="S26" s="31" t="n">
        <v>17</v>
      </c>
      <c r="T26" s="29" t="n">
        <v>10.98</v>
      </c>
      <c r="U26" s="28">
        <f>(1-ABS(S26-T26)/S26)*100</f>
        <v/>
      </c>
    </row>
    <row r="27">
      <c r="B27" s="24" t="inlineStr">
        <is>
          <t>07/21</t>
        </is>
      </c>
      <c r="C27" s="25" t="n">
        <v>2614</v>
      </c>
      <c r="D27" s="26" t="n">
        <v>2.62</v>
      </c>
      <c r="E27" s="27" t="n">
        <v>2.601</v>
      </c>
      <c r="F27" s="28">
        <f>(1-ABS(D27-E27)/D27)*100</f>
        <v/>
      </c>
      <c r="G27" s="27" t="n">
        <v>0.176</v>
      </c>
      <c r="H27" s="27" t="n">
        <v>0.164</v>
      </c>
      <c r="I27" s="28">
        <f>(1-ABS(G27-H27)/G27)*100</f>
        <v/>
      </c>
      <c r="J27" s="26" t="n">
        <v>1.06</v>
      </c>
      <c r="K27" s="27" t="n">
        <v>1.108</v>
      </c>
      <c r="L27" s="28">
        <f>(1-ABS(J27-K27)/J27)*100</f>
        <v/>
      </c>
      <c r="M27" s="26" t="n">
        <v>0.25</v>
      </c>
      <c r="N27" s="27" t="n">
        <v>0.271</v>
      </c>
      <c r="O27" s="28">
        <f>(1-ABS(M27-N27)/M27)*100</f>
        <v/>
      </c>
      <c r="P27" s="29" t="n">
        <v>0.61</v>
      </c>
      <c r="Q27" s="30" t="n">
        <v>0.672</v>
      </c>
      <c r="R27" s="28">
        <f>(1-ABS(P27-Q27)/P27)*100</f>
        <v/>
      </c>
      <c r="S27" s="31" t="n">
        <v>19</v>
      </c>
      <c r="T27" s="29" t="n">
        <v>12.46</v>
      </c>
      <c r="U27" s="28">
        <f>(1-ABS(S27-T27)/S27)*100</f>
        <v/>
      </c>
    </row>
    <row r="28">
      <c r="B28" s="24" t="inlineStr">
        <is>
          <t>07/22</t>
        </is>
      </c>
      <c r="C28" s="25" t="n">
        <v>2942</v>
      </c>
      <c r="D28" s="26" t="n">
        <v>2.57</v>
      </c>
      <c r="E28" s="27" t="n">
        <v>2.54</v>
      </c>
      <c r="F28" s="28">
        <f>(1-ABS(D28-E28)/D28)*100</f>
        <v/>
      </c>
      <c r="G28" s="27" t="n">
        <v>0.17</v>
      </c>
      <c r="H28" s="27" t="n">
        <v>0.163</v>
      </c>
      <c r="I28" s="28">
        <f>(1-ABS(G28-H28)/G28)*100</f>
        <v/>
      </c>
      <c r="J28" s="26" t="n">
        <v>1.03</v>
      </c>
      <c r="K28" s="27" t="n">
        <v>1.029</v>
      </c>
      <c r="L28" s="28">
        <f>(1-ABS(J28-K28)/J28)*100</f>
        <v/>
      </c>
      <c r="M28" s="26" t="n">
        <v>0.29</v>
      </c>
      <c r="N28" s="27" t="n">
        <v>0.276</v>
      </c>
      <c r="O28" s="28">
        <f>(1-ABS(M28-N28)/M28)*100</f>
        <v/>
      </c>
      <c r="P28" s="29" t="n">
        <v>0.49</v>
      </c>
      <c r="Q28" s="30" t="n">
        <v>0.66</v>
      </c>
      <c r="R28" s="28">
        <f>(1-ABS(P28-Q28)/P28)*100</f>
        <v/>
      </c>
      <c r="S28" s="31" t="n">
        <v>14</v>
      </c>
      <c r="T28" s="29" t="n">
        <v>12.79</v>
      </c>
      <c r="U28" s="28">
        <f>(1-ABS(S28-T28)/S28)*100</f>
        <v/>
      </c>
    </row>
    <row r="29">
      <c r="B29" s="24" t="inlineStr">
        <is>
          <t>07/23</t>
        </is>
      </c>
      <c r="C29" s="25" t="n">
        <v>2519</v>
      </c>
      <c r="D29" s="26" t="n">
        <v>2.61</v>
      </c>
      <c r="E29" s="27" t="n">
        <v>2.177</v>
      </c>
      <c r="F29" s="28">
        <f>(1-ABS(D29-E29)/D29)*100</f>
        <v/>
      </c>
      <c r="G29" s="27" t="n">
        <v>0.174</v>
      </c>
      <c r="H29" s="27" t="n">
        <v>0.139</v>
      </c>
      <c r="I29" s="28">
        <f>(1-ABS(G29-H29)/G29)*100</f>
        <v/>
      </c>
      <c r="J29" s="26" t="n">
        <v>0.97</v>
      </c>
      <c r="K29" s="27" t="n">
        <v>0.859</v>
      </c>
      <c r="L29" s="28">
        <f>(1-ABS(J29-K29)/J29)*100</f>
        <v/>
      </c>
      <c r="M29" s="26" t="n">
        <v>0.3</v>
      </c>
      <c r="N29" s="27" t="n">
        <v>0.262</v>
      </c>
      <c r="O29" s="28">
        <f>(1-ABS(M29-N29)/M29)*100</f>
        <v/>
      </c>
      <c r="P29" s="29" t="n">
        <v>0.47</v>
      </c>
      <c r="Q29" s="30" t="n">
        <v>0.593</v>
      </c>
      <c r="R29" s="28">
        <f>(1-ABS(P29-Q29)/P29)*100</f>
        <v/>
      </c>
      <c r="S29" s="31" t="n">
        <v>18</v>
      </c>
      <c r="T29" s="29" t="n">
        <v>9.51</v>
      </c>
      <c r="U29" s="28">
        <f>(1-ABS(S29-T29)/S29)*100</f>
        <v/>
      </c>
    </row>
    <row r="30">
      <c r="B30" s="24" t="inlineStr">
        <is>
          <t>07/24</t>
        </is>
      </c>
      <c r="C30" s="25" t="n">
        <v>4725</v>
      </c>
      <c r="D30" s="26" t="n">
        <v>2.66</v>
      </c>
      <c r="E30" s="27" t="n">
        <v>2.318</v>
      </c>
      <c r="F30" s="28">
        <f>(1-ABS(D30-E30)/D30)*100</f>
        <v/>
      </c>
      <c r="G30" s="27" t="n">
        <v>0.171</v>
      </c>
      <c r="H30" s="27" t="n">
        <v>0.148</v>
      </c>
      <c r="I30" s="28">
        <f>(1-ABS(G30-H30)/G30)*100</f>
        <v/>
      </c>
      <c r="J30" s="26" t="n">
        <v>1.03</v>
      </c>
      <c r="K30" s="27" t="n">
        <v>0.9320000000000001</v>
      </c>
      <c r="L30" s="28">
        <f>(1-ABS(J30-K30)/J30)*100</f>
        <v/>
      </c>
      <c r="M30" s="26" t="n">
        <v>0.27</v>
      </c>
      <c r="N30" s="27" t="n">
        <v>0.264</v>
      </c>
      <c r="O30" s="28">
        <f>(1-ABS(M30-N30)/M30)*100</f>
        <v/>
      </c>
      <c r="P30" s="29" t="n">
        <v>0.48</v>
      </c>
      <c r="Q30" s="30" t="n">
        <v>0.623</v>
      </c>
      <c r="R30" s="28">
        <f>(1-ABS(P30-Q30)/P30)*100</f>
        <v/>
      </c>
      <c r="S30" s="31" t="n">
        <v>19</v>
      </c>
      <c r="T30" s="29" t="n">
        <v>11.05</v>
      </c>
      <c r="U30" s="28">
        <f>(1-ABS(S30-T30)/S30)*100</f>
        <v/>
      </c>
    </row>
    <row r="31">
      <c r="B31" s="24" t="inlineStr">
        <is>
          <t>08/1</t>
        </is>
      </c>
      <c r="C31" s="25" t="n">
        <v>6222</v>
      </c>
      <c r="D31" s="26" t="n">
        <v>2.52</v>
      </c>
      <c r="E31" s="27" t="n">
        <v>2.495</v>
      </c>
      <c r="F31" s="28">
        <f>(1-ABS(D31-E31)/D31)*100</f>
        <v/>
      </c>
      <c r="G31" s="27" t="n">
        <v>0.157</v>
      </c>
      <c r="H31" s="27" t="n">
        <v>0.16</v>
      </c>
      <c r="I31" s="28">
        <f>(1-ABS(G31-H31)/G31)*100</f>
        <v/>
      </c>
      <c r="J31" s="26" t="n">
        <v>1.04</v>
      </c>
      <c r="K31" s="27" t="n">
        <v>1.002</v>
      </c>
      <c r="L31" s="28">
        <f>(1-ABS(J31-K31)/J31)*100</f>
        <v/>
      </c>
      <c r="M31" s="26" t="n">
        <v>0.3</v>
      </c>
      <c r="N31" s="27" t="n">
        <v>0.272</v>
      </c>
      <c r="O31" s="28">
        <f>(1-ABS(M31-N31)/M31)*100</f>
        <v/>
      </c>
      <c r="P31" s="29" t="n">
        <v>0.43</v>
      </c>
      <c r="Q31" s="30" t="n">
        <v>0.645</v>
      </c>
      <c r="R31" s="28">
        <f>(1-ABS(P31-Q31)/P31)*100</f>
        <v/>
      </c>
      <c r="S31" s="31" t="n">
        <v>15</v>
      </c>
      <c r="T31" s="29" t="n">
        <v>12.91</v>
      </c>
      <c r="U31" s="28">
        <f>(1-ABS(S31-T31)/S31)*100</f>
        <v/>
      </c>
    </row>
    <row r="32">
      <c r="B32" s="24" t="inlineStr">
        <is>
          <t>08/2</t>
        </is>
      </c>
      <c r="C32" s="25" t="n">
        <v>5571</v>
      </c>
      <c r="D32" s="26" t="n">
        <v>2.69</v>
      </c>
      <c r="E32" s="27" t="n">
        <v>2.472</v>
      </c>
      <c r="F32" s="28">
        <f>(1-ABS(D32-E32)/D32)*100</f>
        <v/>
      </c>
      <c r="G32" s="27" t="n">
        <v>0.157</v>
      </c>
      <c r="H32" s="27" t="n">
        <v>0.16</v>
      </c>
      <c r="I32" s="28">
        <f>(1-ABS(G32-H32)/G32)*100</f>
        <v/>
      </c>
      <c r="J32" s="26" t="n">
        <v>0.97</v>
      </c>
      <c r="K32" s="27" t="n">
        <v>0.997</v>
      </c>
      <c r="L32" s="28">
        <f>(1-ABS(J32-K32)/J32)*100</f>
        <v/>
      </c>
      <c r="M32" s="26" t="n">
        <v>0.29</v>
      </c>
      <c r="N32" s="27" t="n">
        <v>0.261</v>
      </c>
      <c r="O32" s="28">
        <f>(1-ABS(M32-N32)/M32)*100</f>
        <v/>
      </c>
      <c r="P32" s="29" t="n">
        <v>0.5</v>
      </c>
      <c r="Q32" s="30" t="n">
        <v>0.648</v>
      </c>
      <c r="R32" s="28">
        <f>(1-ABS(P32-Q32)/P32)*100</f>
        <v/>
      </c>
      <c r="S32" s="31" t="n">
        <v>17</v>
      </c>
      <c r="T32" s="29" t="n">
        <v>12.91</v>
      </c>
      <c r="U32" s="28">
        <f>(1-ABS(S32-T32)/S32)*100</f>
        <v/>
      </c>
    </row>
    <row r="33">
      <c r="B33" s="24" t="inlineStr">
        <is>
          <t>08/3</t>
        </is>
      </c>
      <c r="C33" s="25" t="n">
        <v>5718</v>
      </c>
      <c r="D33" s="26" t="n">
        <v>2.66</v>
      </c>
      <c r="E33" s="27" t="n">
        <v>2.463</v>
      </c>
      <c r="F33" s="28">
        <f>(1-ABS(D33-E33)/D33)*100</f>
        <v/>
      </c>
      <c r="G33" s="27" t="n">
        <v>0.165</v>
      </c>
      <c r="H33" s="27" t="n">
        <v>0.16</v>
      </c>
      <c r="I33" s="28">
        <f>(1-ABS(G33-H33)/G33)*100</f>
        <v/>
      </c>
      <c r="J33" s="26" t="n">
        <v>1.1</v>
      </c>
      <c r="K33" s="27" t="n">
        <v>0.989</v>
      </c>
      <c r="L33" s="28">
        <f>(1-ABS(J33-K33)/J33)*100</f>
        <v/>
      </c>
      <c r="M33" s="26" t="n">
        <v>0.32</v>
      </c>
      <c r="N33" s="27" t="n">
        <v>0.256</v>
      </c>
      <c r="O33" s="28">
        <f>(1-ABS(M33-N33)/M33)*100</f>
        <v/>
      </c>
      <c r="P33" s="29" t="n">
        <v>0.55</v>
      </c>
      <c r="Q33" s="30" t="n">
        <v>0.638</v>
      </c>
      <c r="R33" s="28">
        <f>(1-ABS(P33-Q33)/P33)*100</f>
        <v/>
      </c>
      <c r="S33" s="31" t="n">
        <v>16</v>
      </c>
      <c r="T33" s="29" t="n">
        <v>13.46</v>
      </c>
      <c r="U33" s="28">
        <f>(1-ABS(S33-T33)/S33)*100</f>
        <v/>
      </c>
    </row>
    <row r="34">
      <c r="B34" s="24" t="inlineStr">
        <is>
          <t>08/5</t>
        </is>
      </c>
      <c r="C34" s="25" t="n">
        <v>5172</v>
      </c>
      <c r="D34" s="26" t="n">
        <v>2.68</v>
      </c>
      <c r="E34" s="27" t="n">
        <v>2.501</v>
      </c>
      <c r="F34" s="28">
        <f>(1-ABS(D34-E34)/D34)*100</f>
        <v/>
      </c>
      <c r="G34" s="27" t="n">
        <v>0.163</v>
      </c>
      <c r="H34" s="27" t="n">
        <v>0.161</v>
      </c>
      <c r="I34" s="28">
        <f>(1-ABS(G34-H34)/G34)*100</f>
        <v/>
      </c>
      <c r="J34" s="26" t="n">
        <v>1.04</v>
      </c>
      <c r="K34" s="27" t="n">
        <v>1.014</v>
      </c>
      <c r="L34" s="28">
        <f>(1-ABS(J34-K34)/J34)*100</f>
        <v/>
      </c>
      <c r="M34" s="26" t="n">
        <v>0.29</v>
      </c>
      <c r="N34" s="27" t="n">
        <v>0.276</v>
      </c>
      <c r="O34" s="28">
        <f>(1-ABS(M34-N34)/M34)*100</f>
        <v/>
      </c>
      <c r="P34" s="29" t="n">
        <v>0.47</v>
      </c>
      <c r="Q34" s="30" t="n">
        <v>0.652</v>
      </c>
      <c r="R34" s="28">
        <f>(1-ABS(P34-Q34)/P34)*100</f>
        <v/>
      </c>
      <c r="S34" s="31" t="n">
        <v>17</v>
      </c>
      <c r="T34" s="29" t="n">
        <v>12.53</v>
      </c>
      <c r="U34" s="28">
        <f>(1-ABS(S34-T34)/S34)*100</f>
        <v/>
      </c>
    </row>
    <row r="35">
      <c r="B35" s="24" t="inlineStr">
        <is>
          <t>08/6</t>
        </is>
      </c>
      <c r="C35" s="25" t="n">
        <v>4997</v>
      </c>
      <c r="D35" s="26" t="n">
        <v>2.63</v>
      </c>
      <c r="E35" s="27" t="n">
        <v>2.541</v>
      </c>
      <c r="F35" s="28">
        <f>(1-ABS(D35-E35)/D35)*100</f>
        <v/>
      </c>
      <c r="G35" s="27" t="n">
        <v>0.163</v>
      </c>
      <c r="H35" s="27" t="n">
        <v>0.166</v>
      </c>
      <c r="I35" s="28">
        <f>(1-ABS(G35-H35)/G35)*100</f>
        <v/>
      </c>
      <c r="J35" s="26" t="n">
        <v>1.12</v>
      </c>
      <c r="K35" s="27" t="n">
        <v>1.029</v>
      </c>
      <c r="L35" s="28">
        <f>(1-ABS(J35-K35)/J35)*100</f>
        <v/>
      </c>
      <c r="M35" s="26" t="n">
        <v>0.32</v>
      </c>
      <c r="N35" s="27" t="n">
        <v>0.27</v>
      </c>
      <c r="O35" s="28">
        <f>(1-ABS(M35-N35)/M35)*100</f>
        <v/>
      </c>
      <c r="P35" s="29" t="n">
        <v>0.57</v>
      </c>
      <c r="Q35" s="30" t="n">
        <v>0.668</v>
      </c>
      <c r="R35" s="28">
        <f>(1-ABS(P35-Q35)/P35)*100</f>
        <v/>
      </c>
      <c r="S35" s="31" t="n">
        <v>15</v>
      </c>
      <c r="T35" s="29" t="n">
        <v>12.76</v>
      </c>
      <c r="U35" s="28">
        <f>(1-ABS(S35-T35)/S35)*100</f>
        <v/>
      </c>
    </row>
    <row r="36">
      <c r="B36" s="24" t="inlineStr">
        <is>
          <t>08/7</t>
        </is>
      </c>
      <c r="C36" s="25" t="n">
        <v>5440</v>
      </c>
      <c r="D36" s="26" t="n">
        <v>2.54</v>
      </c>
      <c r="E36" s="27" t="n">
        <v>2.56</v>
      </c>
      <c r="F36" s="28">
        <f>(1-ABS(D36-E36)/D36)*100</f>
        <v/>
      </c>
      <c r="G36" s="27" t="n">
        <v>0.161</v>
      </c>
      <c r="H36" s="27" t="n">
        <v>0.165</v>
      </c>
      <c r="I36" s="28">
        <f>(1-ABS(G36-H36)/G36)*100</f>
        <v/>
      </c>
      <c r="J36" s="26" t="n">
        <v>1.03</v>
      </c>
      <c r="K36" s="27" t="n">
        <v>1.026</v>
      </c>
      <c r="L36" s="28">
        <f>(1-ABS(J36-K36)/J36)*100</f>
        <v/>
      </c>
      <c r="M36" s="26" t="n">
        <v>0.3</v>
      </c>
      <c r="N36" s="27" t="n">
        <v>0.275</v>
      </c>
      <c r="O36" s="28">
        <f>(1-ABS(M36-N36)/M36)*100</f>
        <v/>
      </c>
      <c r="P36" s="29" t="n">
        <v>0.54</v>
      </c>
      <c r="Q36" s="30" t="n">
        <v>0.658</v>
      </c>
      <c r="R36" s="28">
        <f>(1-ABS(P36-Q36)/P36)*100</f>
        <v/>
      </c>
      <c r="S36" s="31" t="n">
        <v>17</v>
      </c>
      <c r="T36" s="29" t="n">
        <v>13.5</v>
      </c>
      <c r="U36" s="28">
        <f>(1-ABS(S36-T36)/S36)*100</f>
        <v/>
      </c>
    </row>
    <row r="37">
      <c r="B37" s="24" t="inlineStr">
        <is>
          <t>08/26</t>
        </is>
      </c>
      <c r="C37" s="25" t="n">
        <v>2191</v>
      </c>
      <c r="D37" s="26" t="n">
        <v>2.62</v>
      </c>
      <c r="E37" s="27" t="n">
        <v>2.537</v>
      </c>
      <c r="F37" s="28">
        <f>(1-ABS(D37-E37)/D37)*100</f>
        <v/>
      </c>
      <c r="G37" s="27" t="n">
        <v>0.174</v>
      </c>
      <c r="H37" s="27" t="n">
        <v>0.162</v>
      </c>
      <c r="I37" s="28">
        <f>(1-ABS(G37-H37)/G37)*100</f>
        <v/>
      </c>
      <c r="J37" s="26" t="n">
        <v>0.91</v>
      </c>
      <c r="K37" s="27" t="n">
        <v>1.027</v>
      </c>
      <c r="L37" s="28">
        <f>(1-ABS(J37-K37)/J37)*100</f>
        <v/>
      </c>
      <c r="M37" s="26" t="n">
        <v>0.29</v>
      </c>
      <c r="N37" s="27" t="n">
        <v>0.265</v>
      </c>
      <c r="O37" s="28">
        <f>(1-ABS(M37-N37)/M37)*100</f>
        <v/>
      </c>
      <c r="P37" s="29" t="n">
        <v>0.49</v>
      </c>
      <c r="Q37" s="30" t="n">
        <v>0.645</v>
      </c>
      <c r="R37" s="28">
        <f>(1-ABS(P37-Q37)/P37)*100</f>
        <v/>
      </c>
      <c r="S37" s="31" t="n">
        <v>15</v>
      </c>
      <c r="T37" s="29" t="n">
        <v>12.91</v>
      </c>
      <c r="U37" s="28">
        <f>(1-ABS(S37-T37)/S37)*100</f>
        <v/>
      </c>
    </row>
    <row r="38">
      <c r="B38" s="24" t="inlineStr">
        <is>
          <t>08/27</t>
        </is>
      </c>
      <c r="C38" s="25" t="n">
        <v>2068</v>
      </c>
      <c r="D38" s="26" t="n">
        <v>2.58</v>
      </c>
      <c r="E38" s="27" t="n">
        <v>2.519</v>
      </c>
      <c r="F38" s="28">
        <f>(1-ABS(D38-E38)/D38)*100</f>
        <v/>
      </c>
      <c r="G38" s="27" t="n">
        <v>0.176</v>
      </c>
      <c r="H38" s="27" t="n">
        <v>0.164</v>
      </c>
      <c r="I38" s="28">
        <f>(1-ABS(G38-H38)/G38)*100</f>
        <v/>
      </c>
      <c r="J38" s="26" t="n">
        <v>0.83</v>
      </c>
      <c r="K38" s="27" t="n">
        <v>1.016</v>
      </c>
      <c r="L38" s="28">
        <f>(1-ABS(J38-K38)/J38)*100</f>
        <v/>
      </c>
      <c r="M38" s="26" t="n">
        <v>0.3</v>
      </c>
      <c r="N38" s="27" t="n">
        <v>0.275</v>
      </c>
      <c r="O38" s="28">
        <f>(1-ABS(M38-N38)/M38)*100</f>
        <v/>
      </c>
      <c r="P38" s="29" t="n">
        <v>0.75</v>
      </c>
      <c r="Q38" s="30" t="n">
        <v>0.667</v>
      </c>
      <c r="R38" s="28">
        <f>(1-ABS(P38-Q38)/P38)*100</f>
        <v/>
      </c>
      <c r="S38" s="31" t="n">
        <v>15</v>
      </c>
      <c r="T38" s="29" t="n">
        <v>12.18</v>
      </c>
      <c r="U38" s="28">
        <f>(1-ABS(S38-T38)/S38)*100</f>
        <v/>
      </c>
    </row>
    <row r="39">
      <c r="B39" s="24" t="inlineStr">
        <is>
          <t>08/28</t>
        </is>
      </c>
      <c r="C39" s="25" t="n">
        <v>1840</v>
      </c>
      <c r="D39" s="26" t="n">
        <v>2.65</v>
      </c>
      <c r="E39" s="27" t="n">
        <v>2.066</v>
      </c>
      <c r="F39" s="28">
        <f>(1-ABS(D39-E39)/D39)*100</f>
        <v/>
      </c>
      <c r="G39" s="27" t="n">
        <v>0.17</v>
      </c>
      <c r="H39" s="27" t="n">
        <v>0.13</v>
      </c>
      <c r="I39" s="28">
        <f>(1-ABS(G39-H39)/G39)*100</f>
        <v/>
      </c>
      <c r="J39" s="26" t="n">
        <v>0.82</v>
      </c>
      <c r="K39" s="27" t="n">
        <v>0.824</v>
      </c>
      <c r="L39" s="28">
        <f>(1-ABS(J39-K39)/J39)*100</f>
        <v/>
      </c>
      <c r="M39" s="26" t="n">
        <v>0.31</v>
      </c>
      <c r="N39" s="27" t="n">
        <v>0.237</v>
      </c>
      <c r="O39" s="28">
        <f>(1-ABS(M39-N39)/M39)*100</f>
        <v/>
      </c>
      <c r="P39" s="29" t="n">
        <v>0.49</v>
      </c>
      <c r="Q39" s="30" t="n">
        <v>0.529</v>
      </c>
      <c r="R39" s="28">
        <f>(1-ABS(P39-Q39)/P39)*100</f>
        <v/>
      </c>
      <c r="S39" s="31" t="n">
        <v>17</v>
      </c>
      <c r="T39" s="29" t="n">
        <v>9.58</v>
      </c>
      <c r="U39" s="28">
        <f>(1-ABS(S39-T39)/S39)*100</f>
        <v/>
      </c>
    </row>
    <row r="40">
      <c r="B40" s="24" t="inlineStr">
        <is>
          <t>08/25</t>
        </is>
      </c>
      <c r="C40" s="25" t="n">
        <v>2751</v>
      </c>
      <c r="D40" s="26" t="n">
        <v>2.52</v>
      </c>
      <c r="E40" s="27" t="n">
        <v>2.481</v>
      </c>
      <c r="F40" s="28">
        <f>(1-ABS(D40-E40)/D40)*100</f>
        <v/>
      </c>
      <c r="G40" s="27" t="n">
        <v>0.172</v>
      </c>
      <c r="H40" s="27" t="n">
        <v>0.16</v>
      </c>
      <c r="I40" s="28">
        <f>(1-ABS(G40-H40)/G40)*100</f>
        <v/>
      </c>
      <c r="J40" s="26" t="n">
        <v>1.01</v>
      </c>
      <c r="K40" s="27" t="n">
        <v>1.006</v>
      </c>
      <c r="L40" s="28">
        <f>(1-ABS(J40-K40)/J40)*100</f>
        <v/>
      </c>
      <c r="M40" s="26" t="n">
        <v>0.22</v>
      </c>
      <c r="N40" s="27" t="n">
        <v>0.271</v>
      </c>
      <c r="O40" s="28">
        <f>(1-ABS(M40-N40)/M40)*100</f>
        <v/>
      </c>
      <c r="P40" s="29" t="n">
        <v>0.5</v>
      </c>
      <c r="Q40" s="30" t="n">
        <v>0.666</v>
      </c>
      <c r="R40" s="28">
        <f>(1-ABS(P40-Q40)/P40)*100</f>
        <v/>
      </c>
      <c r="S40" s="31" t="n">
        <v>17</v>
      </c>
      <c r="T40" s="29" t="n">
        <v>11.57</v>
      </c>
      <c r="U40" s="28">
        <f>(1-ABS(S40-T40)/S40)*100</f>
        <v/>
      </c>
    </row>
    <row r="41">
      <c r="B41" s="24" t="inlineStr">
        <is>
          <t>09/4</t>
        </is>
      </c>
      <c r="C41" s="25" t="n">
        <v>4188</v>
      </c>
      <c r="D41" s="26" t="n">
        <v>2.5</v>
      </c>
      <c r="E41" s="27" t="n">
        <v>2.523</v>
      </c>
      <c r="F41" s="28">
        <f>(1-ABS(D41-E41)/D41)*100</f>
        <v/>
      </c>
      <c r="G41" s="27" t="n">
        <v>0.16</v>
      </c>
      <c r="H41" s="27" t="n">
        <v>0.164</v>
      </c>
      <c r="I41" s="28">
        <f>(1-ABS(G41-H41)/G41)*100</f>
        <v/>
      </c>
      <c r="J41" s="26" t="n">
        <v>1.02</v>
      </c>
      <c r="K41" s="27" t="n">
        <v>1.013</v>
      </c>
      <c r="L41" s="28">
        <f>(1-ABS(J41-K41)/J41)*100</f>
        <v/>
      </c>
      <c r="M41" s="26" t="n">
        <v>0.3</v>
      </c>
      <c r="N41" s="27" t="n">
        <v>0.278</v>
      </c>
      <c r="O41" s="28">
        <f>(1-ABS(M41-N41)/M41)*100</f>
        <v/>
      </c>
      <c r="P41" s="29" t="n">
        <v>0.57</v>
      </c>
      <c r="Q41" s="30" t="n">
        <v>0.657</v>
      </c>
      <c r="R41" s="28">
        <f>(1-ABS(P41-Q41)/P41)*100</f>
        <v/>
      </c>
      <c r="S41" s="31" t="n">
        <v>15</v>
      </c>
      <c r="T41" s="29" t="n">
        <v>13.2</v>
      </c>
      <c r="U41" s="28">
        <f>(1-ABS(S41-T41)/S41)*100</f>
        <v/>
      </c>
    </row>
    <row r="42">
      <c r="B42" s="24" t="inlineStr">
        <is>
          <t>09/8</t>
        </is>
      </c>
      <c r="C42" s="25" t="n">
        <v>8681</v>
      </c>
      <c r="D42" s="26" t="n">
        <v>2.48</v>
      </c>
      <c r="E42" s="27" t="n">
        <v>2.498</v>
      </c>
      <c r="F42" s="28">
        <f>(1-ABS(D42-E42)/D42)*100</f>
        <v/>
      </c>
      <c r="G42" s="27" t="n">
        <v>0.149</v>
      </c>
      <c r="H42" s="27" t="n">
        <v>0.162</v>
      </c>
      <c r="I42" s="28">
        <f>(1-ABS(G42-H42)/G42)*100</f>
        <v/>
      </c>
      <c r="J42" s="26" t="n">
        <v>0.82</v>
      </c>
      <c r="K42" s="27" t="n">
        <v>1.01</v>
      </c>
      <c r="L42" s="28">
        <f>(1-ABS(J42-K42)/J42)*100</f>
        <v/>
      </c>
      <c r="M42" s="26" t="n">
        <v>0.29</v>
      </c>
      <c r="N42" s="27" t="n">
        <v>0.266</v>
      </c>
      <c r="O42" s="28">
        <f>(1-ABS(M42-N42)/M42)*100</f>
        <v/>
      </c>
      <c r="P42" s="29" t="n">
        <v>0.42</v>
      </c>
      <c r="Q42" s="30" t="n">
        <v>0.645</v>
      </c>
      <c r="R42" s="28">
        <f>(1-ABS(P42-Q42)/P42)*100</f>
        <v/>
      </c>
      <c r="S42" s="31" t="n">
        <v>17</v>
      </c>
      <c r="T42" s="29" t="n">
        <v>13.2</v>
      </c>
      <c r="U42" s="28">
        <f>(1-ABS(S42-T42)/S42)*100</f>
        <v/>
      </c>
    </row>
    <row r="43">
      <c r="B43" s="24" t="inlineStr">
        <is>
          <t>09/9</t>
        </is>
      </c>
      <c r="C43" s="25" t="n">
        <v>1340</v>
      </c>
      <c r="D43" s="26" t="n">
        <v>2.56</v>
      </c>
      <c r="E43" s="27" t="n">
        <v>2.17</v>
      </c>
      <c r="F43" s="28">
        <f>(1-ABS(D43-E43)/D43)*100</f>
        <v/>
      </c>
      <c r="G43" s="27" t="n">
        <v>0.148</v>
      </c>
      <c r="H43" s="27" t="n">
        <v>0.139</v>
      </c>
      <c r="I43" s="28">
        <f>(1-ABS(G43-H43)/G43)*100</f>
        <v/>
      </c>
      <c r="J43" s="26" t="n">
        <v>0.8100000000000001</v>
      </c>
      <c r="K43" s="27" t="n">
        <v>0.855</v>
      </c>
      <c r="L43" s="28">
        <f>(1-ABS(J43-K43)/J43)*100</f>
        <v/>
      </c>
      <c r="M43" s="26" t="n">
        <v>0.28</v>
      </c>
      <c r="N43" s="27" t="n">
        <v>0.25</v>
      </c>
      <c r="O43" s="28">
        <f>(1-ABS(M43-N43)/M43)*100</f>
        <v/>
      </c>
      <c r="P43" s="29" t="n">
        <v>0.4</v>
      </c>
      <c r="Q43" s="30" t="n">
        <v>0.569</v>
      </c>
      <c r="R43" s="28">
        <f>(1-ABS(P43-Q43)/P43)*100</f>
        <v/>
      </c>
      <c r="S43" s="31" t="n">
        <v>16</v>
      </c>
      <c r="T43" s="29" t="n">
        <v>10.33</v>
      </c>
      <c r="U43" s="28">
        <f>(1-ABS(S43-T43)/S43)*100</f>
        <v/>
      </c>
    </row>
    <row r="44">
      <c r="B44" s="24" t="inlineStr">
        <is>
          <t>09/11</t>
        </is>
      </c>
      <c r="C44" s="25" t="n">
        <v>1910</v>
      </c>
      <c r="D44" s="26" t="n">
        <v>2.58</v>
      </c>
      <c r="E44" s="27" t="n">
        <v>2.442</v>
      </c>
      <c r="F44" s="28">
        <f>(1-ABS(D44-E44)/D44)*100</f>
        <v/>
      </c>
      <c r="G44" s="27" t="n">
        <v>0.154</v>
      </c>
      <c r="H44" s="27" t="n">
        <v>0.158</v>
      </c>
      <c r="I44" s="28">
        <f>(1-ABS(G44-H44)/G44)*100</f>
        <v/>
      </c>
      <c r="J44" s="26" t="n">
        <v>1.07</v>
      </c>
      <c r="K44" s="27" t="n">
        <v>0.968</v>
      </c>
      <c r="L44" s="28">
        <f>(1-ABS(J44-K44)/J44)*100</f>
        <v/>
      </c>
      <c r="M44" s="26" t="n">
        <v>0.27</v>
      </c>
      <c r="N44" s="27" t="n">
        <v>0.279</v>
      </c>
      <c r="O44" s="28">
        <f>(1-ABS(M44-N44)/M44)*100</f>
        <v/>
      </c>
      <c r="P44" s="29" t="n">
        <v>0.43</v>
      </c>
      <c r="Q44" s="30" t="n">
        <v>0.652</v>
      </c>
      <c r="R44" s="28">
        <f>(1-ABS(P44-Q44)/P44)*100</f>
        <v/>
      </c>
      <c r="S44" s="31" t="n">
        <v>14</v>
      </c>
      <c r="T44" s="29" t="n">
        <v>11.65</v>
      </c>
      <c r="U44" s="28">
        <f>(1-ABS(S44-T44)/S44)*100</f>
        <v/>
      </c>
    </row>
    <row r="45">
      <c r="B45" s="24" t="inlineStr">
        <is>
          <t>09/12</t>
        </is>
      </c>
      <c r="C45" s="25" t="n">
        <v>1242</v>
      </c>
      <c r="D45" s="26" t="n">
        <v>2.59</v>
      </c>
      <c r="E45" s="27" t="n">
        <v>2.523</v>
      </c>
      <c r="F45" s="28">
        <f>(1-ABS(D45-E45)/D45)*100</f>
        <v/>
      </c>
      <c r="G45" s="27" t="n">
        <v>0.148</v>
      </c>
      <c r="H45" s="27" t="n">
        <v>0.163</v>
      </c>
      <c r="I45" s="28">
        <f>(1-ABS(G45-H45)/G45)*100</f>
        <v/>
      </c>
      <c r="J45" s="26" t="n">
        <v>0.85</v>
      </c>
      <c r="K45" s="27" t="n">
        <v>1.025</v>
      </c>
      <c r="L45" s="28">
        <f>(1-ABS(J45-K45)/J45)*100</f>
        <v/>
      </c>
      <c r="M45" s="26" t="n">
        <v>0.3</v>
      </c>
      <c r="N45" s="27" t="n">
        <v>0.265</v>
      </c>
      <c r="O45" s="28">
        <f>(1-ABS(M45-N45)/M45)*100</f>
        <v/>
      </c>
      <c r="P45" s="29" t="n">
        <v>0.49</v>
      </c>
      <c r="Q45" s="30" t="n">
        <v>0.642</v>
      </c>
      <c r="R45" s="28">
        <f>(1-ABS(P45-Q45)/P45)*100</f>
        <v/>
      </c>
      <c r="S45" s="31" t="n">
        <v>16</v>
      </c>
      <c r="T45" s="29" t="n">
        <v>13.44</v>
      </c>
      <c r="U45" s="28">
        <f>(1-ABS(S45-T45)/S45)*100</f>
        <v/>
      </c>
    </row>
    <row r="46">
      <c r="B46" s="24" t="inlineStr">
        <is>
          <t>09/13</t>
        </is>
      </c>
      <c r="C46" s="25" t="n">
        <v>1347</v>
      </c>
      <c r="D46" s="26" t="n">
        <v>2.63</v>
      </c>
      <c r="E46" s="27" t="n">
        <v>2.443</v>
      </c>
      <c r="F46" s="28">
        <f>(1-ABS(D46-E46)/D46)*100</f>
        <v/>
      </c>
      <c r="G46" s="27" t="n">
        <v>0.156</v>
      </c>
      <c r="H46" s="27" t="n">
        <v>0.159</v>
      </c>
      <c r="I46" s="28">
        <f>(1-ABS(G46-H46)/G46)*100</f>
        <v/>
      </c>
      <c r="J46" s="26" t="n">
        <v>0.87</v>
      </c>
      <c r="K46" s="27" t="n">
        <v>0.986</v>
      </c>
      <c r="L46" s="28">
        <f>(1-ABS(J46-K46)/J46)*100</f>
        <v/>
      </c>
      <c r="M46" s="26" t="n">
        <v>0.3</v>
      </c>
      <c r="N46" s="27" t="n">
        <v>0.274</v>
      </c>
      <c r="O46" s="28">
        <f>(1-ABS(M46-N46)/M46)*100</f>
        <v/>
      </c>
      <c r="P46" s="29" t="n">
        <v>0.48</v>
      </c>
      <c r="Q46" s="30" t="n">
        <v>0.637</v>
      </c>
      <c r="R46" s="28">
        <f>(1-ABS(P46-Q46)/P46)*100</f>
        <v/>
      </c>
      <c r="S46" s="31" t="n">
        <v>16</v>
      </c>
      <c r="T46" s="29" t="n">
        <v>11.99</v>
      </c>
      <c r="U46" s="28">
        <f>(1-ABS(S46-T46)/S46)*100</f>
        <v/>
      </c>
    </row>
    <row r="47">
      <c r="B47" s="24" t="inlineStr">
        <is>
          <t>09/14</t>
        </is>
      </c>
      <c r="C47" s="25" t="n">
        <v>4022</v>
      </c>
      <c r="D47" s="26" t="n">
        <v>2.72</v>
      </c>
      <c r="E47" s="27" t="n">
        <v>2.318</v>
      </c>
      <c r="F47" s="28">
        <f>(1-ABS(D47-E47)/D47)*100</f>
        <v/>
      </c>
      <c r="G47" s="27" t="n">
        <v>0.154</v>
      </c>
      <c r="H47" s="27" t="n">
        <v>0.151</v>
      </c>
      <c r="I47" s="28">
        <f>(1-ABS(G47-H47)/G47)*100</f>
        <v/>
      </c>
      <c r="J47" s="26" t="n">
        <v>0.86</v>
      </c>
      <c r="K47" s="27" t="n">
        <v>0.909</v>
      </c>
      <c r="L47" s="28">
        <f>(1-ABS(J47-K47)/J47)*100</f>
        <v/>
      </c>
      <c r="M47" s="26" t="n">
        <v>0.29</v>
      </c>
      <c r="N47" s="27" t="n">
        <v>0.272</v>
      </c>
      <c r="O47" s="28">
        <f>(1-ABS(M47-N47)/M47)*100</f>
        <v/>
      </c>
      <c r="P47" s="29" t="n">
        <v>0.45</v>
      </c>
      <c r="Q47" s="30" t="n">
        <v>0.646</v>
      </c>
      <c r="R47" s="28">
        <f>(1-ABS(P47-Q47)/P47)*100</f>
        <v/>
      </c>
      <c r="S47" s="31" t="n">
        <v>16</v>
      </c>
      <c r="T47" s="29" t="n">
        <v>10.23</v>
      </c>
      <c r="U47" s="28">
        <f>(1-ABS(S47-T47)/S47)*100</f>
        <v/>
      </c>
    </row>
    <row r="48">
      <c r="B48" s="24" t="inlineStr">
        <is>
          <t>09/15</t>
        </is>
      </c>
      <c r="C48" s="25" t="n">
        <v>5178</v>
      </c>
      <c r="D48" s="26" t="n">
        <v>2.55</v>
      </c>
      <c r="E48" s="27" t="n">
        <v>2.48</v>
      </c>
      <c r="F48" s="28">
        <f>(1-ABS(D48-E48)/D48)*100</f>
        <v/>
      </c>
      <c r="G48" s="27" t="n">
        <v>0.17</v>
      </c>
      <c r="H48" s="27" t="n">
        <v>0.161</v>
      </c>
      <c r="I48" s="28">
        <f>(1-ABS(G48-H48)/G48)*100</f>
        <v/>
      </c>
      <c r="J48" s="26" t="n">
        <v>0.82</v>
      </c>
      <c r="K48" s="27" t="n">
        <v>0.997</v>
      </c>
      <c r="L48" s="28">
        <f>(1-ABS(J48-K48)/J48)*100</f>
        <v/>
      </c>
      <c r="M48" s="26" t="n">
        <v>0.29</v>
      </c>
      <c r="N48" s="27" t="n">
        <v>0.289</v>
      </c>
      <c r="O48" s="28">
        <f>(1-ABS(M48-N48)/M48)*100</f>
        <v/>
      </c>
      <c r="P48" s="29" t="n">
        <v>0.51</v>
      </c>
      <c r="Q48" s="30" t="n">
        <v>0.668</v>
      </c>
      <c r="R48" s="28">
        <f>(1-ABS(P48-Q48)/P48)*100</f>
        <v/>
      </c>
      <c r="S48" s="31" t="n">
        <v>18</v>
      </c>
      <c r="T48" s="29" t="n">
        <v>11.58</v>
      </c>
      <c r="U48" s="28">
        <f>(1-ABS(S48-T48)/S48)*100</f>
        <v/>
      </c>
    </row>
    <row r="49">
      <c r="B49" s="24" t="inlineStr">
        <is>
          <t>09/10</t>
        </is>
      </c>
      <c r="C49" s="25" t="n">
        <v>8399</v>
      </c>
      <c r="D49" s="26" t="n">
        <v>2.68</v>
      </c>
      <c r="E49" s="27" t="n">
        <v>2.413</v>
      </c>
      <c r="F49" s="28">
        <f>(1-ABS(D49-E49)/D49)*100</f>
        <v/>
      </c>
      <c r="G49" s="27" t="n">
        <v>0.175</v>
      </c>
      <c r="H49" s="27" t="n">
        <v>0.155</v>
      </c>
      <c r="I49" s="28">
        <f>(1-ABS(G49-H49)/G49)*100</f>
        <v/>
      </c>
      <c r="J49" s="26" t="n">
        <v>0.93</v>
      </c>
      <c r="K49" s="27" t="n">
        <v>0.961</v>
      </c>
      <c r="L49" s="28">
        <f>(1-ABS(J49-K49)/J49)*100</f>
        <v/>
      </c>
      <c r="M49" s="26" t="n">
        <v>0.3</v>
      </c>
      <c r="N49" s="27" t="n">
        <v>0.268</v>
      </c>
      <c r="O49" s="28">
        <f>(1-ABS(M49-N49)/M49)*100</f>
        <v/>
      </c>
      <c r="P49" s="29" t="n">
        <v>0.49</v>
      </c>
      <c r="Q49" s="30" t="n">
        <v>0.635</v>
      </c>
      <c r="R49" s="28">
        <f>(1-ABS(P49-Q49)/P49)*100</f>
        <v/>
      </c>
      <c r="S49" s="31" t="n">
        <v>17</v>
      </c>
      <c r="T49" s="29" t="n">
        <v>12.15</v>
      </c>
      <c r="U49" s="28">
        <f>(1-ABS(S49-T49)/S49)*100</f>
        <v/>
      </c>
    </row>
    <row r="50">
      <c r="B50" s="24" t="inlineStr">
        <is>
          <t>09/16</t>
        </is>
      </c>
      <c r="C50" s="25" t="n">
        <v>4983</v>
      </c>
      <c r="D50" s="26" t="n">
        <v>2.6</v>
      </c>
      <c r="E50" s="27" t="n">
        <v>2.135</v>
      </c>
      <c r="F50" s="28">
        <f>(1-ABS(D50-E50)/D50)*100</f>
        <v/>
      </c>
      <c r="G50" s="27" t="n">
        <v>0.167</v>
      </c>
      <c r="H50" s="27" t="n">
        <v>0.133</v>
      </c>
      <c r="I50" s="28">
        <f>(1-ABS(G50-H50)/G50)*100</f>
        <v/>
      </c>
      <c r="J50" s="26" t="n">
        <v>0.8</v>
      </c>
      <c r="K50" s="27" t="n">
        <v>0.875</v>
      </c>
      <c r="L50" s="28">
        <f>(1-ABS(J50-K50)/J50)*100</f>
        <v/>
      </c>
      <c r="M50" s="26" t="n">
        <v>0.29</v>
      </c>
      <c r="N50" s="27" t="n">
        <v>0.243</v>
      </c>
      <c r="O50" s="28">
        <f>(1-ABS(M50-N50)/M50)*100</f>
        <v/>
      </c>
      <c r="P50" s="29" t="n">
        <v>0.51</v>
      </c>
      <c r="Q50" s="30" t="n">
        <v>0.549</v>
      </c>
      <c r="R50" s="28">
        <f>(1-ABS(P50-Q50)/P50)*100</f>
        <v/>
      </c>
      <c r="S50" s="31" t="n">
        <v>17</v>
      </c>
      <c r="T50" s="29" t="n">
        <v>10.1</v>
      </c>
      <c r="U50" s="28">
        <f>(1-ABS(S50-T50)/S50)*100</f>
        <v/>
      </c>
    </row>
    <row r="51">
      <c r="B51" s="24" t="inlineStr">
        <is>
          <t>09/17</t>
        </is>
      </c>
      <c r="C51" s="25" t="n">
        <v>1320</v>
      </c>
      <c r="D51" s="26" t="n">
        <v>2.62</v>
      </c>
      <c r="E51" s="27" t="n">
        <v>2.432</v>
      </c>
      <c r="F51" s="28">
        <f>(1-ABS(D51-E51)/D51)*100</f>
        <v/>
      </c>
      <c r="G51" s="27" t="n">
        <v>0.169</v>
      </c>
      <c r="H51" s="27" t="n">
        <v>0.157</v>
      </c>
      <c r="I51" s="28">
        <f>(1-ABS(G51-H51)/G51)*100</f>
        <v/>
      </c>
      <c r="J51" s="26" t="n">
        <v>0.99</v>
      </c>
      <c r="K51" s="27" t="n">
        <v>0.994</v>
      </c>
      <c r="L51" s="28">
        <f>(1-ABS(J51-K51)/J51)*100</f>
        <v/>
      </c>
      <c r="M51" s="26" t="n">
        <v>0.31</v>
      </c>
      <c r="N51" s="27" t="n">
        <v>0.273</v>
      </c>
      <c r="O51" s="28">
        <f>(1-ABS(M51-N51)/M51)*100</f>
        <v/>
      </c>
      <c r="P51" s="29" t="n">
        <v>0.5</v>
      </c>
      <c r="Q51" s="30" t="n">
        <v>0.63</v>
      </c>
      <c r="R51" s="28">
        <f>(1-ABS(P51-Q51)/P51)*100</f>
        <v/>
      </c>
      <c r="S51" s="31" t="n">
        <v>19</v>
      </c>
      <c r="T51" s="29" t="n">
        <v>12.12</v>
      </c>
      <c r="U51" s="28">
        <f>(1-ABS(S51-T51)/S51)*100</f>
        <v/>
      </c>
    </row>
    <row r="52">
      <c r="B52" s="24" t="inlineStr">
        <is>
          <t>09/18</t>
        </is>
      </c>
      <c r="C52" s="25" t="n">
        <v>3404</v>
      </c>
      <c r="D52" s="26" t="n">
        <v>2.57</v>
      </c>
      <c r="E52" s="27" t="n">
        <v>2.192</v>
      </c>
      <c r="F52" s="28">
        <f>(1-ABS(D52-E52)/D52)*100</f>
        <v/>
      </c>
      <c r="G52" s="27" t="n">
        <v>0.171</v>
      </c>
      <c r="H52" s="27" t="n">
        <v>0.14</v>
      </c>
      <c r="I52" s="28">
        <f>(1-ABS(G52-H52)/G52)*100</f>
        <v/>
      </c>
      <c r="J52" s="26" t="n">
        <v>0.96</v>
      </c>
      <c r="K52" s="27" t="n">
        <v>0.866</v>
      </c>
      <c r="L52" s="28">
        <f>(1-ABS(J52-K52)/J52)*100</f>
        <v/>
      </c>
      <c r="M52" s="26" t="n">
        <v>0.31</v>
      </c>
      <c r="N52" s="27" t="n">
        <v>0.268</v>
      </c>
      <c r="O52" s="28">
        <f>(1-ABS(M52-N52)/M52)*100</f>
        <v/>
      </c>
      <c r="P52" s="29" t="n">
        <v>0.71</v>
      </c>
      <c r="Q52" s="30" t="n">
        <v>0.597</v>
      </c>
      <c r="R52" s="28">
        <f>(1-ABS(P52-Q52)/P52)*100</f>
        <v/>
      </c>
      <c r="S52" s="31" t="n">
        <v>16</v>
      </c>
      <c r="T52" s="29" t="n">
        <v>9.800000000000001</v>
      </c>
      <c r="U52" s="28">
        <f>(1-ABS(S52-T52)/S52)*100</f>
        <v/>
      </c>
    </row>
    <row r="53">
      <c r="B53" s="24" t="inlineStr">
        <is>
          <t>09/19</t>
        </is>
      </c>
      <c r="C53" s="25" t="n">
        <v>6968</v>
      </c>
      <c r="D53" s="26" t="n">
        <v>2.62</v>
      </c>
      <c r="E53" s="27" t="n">
        <v>2.073</v>
      </c>
      <c r="F53" s="28">
        <f>(1-ABS(D53-E53)/D53)*100</f>
        <v/>
      </c>
      <c r="G53" s="27" t="n">
        <v>0.173</v>
      </c>
      <c r="H53" s="27" t="n">
        <v>0.13</v>
      </c>
      <c r="I53" s="28">
        <f>(1-ABS(G53-H53)/G53)*100</f>
        <v/>
      </c>
      <c r="J53" s="26" t="n">
        <v>0.92</v>
      </c>
      <c r="K53" s="27" t="n">
        <v>0.826</v>
      </c>
      <c r="L53" s="28">
        <f>(1-ABS(J53-K53)/J53)*100</f>
        <v/>
      </c>
      <c r="M53" s="26" t="n">
        <v>0.3</v>
      </c>
      <c r="N53" s="27" t="n">
        <v>0.246</v>
      </c>
      <c r="O53" s="28">
        <f>(1-ABS(M53-N53)/M53)*100</f>
        <v/>
      </c>
      <c r="P53" s="29" t="n">
        <v>0.41</v>
      </c>
      <c r="Q53" s="30" t="n">
        <v>0.534</v>
      </c>
      <c r="R53" s="28">
        <f>(1-ABS(P53-Q53)/P53)*100</f>
        <v/>
      </c>
      <c r="S53" s="31" t="n">
        <v>15</v>
      </c>
      <c r="T53" s="29" t="n">
        <v>10.1</v>
      </c>
      <c r="U53" s="28">
        <f>(1-ABS(S53-T53)/S53)*100</f>
        <v/>
      </c>
    </row>
    <row r="54">
      <c r="B54" s="24" t="inlineStr">
        <is>
          <t>10/24</t>
        </is>
      </c>
      <c r="C54" s="25" t="n">
        <v>771</v>
      </c>
      <c r="D54" s="26" t="n">
        <v>2.58</v>
      </c>
      <c r="E54" s="27" t="n">
        <v>2.504</v>
      </c>
      <c r="F54" s="28">
        <f>(1-ABS(D54-E54)/D54)*100</f>
        <v/>
      </c>
      <c r="G54" s="27" t="n">
        <v>0.162</v>
      </c>
      <c r="H54" s="27" t="n">
        <v>0.164</v>
      </c>
      <c r="I54" s="28">
        <f>(1-ABS(G54-H54)/G54)*100</f>
        <v/>
      </c>
      <c r="J54" s="26" t="n">
        <v>0.83</v>
      </c>
      <c r="K54" s="27" t="n">
        <v>1.015</v>
      </c>
      <c r="L54" s="28">
        <f>(1-ABS(J54-K54)/J54)*100</f>
        <v/>
      </c>
      <c r="M54" s="26" t="n">
        <v>0.26</v>
      </c>
      <c r="N54" s="27" t="n">
        <v>0.282</v>
      </c>
      <c r="O54" s="28">
        <f>(1-ABS(M54-N54)/M54)*100</f>
        <v/>
      </c>
      <c r="P54" s="29" t="n">
        <v>0.49</v>
      </c>
      <c r="Q54" s="30" t="n">
        <v>0.652</v>
      </c>
      <c r="R54" s="28">
        <f>(1-ABS(P54-Q54)/P54)*100</f>
        <v/>
      </c>
      <c r="S54" s="31" t="n">
        <v>15</v>
      </c>
      <c r="T54" s="29" t="n">
        <v>12.32</v>
      </c>
      <c r="U54" s="28">
        <f>(1-ABS(S54-T54)/S54)*100</f>
        <v/>
      </c>
    </row>
    <row r="55">
      <c r="B55" s="24" t="inlineStr">
        <is>
          <t>10/25</t>
        </is>
      </c>
      <c r="C55" s="25" t="n">
        <v>3346</v>
      </c>
      <c r="D55" s="26" t="n">
        <v>2.66</v>
      </c>
      <c r="E55" s="27" t="n">
        <v>2.382</v>
      </c>
      <c r="F55" s="28">
        <f>(1-ABS(D55-E55)/D55)*100</f>
        <v/>
      </c>
      <c r="G55" s="27" t="n">
        <v>0.16</v>
      </c>
      <c r="H55" s="27" t="n">
        <v>0.154</v>
      </c>
      <c r="I55" s="28">
        <f>(1-ABS(G55-H55)/G55)*100</f>
        <v/>
      </c>
      <c r="J55" s="26" t="n">
        <v>0.87</v>
      </c>
      <c r="K55" s="27" t="n">
        <v>0.956</v>
      </c>
      <c r="L55" s="28">
        <f>(1-ABS(J55-K55)/J55)*100</f>
        <v/>
      </c>
      <c r="M55" s="26" t="n">
        <v>0.27</v>
      </c>
      <c r="N55" s="27" t="n">
        <v>0.253</v>
      </c>
      <c r="O55" s="28">
        <f>(1-ABS(M55-N55)/M55)*100</f>
        <v/>
      </c>
      <c r="P55" s="29" t="n">
        <v>0.41</v>
      </c>
      <c r="Q55" s="30" t="n">
        <v>0.636</v>
      </c>
      <c r="R55" s="28">
        <f>(1-ABS(P55-Q55)/P55)*100</f>
        <v/>
      </c>
      <c r="S55" s="31" t="n">
        <v>15</v>
      </c>
      <c r="T55" s="29" t="n">
        <v>11.88</v>
      </c>
      <c r="U55" s="28">
        <f>(1-ABS(S55-T55)/S55)*100</f>
        <v/>
      </c>
    </row>
    <row r="56">
      <c r="B56" s="24" t="inlineStr">
        <is>
          <t>10/22</t>
        </is>
      </c>
      <c r="C56" s="25" t="n">
        <v>3942</v>
      </c>
      <c r="D56" s="26" t="n">
        <v>2.58</v>
      </c>
      <c r="E56" s="27" t="n">
        <v>2.447</v>
      </c>
      <c r="F56" s="28">
        <f>(1-ABS(D56-E56)/D56)*100</f>
        <v/>
      </c>
      <c r="G56" s="27" t="n">
        <v>0.172</v>
      </c>
      <c r="H56" s="27" t="n">
        <v>0.156</v>
      </c>
      <c r="I56" s="28">
        <f>(1-ABS(G56-H56)/G56)*100</f>
        <v/>
      </c>
      <c r="J56" s="26" t="n">
        <v>0.88</v>
      </c>
      <c r="K56" s="27" t="n">
        <v>0.982</v>
      </c>
      <c r="L56" s="28">
        <f>(1-ABS(J56-K56)/J56)*100</f>
        <v/>
      </c>
      <c r="M56" s="26" t="n">
        <v>0.33</v>
      </c>
      <c r="N56" s="27" t="n">
        <v>0.278</v>
      </c>
      <c r="O56" s="28">
        <f>(1-ABS(M56-N56)/M56)*100</f>
        <v/>
      </c>
      <c r="P56" s="29" t="n">
        <v>0.44</v>
      </c>
      <c r="Q56" s="30" t="n">
        <v>0.657</v>
      </c>
      <c r="R56" s="28">
        <f>(1-ABS(P56-Q56)/P56)*100</f>
        <v/>
      </c>
      <c r="S56" s="31" t="n">
        <v>14</v>
      </c>
      <c r="T56" s="29" t="n">
        <v>11.91</v>
      </c>
      <c r="U56" s="28">
        <f>(1-ABS(S56-T56)/S56)*100</f>
        <v/>
      </c>
    </row>
    <row r="57">
      <c r="B57" s="24" t="inlineStr">
        <is>
          <t>10/26</t>
        </is>
      </c>
      <c r="C57" s="25" t="n">
        <v>2376</v>
      </c>
      <c r="D57" s="26" t="n">
        <v>2.67</v>
      </c>
      <c r="E57" s="27" t="n">
        <v>2.374</v>
      </c>
      <c r="F57" s="28">
        <f>(1-ABS(D57-E57)/D57)*100</f>
        <v/>
      </c>
      <c r="G57" s="27" t="n">
        <v>0.169</v>
      </c>
      <c r="H57" s="27" t="n">
        <v>0.152</v>
      </c>
      <c r="I57" s="28">
        <f>(1-ABS(G57-H57)/G57)*100</f>
        <v/>
      </c>
      <c r="J57" s="26" t="n">
        <v>0.83</v>
      </c>
      <c r="K57" s="27" t="n">
        <v>0.951</v>
      </c>
      <c r="L57" s="28">
        <f>(1-ABS(J57-K57)/J57)*100</f>
        <v/>
      </c>
      <c r="M57" s="26" t="n">
        <v>0.29</v>
      </c>
      <c r="N57" s="27" t="n">
        <v>0.273</v>
      </c>
      <c r="O57" s="28">
        <f>(1-ABS(M57-N57)/M57)*100</f>
        <v/>
      </c>
      <c r="P57" s="29" t="n">
        <v>0.47</v>
      </c>
      <c r="Q57" s="30" t="n">
        <v>0.646</v>
      </c>
      <c r="R57" s="28">
        <f>(1-ABS(P57-Q57)/P57)*100</f>
        <v/>
      </c>
      <c r="S57" s="31" t="n">
        <v>14</v>
      </c>
      <c r="T57" s="29" t="n">
        <v>11.02</v>
      </c>
      <c r="U57" s="28">
        <f>(1-ABS(S57-T57)/S57)*100</f>
        <v/>
      </c>
    </row>
    <row r="58">
      <c r="B58" s="24" t="inlineStr">
        <is>
          <t>10/27</t>
        </is>
      </c>
      <c r="C58" s="25" t="n">
        <v>1509</v>
      </c>
      <c r="D58" s="26" t="n">
        <v>2.64</v>
      </c>
      <c r="E58" s="27" t="n">
        <v>1.859</v>
      </c>
      <c r="F58" s="28">
        <f>(1-ABS(D58-E58)/D58)*100</f>
        <v/>
      </c>
      <c r="G58" s="27" t="n">
        <v>0.159</v>
      </c>
      <c r="H58" s="27" t="n">
        <v>0.115</v>
      </c>
      <c r="I58" s="28">
        <f>(1-ABS(G58-H58)/G58)*100</f>
        <v/>
      </c>
      <c r="J58" s="26" t="n">
        <v>0.99</v>
      </c>
      <c r="K58" s="27" t="n">
        <v>0.728</v>
      </c>
      <c r="L58" s="28">
        <f>(1-ABS(J58-K58)/J58)*100</f>
        <v/>
      </c>
      <c r="M58" s="26" t="n">
        <v>0.28</v>
      </c>
      <c r="N58" s="27" t="n">
        <v>0.228</v>
      </c>
      <c r="O58" s="28">
        <f>(1-ABS(M58-N58)/M58)*100</f>
        <v/>
      </c>
      <c r="P58" s="29" t="n">
        <v>0.48</v>
      </c>
      <c r="Q58" s="30" t="n">
        <v>0.471</v>
      </c>
      <c r="R58" s="28">
        <f>(1-ABS(P58-Q58)/P58)*100</f>
        <v/>
      </c>
      <c r="S58" s="31" t="n">
        <v>15</v>
      </c>
      <c r="T58" s="29" t="n">
        <v>8.800000000000001</v>
      </c>
      <c r="U58" s="28">
        <f>(1-ABS(S58-T58)/S58)*100</f>
        <v/>
      </c>
    </row>
    <row r="59">
      <c r="B59" s="24" t="inlineStr">
        <is>
          <t>10/21</t>
        </is>
      </c>
      <c r="C59" s="25" t="n">
        <v>3705</v>
      </c>
      <c r="D59" s="26" t="n">
        <v>2.66</v>
      </c>
      <c r="E59" s="27" t="n">
        <v>2.424</v>
      </c>
      <c r="F59" s="28">
        <f>(1-ABS(D59-E59)/D59)*100</f>
        <v/>
      </c>
      <c r="G59" s="27" t="n">
        <v>0.165</v>
      </c>
      <c r="H59" s="27" t="n">
        <v>0.152</v>
      </c>
      <c r="I59" s="28">
        <f>(1-ABS(G59-H59)/G59)*100</f>
        <v/>
      </c>
      <c r="J59" s="26" t="n">
        <v>1.13</v>
      </c>
      <c r="K59" s="27" t="n">
        <v>0.997</v>
      </c>
      <c r="L59" s="28">
        <f>(1-ABS(J59-K59)/J59)*100</f>
        <v/>
      </c>
      <c r="M59" s="26" t="n">
        <v>0.32</v>
      </c>
      <c r="N59" s="27" t="n">
        <v>0.265</v>
      </c>
      <c r="O59" s="28">
        <f>(1-ABS(M59-N59)/M59)*100</f>
        <v/>
      </c>
      <c r="P59" s="29" t="n">
        <v>0.48</v>
      </c>
      <c r="Q59" s="30" t="n">
        <v>0.611</v>
      </c>
      <c r="R59" s="28">
        <f>(1-ABS(P59-Q59)/P59)*100</f>
        <v/>
      </c>
      <c r="S59" s="31" t="n">
        <v>18</v>
      </c>
      <c r="T59" s="29" t="n">
        <v>12.69</v>
      </c>
      <c r="U59" s="28">
        <f>(1-ABS(S59-T59)/S59)*100</f>
        <v/>
      </c>
    </row>
    <row r="60">
      <c r="B60" s="24" t="inlineStr">
        <is>
          <t>10/23</t>
        </is>
      </c>
      <c r="C60" s="25" t="n">
        <v>903</v>
      </c>
      <c r="D60" s="26" t="n">
        <v>2.54</v>
      </c>
      <c r="E60" s="27" t="n">
        <v>2.253</v>
      </c>
      <c r="F60" s="28">
        <f>(1-ABS(D60-E60)/D60)*100</f>
        <v/>
      </c>
      <c r="G60" s="27" t="n">
        <v>0.173</v>
      </c>
      <c r="H60" s="27" t="n">
        <v>0.146</v>
      </c>
      <c r="I60" s="28">
        <f>(1-ABS(G60-H60)/G60)*100</f>
        <v/>
      </c>
      <c r="J60" s="26" t="n">
        <v>1.15</v>
      </c>
      <c r="K60" s="27" t="n">
        <v>0.884</v>
      </c>
      <c r="L60" s="28">
        <f>(1-ABS(J60-K60)/J60)*100</f>
        <v/>
      </c>
      <c r="M60" s="26" t="n">
        <v>0.31</v>
      </c>
      <c r="N60" s="27" t="n">
        <v>0.28</v>
      </c>
      <c r="O60" s="28">
        <f>(1-ABS(M60-N60)/M60)*100</f>
        <v/>
      </c>
      <c r="P60" s="29" t="n">
        <v>0.59</v>
      </c>
      <c r="Q60" s="30" t="n">
        <v>0.632</v>
      </c>
      <c r="R60" s="28">
        <f>(1-ABS(P60-Q60)/P60)*100</f>
        <v/>
      </c>
      <c r="S60" s="31" t="n">
        <v>18</v>
      </c>
      <c r="T60" s="29" t="n">
        <v>9.49</v>
      </c>
      <c r="U60" s="28">
        <f>(1-ABS(S60-T60)/S60)*100</f>
        <v/>
      </c>
    </row>
    <row r="61">
      <c r="B61" s="24" t="inlineStr">
        <is>
          <t>11/15</t>
        </is>
      </c>
      <c r="C61" s="25" t="n">
        <v>3998</v>
      </c>
      <c r="D61" s="26" t="n">
        <v>2.58</v>
      </c>
      <c r="E61" s="27" t="n">
        <v>2.369</v>
      </c>
      <c r="F61" s="28">
        <f>(1-ABS(D61-E61)/D61)*100</f>
        <v/>
      </c>
      <c r="G61" s="27" t="n">
        <v>0.151</v>
      </c>
      <c r="H61" s="27" t="n">
        <v>0.152</v>
      </c>
      <c r="I61" s="28">
        <f>(1-ABS(G61-H61)/G61)*100</f>
        <v/>
      </c>
      <c r="J61" s="26" t="n">
        <v>0.8100000000000001</v>
      </c>
      <c r="K61" s="27" t="n">
        <v>0.95</v>
      </c>
      <c r="L61" s="28">
        <f>(1-ABS(J61-K61)/J61)*100</f>
        <v/>
      </c>
      <c r="M61" s="26" t="n">
        <v>0.28</v>
      </c>
      <c r="N61" s="27" t="n">
        <v>0.274</v>
      </c>
      <c r="O61" s="28">
        <f>(1-ABS(M61-N61)/M61)*100</f>
        <v/>
      </c>
      <c r="P61" s="29" t="n">
        <v>0.48</v>
      </c>
      <c r="Q61" s="30" t="n">
        <v>0.628</v>
      </c>
      <c r="R61" s="28">
        <f>(1-ABS(P61-Q61)/P61)*100</f>
        <v/>
      </c>
      <c r="S61" s="31" t="n">
        <v>19</v>
      </c>
      <c r="T61" s="29" t="n">
        <v>11.69</v>
      </c>
      <c r="U61" s="28">
        <f>(1-ABS(S61-T61)/S61)*100</f>
        <v/>
      </c>
    </row>
    <row r="62">
      <c r="B62" s="24" t="inlineStr">
        <is>
          <t>11/25A</t>
        </is>
      </c>
      <c r="C62" s="25" t="n">
        <v>1397</v>
      </c>
      <c r="D62" s="26" t="n">
        <v>2.6</v>
      </c>
      <c r="E62" s="27" t="n">
        <v>1.908</v>
      </c>
      <c r="F62" s="28">
        <f>(1-ABS(D62-E62)/D62)*100</f>
        <v/>
      </c>
      <c r="G62" s="27" t="n">
        <v>0.152</v>
      </c>
      <c r="H62" s="27" t="n">
        <v>0.119</v>
      </c>
      <c r="I62" s="28">
        <f>(1-ABS(G62-H62)/G62)*100</f>
        <v/>
      </c>
      <c r="J62" s="26" t="n">
        <v>0.85</v>
      </c>
      <c r="K62" s="27" t="n">
        <v>0.759</v>
      </c>
      <c r="L62" s="28">
        <f>(1-ABS(J62-K62)/J62)*100</f>
        <v/>
      </c>
      <c r="M62" s="26" t="n">
        <v>0.31</v>
      </c>
      <c r="N62" s="27" t="n">
        <v>0.232</v>
      </c>
      <c r="O62" s="28">
        <f>(1-ABS(M62-N62)/M62)*100</f>
        <v/>
      </c>
      <c r="P62" s="29" t="n">
        <v>0.47</v>
      </c>
      <c r="Q62" s="30" t="n">
        <v>0.481</v>
      </c>
      <c r="R62" s="28">
        <f>(1-ABS(P62-Q62)/P62)*100</f>
        <v/>
      </c>
      <c r="S62" s="31" t="n">
        <v>17</v>
      </c>
      <c r="T62" s="29" t="n">
        <v>8.960000000000001</v>
      </c>
      <c r="U62" s="28">
        <f>(1-ABS(S62-T62)/S62)*100</f>
        <v/>
      </c>
    </row>
    <row r="63">
      <c r="B63" s="24" t="inlineStr">
        <is>
          <t>11/14A</t>
        </is>
      </c>
      <c r="C63" s="25" t="n">
        <v>2357</v>
      </c>
      <c r="D63" s="26" t="n">
        <v>2.64</v>
      </c>
      <c r="E63" s="27" t="n">
        <v>2.118</v>
      </c>
      <c r="F63" s="28">
        <f>(1-ABS(D63-E63)/D63)*100</f>
        <v/>
      </c>
      <c r="G63" s="27" t="n">
        <v>0.17</v>
      </c>
      <c r="H63" s="27" t="n">
        <v>0.135</v>
      </c>
      <c r="I63" s="28">
        <f>(1-ABS(G63-H63)/G63)*100</f>
        <v/>
      </c>
      <c r="J63" s="26" t="n">
        <v>0.96</v>
      </c>
      <c r="K63" s="27" t="n">
        <v>0.846</v>
      </c>
      <c r="L63" s="28">
        <f>(1-ABS(J63-K63)/J63)*100</f>
        <v/>
      </c>
      <c r="M63" s="26" t="n">
        <v>0.31</v>
      </c>
      <c r="N63" s="27" t="n">
        <v>0.251</v>
      </c>
      <c r="O63" s="28">
        <f>(1-ABS(M63-N63)/M63)*100</f>
        <v/>
      </c>
      <c r="P63" s="29" t="n">
        <v>0.42</v>
      </c>
      <c r="Q63" s="30" t="n">
        <v>0.5600000000000001</v>
      </c>
      <c r="R63" s="28">
        <f>(1-ABS(P63-Q63)/P63)*100</f>
        <v/>
      </c>
      <c r="S63" s="31" t="n">
        <v>17</v>
      </c>
      <c r="T63" s="29" t="n">
        <v>10.01</v>
      </c>
      <c r="U63" s="28">
        <f>(1-ABS(S63-T63)/S63)*100</f>
        <v/>
      </c>
    </row>
    <row r="64">
      <c r="B64" s="24" t="inlineStr">
        <is>
          <t>11/24</t>
        </is>
      </c>
      <c r="C64" s="25" t="n">
        <v>2205</v>
      </c>
      <c r="D64" s="26" t="n">
        <v>2.51</v>
      </c>
      <c r="E64" s="27" t="n">
        <v>2.371</v>
      </c>
      <c r="F64" s="28">
        <f>(1-ABS(D64-E64)/D64)*100</f>
        <v/>
      </c>
      <c r="G64" s="27" t="n">
        <v>0.174</v>
      </c>
      <c r="H64" s="27" t="n">
        <v>0.152</v>
      </c>
      <c r="I64" s="28">
        <f>(1-ABS(G64-H64)/G64)*100</f>
        <v/>
      </c>
      <c r="J64" s="26" t="n">
        <v>0.92</v>
      </c>
      <c r="K64" s="27" t="n">
        <v>0.949</v>
      </c>
      <c r="L64" s="28">
        <f>(1-ABS(J64-K64)/J64)*100</f>
        <v/>
      </c>
      <c r="M64" s="26" t="n">
        <v>0.31</v>
      </c>
      <c r="N64" s="27" t="n">
        <v>0.275</v>
      </c>
      <c r="O64" s="28">
        <f>(1-ABS(M64-N64)/M64)*100</f>
        <v/>
      </c>
      <c r="P64" s="29" t="n">
        <v>0.4</v>
      </c>
      <c r="Q64" s="30" t="n">
        <v>0.634</v>
      </c>
      <c r="R64" s="28">
        <f>(1-ABS(P64-Q64)/P64)*100</f>
        <v/>
      </c>
      <c r="S64" s="31" t="n">
        <v>16</v>
      </c>
      <c r="T64" s="29" t="n">
        <v>11.14</v>
      </c>
      <c r="U64" s="28">
        <f>(1-ABS(S64-T64)/S64)*100</f>
        <v/>
      </c>
    </row>
    <row r="65">
      <c r="B65" s="24" t="inlineStr">
        <is>
          <t>11/24A</t>
        </is>
      </c>
      <c r="C65" s="25" t="n">
        <v>3994</v>
      </c>
      <c r="D65" s="26" t="n">
        <v>2.59</v>
      </c>
      <c r="E65" s="27" t="n">
        <v>2.388</v>
      </c>
      <c r="F65" s="28">
        <f>(1-ABS(D65-E65)/D65)*100</f>
        <v/>
      </c>
      <c r="G65" s="27" t="n">
        <v>0.167</v>
      </c>
      <c r="H65" s="27" t="n">
        <v>0.154</v>
      </c>
      <c r="I65" s="28">
        <f>(1-ABS(G65-H65)/G65)*100</f>
        <v/>
      </c>
      <c r="J65" s="26" t="n">
        <v>0.85</v>
      </c>
      <c r="K65" s="27" t="n">
        <v>0.952</v>
      </c>
      <c r="L65" s="28">
        <f>(1-ABS(J65-K65)/J65)*100</f>
        <v/>
      </c>
      <c r="M65" s="26" t="n">
        <v>0.27</v>
      </c>
      <c r="N65" s="27" t="n">
        <v>0.274</v>
      </c>
      <c r="O65" s="28">
        <f>(1-ABS(M65-N65)/M65)*100</f>
        <v/>
      </c>
      <c r="P65" s="29" t="n">
        <v>0.49</v>
      </c>
      <c r="Q65" s="30" t="n">
        <v>0.634</v>
      </c>
      <c r="R65" s="28">
        <f>(1-ABS(P65-Q65)/P65)*100</f>
        <v/>
      </c>
      <c r="S65" s="31" t="n">
        <v>15</v>
      </c>
      <c r="T65" s="29" t="n">
        <v>11.82</v>
      </c>
      <c r="U65" s="28">
        <f>(1-ABS(S65-T65)/S65)*100</f>
        <v/>
      </c>
    </row>
    <row r="66">
      <c r="B66" s="24" t="inlineStr">
        <is>
          <t>11/18B</t>
        </is>
      </c>
      <c r="C66" s="25" t="n">
        <v>1568</v>
      </c>
      <c r="D66" s="26" t="n">
        <v>2.6</v>
      </c>
      <c r="E66" s="27" t="n">
        <v>1.753</v>
      </c>
      <c r="F66" s="28">
        <f>(1-ABS(D66-E66)/D66)*100</f>
        <v/>
      </c>
      <c r="G66" s="27" t="n">
        <v>0.16</v>
      </c>
      <c r="H66" s="27" t="n">
        <v>0.107</v>
      </c>
      <c r="I66" s="28">
        <f>(1-ABS(G66-H66)/G66)*100</f>
        <v/>
      </c>
      <c r="J66" s="26" t="n">
        <v>0.83</v>
      </c>
      <c r="K66" s="27" t="n">
        <v>0.6879999999999999</v>
      </c>
      <c r="L66" s="28">
        <f>(1-ABS(J66-K66)/J66)*100</f>
        <v/>
      </c>
      <c r="M66" s="26" t="n">
        <v>0.28</v>
      </c>
      <c r="N66" s="27" t="n">
        <v>0.223</v>
      </c>
      <c r="O66" s="28">
        <f>(1-ABS(M66-N66)/M66)*100</f>
        <v/>
      </c>
      <c r="P66" s="29" t="n">
        <v>0.48</v>
      </c>
      <c r="Q66" s="30" t="n">
        <v>0.441</v>
      </c>
      <c r="R66" s="28">
        <f>(1-ABS(P66-Q66)/P66)*100</f>
        <v/>
      </c>
      <c r="S66" s="31" t="n">
        <v>14</v>
      </c>
      <c r="T66" s="29" t="n">
        <v>8.130000000000001</v>
      </c>
      <c r="U66" s="28">
        <f>(1-ABS(S66-T66)/S66)*100</f>
        <v/>
      </c>
    </row>
    <row r="67">
      <c r="B67" s="24" t="inlineStr">
        <is>
          <t>11/19</t>
        </is>
      </c>
      <c r="C67" s="25" t="n">
        <v>3533</v>
      </c>
      <c r="D67" s="26" t="n">
        <v>2.65</v>
      </c>
      <c r="E67" s="27" t="n">
        <v>1.805</v>
      </c>
      <c r="F67" s="28">
        <f>(1-ABS(D67-E67)/D67)*100</f>
        <v/>
      </c>
      <c r="G67" s="27" t="n">
        <v>0.159</v>
      </c>
      <c r="H67" s="27" t="n">
        <v>0.112</v>
      </c>
      <c r="I67" s="28">
        <f>(1-ABS(G67-H67)/G67)*100</f>
        <v/>
      </c>
      <c r="J67" s="26" t="n">
        <v>0.82</v>
      </c>
      <c r="K67" s="27" t="n">
        <v>0.6879999999999999</v>
      </c>
      <c r="L67" s="28">
        <f>(1-ABS(J67-K67)/J67)*100</f>
        <v/>
      </c>
      <c r="M67" s="26" t="n">
        <v>0.26</v>
      </c>
      <c r="N67" s="27" t="n">
        <v>0.234</v>
      </c>
      <c r="O67" s="28">
        <f>(1-ABS(M67-N67)/M67)*100</f>
        <v/>
      </c>
      <c r="P67" s="29" t="n">
        <v>0.49</v>
      </c>
      <c r="Q67" s="30" t="n">
        <v>0.475</v>
      </c>
      <c r="R67" s="28">
        <f>(1-ABS(P67-Q67)/P67)*100</f>
        <v/>
      </c>
      <c r="S67" s="31" t="n">
        <v>14</v>
      </c>
      <c r="T67" s="29" t="n">
        <v>7.85</v>
      </c>
      <c r="U67" s="28">
        <f>(1-ABS(S67-T67)/S67)*100</f>
        <v/>
      </c>
    </row>
    <row r="68">
      <c r="B68" s="24" t="inlineStr">
        <is>
          <t>12/14B</t>
        </is>
      </c>
      <c r="C68" s="25" t="n">
        <v>1783</v>
      </c>
      <c r="D68" s="26" t="n">
        <v>2.52</v>
      </c>
      <c r="E68" s="27" t="n">
        <v>2.153</v>
      </c>
      <c r="F68" s="28">
        <f>(1-ABS(D68-E68)/D68)*100</f>
        <v/>
      </c>
      <c r="G68" s="27" t="n">
        <v>0.159</v>
      </c>
      <c r="H68" s="27" t="n">
        <v>0.143</v>
      </c>
      <c r="I68" s="28">
        <f>(1-ABS(G68-H68)/G68)*100</f>
        <v/>
      </c>
      <c r="J68" s="26" t="n">
        <v>0.8</v>
      </c>
      <c r="K68" s="27" t="n">
        <v>0.846</v>
      </c>
      <c r="L68" s="28">
        <f>(1-ABS(J68-K68)/J68)*100</f>
        <v/>
      </c>
      <c r="M68" s="26" t="n">
        <v>0.27</v>
      </c>
      <c r="N68" s="27" t="n">
        <v>0.284</v>
      </c>
      <c r="O68" s="28">
        <f>(1-ABS(M68-N68)/M68)*100</f>
        <v/>
      </c>
      <c r="P68" s="29" t="n">
        <v>0.43</v>
      </c>
      <c r="Q68" s="30" t="n">
        <v>0.634</v>
      </c>
      <c r="R68" s="28">
        <f>(1-ABS(P68-Q68)/P68)*100</f>
        <v/>
      </c>
      <c r="S68" s="31" t="n">
        <v>15</v>
      </c>
      <c r="T68" s="29" t="n">
        <v>8.789999999999999</v>
      </c>
      <c r="U68" s="28">
        <f>(1-ABS(S68-T68)/S68)*100</f>
        <v/>
      </c>
    </row>
    <row r="69">
      <c r="B69" s="24" t="inlineStr">
        <is>
          <t>12/25B</t>
        </is>
      </c>
      <c r="C69" s="25" t="n">
        <v>3351</v>
      </c>
      <c r="D69" s="26" t="n">
        <v>2.51</v>
      </c>
      <c r="E69" s="27" t="n">
        <v>2.141</v>
      </c>
      <c r="F69" s="28">
        <f>(1-ABS(D69-E69)/D69)*100</f>
        <v/>
      </c>
      <c r="G69" s="27" t="n">
        <v>0.168</v>
      </c>
      <c r="H69" s="27" t="n">
        <v>0.137</v>
      </c>
      <c r="I69" s="28">
        <f>(1-ABS(G69-H69)/G69)*100</f>
        <v/>
      </c>
      <c r="J69" s="26" t="n">
        <v>0.87</v>
      </c>
      <c r="K69" s="27" t="n">
        <v>0.838</v>
      </c>
      <c r="L69" s="28">
        <f>(1-ABS(J69-K69)/J69)*100</f>
        <v/>
      </c>
      <c r="M69" s="26" t="n">
        <v>0.28</v>
      </c>
      <c r="N69" s="27" t="n">
        <v>0.254</v>
      </c>
      <c r="O69" s="28">
        <f>(1-ABS(M69-N69)/M69)*100</f>
        <v/>
      </c>
      <c r="P69" s="29" t="n">
        <v>0.41</v>
      </c>
      <c r="Q69" s="30" t="n">
        <v>0.58</v>
      </c>
      <c r="R69" s="28">
        <f>(1-ABS(P69-Q69)/P69)*100</f>
        <v/>
      </c>
      <c r="S69" s="31" t="n">
        <v>16</v>
      </c>
      <c r="T69" s="29" t="n">
        <v>9.619999999999999</v>
      </c>
      <c r="U69" s="28">
        <f>(1-ABS(S69-T69)/S69)*100</f>
        <v/>
      </c>
    </row>
    <row r="70">
      <c r="B70" s="24" t="inlineStr">
        <is>
          <t>12/16B</t>
        </is>
      </c>
      <c r="C70" s="25" t="n">
        <v>2998</v>
      </c>
      <c r="D70" s="26" t="n">
        <v>2.57</v>
      </c>
      <c r="E70" s="27" t="n">
        <v>2.118</v>
      </c>
      <c r="F70" s="28">
        <f>(1-ABS(D70-E70)/D70)*100</f>
        <v/>
      </c>
      <c r="G70" s="27" t="n">
        <v>0.172</v>
      </c>
      <c r="H70" s="27" t="n">
        <v>0.135</v>
      </c>
      <c r="I70" s="28">
        <f>(1-ABS(G70-H70)/G70)*100</f>
        <v/>
      </c>
      <c r="J70" s="26" t="n">
        <v>0.9</v>
      </c>
      <c r="K70" s="27" t="n">
        <v>0.843</v>
      </c>
      <c r="L70" s="28">
        <f>(1-ABS(J70-K70)/J70)*100</f>
        <v/>
      </c>
      <c r="M70" s="26" t="n">
        <v>0.3</v>
      </c>
      <c r="N70" s="27" t="n">
        <v>0.262</v>
      </c>
      <c r="O70" s="28">
        <f>(1-ABS(M70-N70)/M70)*100</f>
        <v/>
      </c>
      <c r="P70" s="29" t="n">
        <v>0.4</v>
      </c>
      <c r="Q70" s="30" t="n">
        <v>0.5639999999999999</v>
      </c>
      <c r="R70" s="28">
        <f>(1-ABS(P70-Q70)/P70)*100</f>
        <v/>
      </c>
      <c r="S70" s="31" t="n">
        <v>14</v>
      </c>
      <c r="T70" s="29" t="n">
        <v>9.74</v>
      </c>
      <c r="U70" s="28">
        <f>(1-ABS(S70-T70)/S70)*100</f>
        <v/>
      </c>
    </row>
    <row r="71" ht="35" customHeight="1">
      <c r="A71" s="33" t="inlineStr">
        <is>
          <t>AVG ACCURACY</t>
        </is>
      </c>
      <c r="F71" s="34">
        <f>AVERAGE(F7:F70)</f>
        <v/>
      </c>
      <c r="I71" s="34">
        <f>AVERAGE(I7:I70)</f>
        <v/>
      </c>
      <c r="L71" s="34">
        <f>AVERAGE(L7:L70)</f>
        <v/>
      </c>
      <c r="O71" s="34">
        <f>AVERAGE(O7:O70)</f>
        <v/>
      </c>
      <c r="R71" s="35">
        <f>AVERAGE(R7:R70)</f>
        <v/>
      </c>
      <c r="U71" s="35">
        <f>AVERAGE(U7:U70)</f>
        <v/>
      </c>
    </row>
    <row r="72" ht="40" customHeight="1">
      <c r="A72" s="36" t="inlineStr">
        <is>
          <t>Best result closer to 0</t>
        </is>
      </c>
      <c r="B72" s="24" t="inlineStr">
        <is>
          <t>R^2 (Coefficient of determination)</t>
        </is>
      </c>
      <c r="C72" s="37" t="n"/>
      <c r="D72" s="38">
        <f>RSQ(E7:E70, D7:D70)</f>
        <v/>
      </c>
      <c r="E72" s="39" t="n"/>
      <c r="F72" s="37" t="n"/>
      <c r="G72" s="38">
        <f>RSQ(H7:H70, G7:G70)</f>
        <v/>
      </c>
      <c r="H72" s="39" t="n"/>
      <c r="I72" s="37" t="n"/>
      <c r="J72" s="38">
        <f>RSQ(K7:K70, J7:J70)</f>
        <v/>
      </c>
      <c r="K72" s="39" t="n"/>
      <c r="L72" s="37" t="n"/>
      <c r="M72" s="38">
        <f>RSQ(N7:N70, M7:M70)</f>
        <v/>
      </c>
      <c r="N72" s="39" t="n"/>
      <c r="O72" s="37" t="n"/>
      <c r="P72" s="40">
        <f>RSQ(Q7:Q70, P7:P70)</f>
        <v/>
      </c>
      <c r="Q72" s="39" t="n"/>
      <c r="R72" s="37" t="n"/>
      <c r="S72" s="40">
        <f>RSQ(T7:T70, S7:S70)</f>
        <v/>
      </c>
      <c r="T72" s="39" t="n"/>
      <c r="U72" s="37" t="n"/>
    </row>
    <row r="73" ht="39" customHeight="1">
      <c r="A73" s="36" t="inlineStr">
        <is>
          <t>Best result closer to 1</t>
        </is>
      </c>
      <c r="B73" s="24" t="inlineStr">
        <is>
          <t>MAE (Average size of prediction errors)</t>
        </is>
      </c>
      <c r="C73" s="37" t="n"/>
      <c r="D73" s="38">
        <f>SUMPRODUCT(ABS(D7:D70-E7:E70))/COUNT(D7:D70)</f>
        <v/>
      </c>
      <c r="E73" s="39" t="n"/>
      <c r="F73" s="37" t="n"/>
      <c r="G73" s="38">
        <f>SUMPRODUCT(ABS(G7:G70-H7:H70))/COUNT(G7:G70)</f>
        <v/>
      </c>
      <c r="H73" s="39" t="n"/>
      <c r="I73" s="37" t="n"/>
      <c r="J73" s="38">
        <f>SUMPRODUCT(ABS(J7:J70-K7:K70))/COUNT(J7:J70)</f>
        <v/>
      </c>
      <c r="K73" s="39" t="n"/>
      <c r="L73" s="37" t="n"/>
      <c r="M73" s="38">
        <f>SUMPRODUCT(ABS(M7:M70-N7:N70))/COUNT(M7:M70)</f>
        <v/>
      </c>
      <c r="N73" s="39" t="n"/>
      <c r="O73" s="37" t="n"/>
      <c r="P73" s="40">
        <f>SUMPRODUCT(ABS(P7:P70-Q7:Q70))/COUNT(P7:P70)</f>
        <v/>
      </c>
      <c r="Q73" s="39" t="n"/>
      <c r="R73" s="37" t="n"/>
      <c r="S73" s="40">
        <f>SUMPRODUCT(ABS(S7:S70-T7:T70))/COUNT(S7:S70)</f>
        <v/>
      </c>
      <c r="T73" s="39" t="n"/>
      <c r="U73" s="37" t="n"/>
    </row>
    <row r="74" ht="66" customHeight="1">
      <c r="A74" s="36" t="inlineStr">
        <is>
          <t>Best result closer to 1</t>
        </is>
      </c>
      <c r="B74" s="24" t="inlineStr">
        <is>
          <t>RMSE (Prediction error, with larger mistakes penalised more)</t>
        </is>
      </c>
      <c r="C74" s="37" t="n"/>
      <c r="D74" s="38">
        <f>SQRT(SUMXMY2(D7:D70, E7:E70)/COUNT(D7:D70))</f>
        <v/>
      </c>
      <c r="E74" s="39" t="n"/>
      <c r="F74" s="37" t="n"/>
      <c r="G74" s="38">
        <f>SQRT(SUMXMY2(G7:G70, H7:H70)/COUNT(G7:G70))</f>
        <v/>
      </c>
      <c r="H74" s="39" t="n"/>
      <c r="I74" s="37" t="n"/>
      <c r="J74" s="38">
        <f>SQRT(SUMXMY2(J7:J70, K7:K70)/COUNT(J7:J70))</f>
        <v/>
      </c>
      <c r="K74" s="39" t="n"/>
      <c r="L74" s="37" t="n"/>
      <c r="M74" s="38">
        <f>SQRT(SUMXMY2(M7:M70, N7:N70)/COUNT(M7:M70))</f>
        <v/>
      </c>
      <c r="N74" s="39" t="n"/>
      <c r="O74" s="37" t="n"/>
      <c r="P74" s="40">
        <f>SQRT(SUMXMY2(P7:P70, Q7:Q70)/COUNT(P7:P70))</f>
        <v/>
      </c>
      <c r="Q74" s="39" t="n"/>
      <c r="R74" s="37" t="n"/>
      <c r="S74" s="40">
        <f>SQRT(SUMXMY2(S7:S70, T7:T70)/COUNT(S7:S70))</f>
        <v/>
      </c>
      <c r="T74" s="39" t="n"/>
      <c r="U74" s="37" t="n"/>
    </row>
  </sheetData>
  <mergeCells count="31">
    <mergeCell ref="B4:O4"/>
    <mergeCell ref="B72:C72"/>
    <mergeCell ref="J74:L74"/>
    <mergeCell ref="P72:R72"/>
    <mergeCell ref="G74:I74"/>
    <mergeCell ref="M74:O74"/>
    <mergeCell ref="D72:F72"/>
    <mergeCell ref="G5:I5"/>
    <mergeCell ref="G73:I73"/>
    <mergeCell ref="S74:U74"/>
    <mergeCell ref="D74:F74"/>
    <mergeCell ref="D73:F73"/>
    <mergeCell ref="B73:C73"/>
    <mergeCell ref="M72:O72"/>
    <mergeCell ref="S5:U5"/>
    <mergeCell ref="D5:F5"/>
    <mergeCell ref="P5:R5"/>
    <mergeCell ref="P74:R74"/>
    <mergeCell ref="G72:I72"/>
    <mergeCell ref="J73:L73"/>
    <mergeCell ref="P73:R73"/>
    <mergeCell ref="B5:B6"/>
    <mergeCell ref="P4:U4"/>
    <mergeCell ref="J72:L72"/>
    <mergeCell ref="B74:C74"/>
    <mergeCell ref="J5:L5"/>
    <mergeCell ref="S72:U72"/>
    <mergeCell ref="M5:O5"/>
    <mergeCell ref="C5:C6"/>
    <mergeCell ref="M73:O73"/>
    <mergeCell ref="S73:U73"/>
  </mergeCells>
  <conditionalFormatting sqref="F7:F70 I7:I70 L7:L70 O7:O70 R7:R70 U7:U70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06/1</t>
        </is>
      </c>
      <c r="C7" s="25" t="n">
        <v>5665</v>
      </c>
      <c r="D7" s="26" t="n">
        <v>2.61</v>
      </c>
      <c r="E7" s="27" t="n">
        <v>2.498</v>
      </c>
      <c r="F7" s="28">
        <f>(1-ABS(D7-E7)/D7)*100</f>
        <v/>
      </c>
      <c r="G7" s="27" t="n">
        <v>0.17</v>
      </c>
      <c r="H7" s="27" t="n">
        <v>0.161</v>
      </c>
      <c r="I7" s="28">
        <f>(1-ABS(G7-H7)/G7)*100</f>
        <v/>
      </c>
      <c r="J7" s="26" t="n">
        <v>1.06</v>
      </c>
      <c r="K7" s="27" t="n">
        <v>1.004</v>
      </c>
      <c r="L7" s="28">
        <f>(1-ABS(J7-K7)/J7)*100</f>
        <v/>
      </c>
      <c r="M7" s="26" t="n">
        <v>0.32</v>
      </c>
      <c r="N7" s="27" t="n">
        <v>0.272</v>
      </c>
      <c r="O7" s="28">
        <f>(1-ABS(M7-N7)/M7)*100</f>
        <v/>
      </c>
      <c r="P7" s="29" t="n">
        <v>0.49</v>
      </c>
      <c r="Q7" s="30" t="n">
        <v>0.656</v>
      </c>
      <c r="R7" s="28">
        <f>(1-ABS(P7-Q7)/P7)*100</f>
        <v/>
      </c>
      <c r="S7" s="31" t="n">
        <v>17</v>
      </c>
      <c r="T7" s="29" t="n">
        <v>12.94</v>
      </c>
      <c r="U7" s="28">
        <f>(1-ABS(S7-T7)/S7)*100</f>
        <v/>
      </c>
    </row>
    <row r="8">
      <c r="B8" s="24" t="inlineStr">
        <is>
          <t>06/2</t>
        </is>
      </c>
      <c r="C8" s="25" t="n">
        <v>5420</v>
      </c>
      <c r="D8" s="26" t="n">
        <v>2.56</v>
      </c>
      <c r="E8" s="27" t="n">
        <v>2.483</v>
      </c>
      <c r="F8" s="28">
        <f>(1-ABS(D8-E8)/D8)*100</f>
        <v/>
      </c>
      <c r="G8" s="27" t="n">
        <v>0.171</v>
      </c>
      <c r="H8" s="27" t="n">
        <v>0.161</v>
      </c>
      <c r="I8" s="28">
        <f>(1-ABS(G8-H8)/G8)*100</f>
        <v/>
      </c>
      <c r="J8" s="26" t="n">
        <v>1.08</v>
      </c>
      <c r="K8" s="27" t="n">
        <v>1.001</v>
      </c>
      <c r="L8" s="28">
        <f>(1-ABS(J8-K8)/J8)*100</f>
        <v/>
      </c>
      <c r="M8" s="26" t="n">
        <v>0.31</v>
      </c>
      <c r="N8" s="27" t="n">
        <v>0.272</v>
      </c>
      <c r="O8" s="28">
        <f>(1-ABS(M8-N8)/M8)*100</f>
        <v/>
      </c>
      <c r="P8" s="29" t="n">
        <v>0.44</v>
      </c>
      <c r="Q8" s="30" t="n">
        <v>0.651</v>
      </c>
      <c r="R8" s="28">
        <f>(1-ABS(P8-Q8)/P8)*100</f>
        <v/>
      </c>
      <c r="S8" s="31" t="n">
        <v>18</v>
      </c>
      <c r="T8" s="29" t="n">
        <v>12.86</v>
      </c>
      <c r="U8" s="28">
        <f>(1-ABS(S8-T8)/S8)*100</f>
        <v/>
      </c>
    </row>
    <row r="9">
      <c r="B9" s="24" t="inlineStr">
        <is>
          <t>06/3</t>
        </is>
      </c>
      <c r="C9" s="25" t="n">
        <v>3714</v>
      </c>
      <c r="D9" s="26" t="n">
        <v>2.63</v>
      </c>
      <c r="E9" s="27" t="n">
        <v>2.507</v>
      </c>
      <c r="F9" s="28">
        <f>(1-ABS(D9-E9)/D9)*100</f>
        <v/>
      </c>
      <c r="G9" s="27" t="n">
        <v>0.164</v>
      </c>
      <c r="H9" s="27" t="n">
        <v>0.163</v>
      </c>
      <c r="I9" s="28">
        <f>(1-ABS(G9-H9)/G9)*100</f>
        <v/>
      </c>
      <c r="J9" s="26" t="n">
        <v>0.92</v>
      </c>
      <c r="K9" s="27" t="n">
        <v>1.009</v>
      </c>
      <c r="L9" s="28">
        <f>(1-ABS(J9-K9)/J9)*100</f>
        <v/>
      </c>
      <c r="M9" s="26" t="n">
        <v>0.28</v>
      </c>
      <c r="N9" s="27" t="n">
        <v>0.274</v>
      </c>
      <c r="O9" s="28">
        <f>(1-ABS(M9-N9)/M9)*100</f>
        <v/>
      </c>
      <c r="P9" s="29" t="n">
        <v>0.48</v>
      </c>
      <c r="Q9" s="30" t="n">
        <v>0.656</v>
      </c>
      <c r="R9" s="28">
        <f>(1-ABS(P9-Q9)/P9)*100</f>
        <v/>
      </c>
      <c r="S9" s="31" t="n">
        <v>16</v>
      </c>
      <c r="T9" s="29" t="n">
        <v>13.09</v>
      </c>
      <c r="U9" s="28">
        <f>(1-ABS(S9-T9)/S9)*100</f>
        <v/>
      </c>
    </row>
    <row r="10">
      <c r="B10" s="24" t="inlineStr">
        <is>
          <t>06/4</t>
        </is>
      </c>
      <c r="C10" s="25" t="n">
        <v>5251</v>
      </c>
      <c r="D10" s="26" t="n">
        <v>2.57</v>
      </c>
      <c r="E10" s="27" t="n">
        <v>2.499</v>
      </c>
      <c r="F10" s="28">
        <f>(1-ABS(D10-E10)/D10)*100</f>
        <v/>
      </c>
      <c r="G10" s="27" t="n">
        <v>0.162</v>
      </c>
      <c r="H10" s="27" t="n">
        <v>0.162</v>
      </c>
      <c r="I10" s="28">
        <f>(1-ABS(G10-H10)/G10)*100</f>
        <v/>
      </c>
      <c r="J10" s="26" t="n">
        <v>0.9399999999999999</v>
      </c>
      <c r="K10" s="27" t="n">
        <v>1.005</v>
      </c>
      <c r="L10" s="28">
        <f>(1-ABS(J10-K10)/J10)*100</f>
        <v/>
      </c>
      <c r="M10" s="26" t="n">
        <v>0.28</v>
      </c>
      <c r="N10" s="27" t="n">
        <v>0.264</v>
      </c>
      <c r="O10" s="28">
        <f>(1-ABS(M10-N10)/M10)*100</f>
        <v/>
      </c>
      <c r="P10" s="29" t="n">
        <v>0.43</v>
      </c>
      <c r="Q10" s="30" t="n">
        <v>0.64</v>
      </c>
      <c r="R10" s="28">
        <f>(1-ABS(P10-Q10)/P10)*100</f>
        <v/>
      </c>
      <c r="S10" s="31" t="n">
        <v>19</v>
      </c>
      <c r="T10" s="29" t="n">
        <v>13.7</v>
      </c>
      <c r="U10" s="28">
        <f>(1-ABS(S10-T10)/S10)*100</f>
        <v/>
      </c>
    </row>
    <row r="11">
      <c r="B11" s="24" t="inlineStr">
        <is>
          <t>06/5</t>
        </is>
      </c>
      <c r="C11" s="25" t="n">
        <v>4536</v>
      </c>
      <c r="D11" s="26" t="n">
        <v>2.61</v>
      </c>
      <c r="E11" s="27" t="n">
        <v>2.52</v>
      </c>
      <c r="F11" s="28">
        <f>(1-ABS(D11-E11)/D11)*100</f>
        <v/>
      </c>
      <c r="G11" s="27" t="n">
        <v>0.174</v>
      </c>
      <c r="H11" s="27" t="n">
        <v>0.164</v>
      </c>
      <c r="I11" s="28">
        <f>(1-ABS(G11-H11)/G11)*100</f>
        <v/>
      </c>
      <c r="J11" s="26" t="n">
        <v>1.02</v>
      </c>
      <c r="K11" s="27" t="n">
        <v>1.018</v>
      </c>
      <c r="L11" s="28">
        <f>(1-ABS(J11-K11)/J11)*100</f>
        <v/>
      </c>
      <c r="M11" s="26" t="n">
        <v>0.31</v>
      </c>
      <c r="N11" s="27" t="n">
        <v>0.254</v>
      </c>
      <c r="O11" s="28">
        <f>(1-ABS(M11-N11)/M11)*100</f>
        <v/>
      </c>
      <c r="P11" s="29" t="n">
        <v>0.42</v>
      </c>
      <c r="Q11" s="30" t="n">
        <v>0.642</v>
      </c>
      <c r="R11" s="28">
        <f>(1-ABS(P11-Q11)/P11)*100</f>
        <v/>
      </c>
      <c r="S11" s="31" t="n">
        <v>16</v>
      </c>
      <c r="T11" s="29" t="n">
        <v>14.45</v>
      </c>
      <c r="U11" s="28">
        <f>(1-ABS(S11-T11)/S11)*100</f>
        <v/>
      </c>
    </row>
    <row r="12">
      <c r="B12" s="24" t="inlineStr">
        <is>
          <t>06/6</t>
        </is>
      </c>
      <c r="C12" s="25" t="n">
        <v>4488</v>
      </c>
      <c r="D12" s="26" t="n">
        <v>2.59</v>
      </c>
      <c r="E12" s="27" t="n">
        <v>2.524</v>
      </c>
      <c r="F12" s="28">
        <f>(1-ABS(D12-E12)/D12)*100</f>
        <v/>
      </c>
      <c r="G12" s="27" t="n">
        <v>0.177</v>
      </c>
      <c r="H12" s="27" t="n">
        <v>0.164</v>
      </c>
      <c r="I12" s="28">
        <f>(1-ABS(G12-H12)/G12)*100</f>
        <v/>
      </c>
      <c r="J12" s="26" t="n">
        <v>1.04</v>
      </c>
      <c r="K12" s="27" t="n">
        <v>1.021</v>
      </c>
      <c r="L12" s="28">
        <f>(1-ABS(J12-K12)/J12)*100</f>
        <v/>
      </c>
      <c r="M12" s="26" t="n">
        <v>0.31</v>
      </c>
      <c r="N12" s="27" t="n">
        <v>0.268</v>
      </c>
      <c r="O12" s="28">
        <f>(1-ABS(M12-N12)/M12)*100</f>
        <v/>
      </c>
      <c r="P12" s="29" t="n">
        <v>0.4</v>
      </c>
      <c r="Q12" s="30" t="n">
        <v>0.642</v>
      </c>
      <c r="R12" s="28">
        <f>(1-ABS(P12-Q12)/P12)*100</f>
        <v/>
      </c>
      <c r="S12" s="31" t="n">
        <v>16</v>
      </c>
      <c r="T12" s="29" t="n">
        <v>13.93</v>
      </c>
      <c r="U12" s="28">
        <f>(1-ABS(S12-T12)/S12)*100</f>
        <v/>
      </c>
    </row>
    <row r="13">
      <c r="B13" s="24" t="inlineStr">
        <is>
          <t>06/7</t>
        </is>
      </c>
      <c r="C13" s="25" t="n">
        <v>6283</v>
      </c>
      <c r="D13" s="26" t="n">
        <v>2.67</v>
      </c>
      <c r="E13" s="27" t="n">
        <v>2.534</v>
      </c>
      <c r="F13" s="28">
        <f>(1-ABS(D13-E13)/D13)*100</f>
        <v/>
      </c>
      <c r="G13" s="27" t="n">
        <v>0.169</v>
      </c>
      <c r="H13" s="27" t="n">
        <v>0.164</v>
      </c>
      <c r="I13" s="28">
        <f>(1-ABS(G13-H13)/G13)*100</f>
        <v/>
      </c>
      <c r="J13" s="26" t="n">
        <v>1</v>
      </c>
      <c r="K13" s="27" t="n">
        <v>1.024</v>
      </c>
      <c r="L13" s="28">
        <f>(1-ABS(J13-K13)/J13)*100</f>
        <v/>
      </c>
      <c r="M13" s="26" t="n">
        <v>0.3</v>
      </c>
      <c r="N13" s="27" t="n">
        <v>0.266</v>
      </c>
      <c r="O13" s="28">
        <f>(1-ABS(M13-N13)/M13)*100</f>
        <v/>
      </c>
      <c r="P13" s="29" t="n">
        <v>0.43</v>
      </c>
      <c r="Q13" s="30" t="n">
        <v>0.651</v>
      </c>
      <c r="R13" s="28">
        <f>(1-ABS(P13-Q13)/P13)*100</f>
        <v/>
      </c>
      <c r="S13" s="31" t="n">
        <v>17</v>
      </c>
      <c r="T13" s="29" t="n">
        <v>13.81</v>
      </c>
      <c r="U13" s="28">
        <f>(1-ABS(S13-T13)/S13)*100</f>
        <v/>
      </c>
    </row>
    <row r="14">
      <c r="B14" s="24" t="inlineStr">
        <is>
          <t>06/8</t>
        </is>
      </c>
      <c r="C14" s="25" t="n">
        <v>5212</v>
      </c>
      <c r="D14" s="26" t="n">
        <v>2.57</v>
      </c>
      <c r="E14" s="27" t="n">
        <v>2.508</v>
      </c>
      <c r="F14" s="28">
        <f>(1-ABS(D14-E14)/D14)*100</f>
        <v/>
      </c>
      <c r="G14" s="27" t="n">
        <v>0.158</v>
      </c>
      <c r="H14" s="27" t="n">
        <v>0.163</v>
      </c>
      <c r="I14" s="28">
        <f>(1-ABS(G14-H14)/G14)*100</f>
        <v/>
      </c>
      <c r="J14" s="26" t="n">
        <v>0.91</v>
      </c>
      <c r="K14" s="27" t="n">
        <v>1.011</v>
      </c>
      <c r="L14" s="28">
        <f>(1-ABS(J14-K14)/J14)*100</f>
        <v/>
      </c>
      <c r="M14" s="26" t="n">
        <v>0.26</v>
      </c>
      <c r="N14" s="27" t="n">
        <v>0.265</v>
      </c>
      <c r="O14" s="28">
        <f>(1-ABS(M14-N14)/M14)*100</f>
        <v/>
      </c>
      <c r="P14" s="29" t="n">
        <v>0.4</v>
      </c>
      <c r="Q14" s="30" t="n">
        <v>0.641</v>
      </c>
      <c r="R14" s="28">
        <f>(1-ABS(P14-Q14)/P14)*100</f>
        <v/>
      </c>
      <c r="S14" s="31" t="n">
        <v>15</v>
      </c>
      <c r="T14" s="29" t="n">
        <v>13.84</v>
      </c>
      <c r="U14" s="28">
        <f>(1-ABS(S14-T14)/S14)*100</f>
        <v/>
      </c>
    </row>
    <row r="15">
      <c r="B15" s="24" t="inlineStr">
        <is>
          <t>07/1</t>
        </is>
      </c>
      <c r="C15" s="25" t="n">
        <v>7433</v>
      </c>
      <c r="D15" s="26" t="n">
        <v>2.58</v>
      </c>
      <c r="E15" s="27" t="n">
        <v>2.376</v>
      </c>
      <c r="F15" s="28">
        <f>(1-ABS(D15-E15)/D15)*100</f>
        <v/>
      </c>
      <c r="G15" s="27" t="n">
        <v>0.171</v>
      </c>
      <c r="H15" s="27" t="n">
        <v>0.154</v>
      </c>
      <c r="I15" s="28">
        <f>(1-ABS(G15-H15)/G15)*100</f>
        <v/>
      </c>
      <c r="J15" s="26" t="n">
        <v>1.1</v>
      </c>
      <c r="K15" s="27" t="n">
        <v>0.9429999999999999</v>
      </c>
      <c r="L15" s="28">
        <f>(1-ABS(J15-K15)/J15)*100</f>
        <v/>
      </c>
      <c r="M15" s="26" t="n">
        <v>0.32</v>
      </c>
      <c r="N15" s="27" t="n">
        <v>0.268</v>
      </c>
      <c r="O15" s="28">
        <f>(1-ABS(M15-N15)/M15)*100</f>
        <v/>
      </c>
      <c r="P15" s="29" t="n">
        <v>0.41</v>
      </c>
      <c r="Q15" s="30" t="n">
        <v>0.648</v>
      </c>
      <c r="R15" s="28">
        <f>(1-ABS(P15-Q15)/P15)*100</f>
        <v/>
      </c>
      <c r="S15" s="31" t="n">
        <v>19</v>
      </c>
      <c r="T15" s="29" t="n">
        <v>11.42</v>
      </c>
      <c r="U15" s="28">
        <f>(1-ABS(S15-T15)/S15)*100</f>
        <v/>
      </c>
    </row>
    <row r="16">
      <c r="B16" s="24" t="inlineStr">
        <is>
          <t>07/2</t>
        </is>
      </c>
      <c r="C16" s="25" t="n">
        <v>5865</v>
      </c>
      <c r="D16" s="26" t="n">
        <v>2.56</v>
      </c>
      <c r="E16" s="27" t="n">
        <v>2.522</v>
      </c>
      <c r="F16" s="28">
        <f>(1-ABS(D16-E16)/D16)*100</f>
        <v/>
      </c>
      <c r="G16" s="27" t="n">
        <v>0.159</v>
      </c>
      <c r="H16" s="27" t="n">
        <v>0.164</v>
      </c>
      <c r="I16" s="28">
        <f>(1-ABS(G16-H16)/G16)*100</f>
        <v/>
      </c>
      <c r="J16" s="26" t="n">
        <v>0.86</v>
      </c>
      <c r="K16" s="27" t="n">
        <v>1.018</v>
      </c>
      <c r="L16" s="28">
        <f>(1-ABS(J16-K16)/J16)*100</f>
        <v/>
      </c>
      <c r="M16" s="26" t="n">
        <v>0.3</v>
      </c>
      <c r="N16" s="27" t="n">
        <v>0.271</v>
      </c>
      <c r="O16" s="28">
        <f>(1-ABS(M16-N16)/M16)*100</f>
        <v/>
      </c>
      <c r="P16" s="29" t="n">
        <v>0.5600000000000001</v>
      </c>
      <c r="Q16" s="30" t="n">
        <v>0.652</v>
      </c>
      <c r="R16" s="28">
        <f>(1-ABS(P16-Q16)/P16)*100</f>
        <v/>
      </c>
      <c r="S16" s="31" t="n">
        <v>18</v>
      </c>
      <c r="T16" s="29" t="n">
        <v>13.45</v>
      </c>
      <c r="U16" s="28">
        <f>(1-ABS(S16-T16)/S16)*100</f>
        <v/>
      </c>
    </row>
    <row r="17" ht="40" customHeight="1">
      <c r="A17" s="32" t="inlineStr">
        <is>
          <t>Best result closer to 1</t>
        </is>
      </c>
      <c r="B17" s="24" t="inlineStr">
        <is>
          <t>07/3</t>
        </is>
      </c>
      <c r="C17" s="25" t="n">
        <v>3818</v>
      </c>
      <c r="D17" s="26" t="n">
        <v>2.66</v>
      </c>
      <c r="E17" s="27" t="n">
        <v>2.551</v>
      </c>
      <c r="F17" s="28">
        <f>(1-ABS(D17-E17)/D17)*100</f>
        <v/>
      </c>
      <c r="G17" s="27" t="n">
        <v>0.17</v>
      </c>
      <c r="H17" s="27" t="n">
        <v>0.164</v>
      </c>
      <c r="I17" s="28">
        <f>(1-ABS(G17-H17)/G17)*100</f>
        <v/>
      </c>
      <c r="J17" s="26" t="n">
        <v>1.04</v>
      </c>
      <c r="K17" s="27" t="n">
        <v>1.048</v>
      </c>
      <c r="L17" s="28">
        <f>(1-ABS(J17-K17)/J17)*100</f>
        <v/>
      </c>
      <c r="M17" s="26" t="n">
        <v>0.33</v>
      </c>
      <c r="N17" s="27" t="n">
        <v>0.258</v>
      </c>
      <c r="O17" s="28">
        <f>(1-ABS(M17-N17)/M17)*100</f>
        <v/>
      </c>
      <c r="P17" s="29" t="n">
        <v>0.41</v>
      </c>
      <c r="Q17" s="30" t="n">
        <v>0.64</v>
      </c>
      <c r="R17" s="28">
        <f>(1-ABS(P17-Q17)/P17)*100</f>
        <v/>
      </c>
      <c r="S17" s="31" t="n">
        <v>18</v>
      </c>
      <c r="T17" s="29" t="n">
        <v>14.09</v>
      </c>
      <c r="U17" s="28">
        <f>(1-ABS(S17-T17)/S17)*100</f>
        <v/>
      </c>
    </row>
    <row r="18" ht="39" customHeight="1">
      <c r="A18" s="32" t="inlineStr">
        <is>
          <t>Best result closer to 0</t>
        </is>
      </c>
      <c r="B18" s="24" t="inlineStr">
        <is>
          <t>07/4</t>
        </is>
      </c>
      <c r="C18" s="25" t="n">
        <v>4362</v>
      </c>
      <c r="D18" s="26" t="n">
        <v>2.64</v>
      </c>
      <c r="E18" s="27" t="n">
        <v>2.525</v>
      </c>
      <c r="F18" s="28">
        <f>(1-ABS(D18-E18)/D18)*100</f>
        <v/>
      </c>
      <c r="G18" s="27" t="n">
        <v>0.179</v>
      </c>
      <c r="H18" s="27" t="n">
        <v>0.164</v>
      </c>
      <c r="I18" s="28">
        <f>(1-ABS(G18-H18)/G18)*100</f>
        <v/>
      </c>
      <c r="J18" s="26" t="n">
        <v>1.04</v>
      </c>
      <c r="K18" s="27" t="n">
        <v>1.022</v>
      </c>
      <c r="L18" s="28">
        <f>(1-ABS(J18-K18)/J18)*100</f>
        <v/>
      </c>
      <c r="M18" s="26" t="n">
        <v>0.3</v>
      </c>
      <c r="N18" s="27" t="n">
        <v>0.264</v>
      </c>
      <c r="O18" s="28">
        <f>(1-ABS(M18-N18)/M18)*100</f>
        <v/>
      </c>
      <c r="P18" s="29" t="n">
        <v>0.43</v>
      </c>
      <c r="Q18" s="30" t="n">
        <v>0.643</v>
      </c>
      <c r="R18" s="28">
        <f>(1-ABS(P18-Q18)/P18)*100</f>
        <v/>
      </c>
      <c r="S18" s="31" t="n">
        <v>19</v>
      </c>
      <c r="T18" s="29" t="n">
        <v>13.87</v>
      </c>
      <c r="U18" s="28">
        <f>(1-ABS(S18-T18)/S18)*100</f>
        <v/>
      </c>
    </row>
    <row r="19" ht="66" customHeight="1">
      <c r="A19" s="32" t="inlineStr">
        <is>
          <t>Best result closer to 1</t>
        </is>
      </c>
      <c r="B19" s="24" t="inlineStr">
        <is>
          <t>07/5</t>
        </is>
      </c>
      <c r="C19" s="25" t="n">
        <v>4583</v>
      </c>
      <c r="D19" s="26" t="n">
        <v>2.59</v>
      </c>
      <c r="E19" s="27" t="n">
        <v>2.5</v>
      </c>
      <c r="F19" s="28">
        <f>(1-ABS(D19-E19)/D19)*100</f>
        <v/>
      </c>
      <c r="G19" s="27" t="n">
        <v>0.172</v>
      </c>
      <c r="H19" s="27" t="n">
        <v>0.162</v>
      </c>
      <c r="I19" s="28">
        <f>(1-ABS(G19-H19)/G19)*100</f>
        <v/>
      </c>
      <c r="J19" s="26" t="n">
        <v>1.15</v>
      </c>
      <c r="K19" s="27" t="n">
        <v>1.015</v>
      </c>
      <c r="L19" s="28">
        <f>(1-ABS(J19-K19)/J19)*100</f>
        <v/>
      </c>
      <c r="M19" s="26" t="n">
        <v>0.34</v>
      </c>
      <c r="N19" s="27" t="n">
        <v>0.279</v>
      </c>
      <c r="O19" s="28">
        <f>(1-ABS(M19-N19)/M19)*100</f>
        <v/>
      </c>
      <c r="P19" s="29" t="n">
        <v>0.48</v>
      </c>
      <c r="Q19" s="30" t="n">
        <v>0.654</v>
      </c>
      <c r="R19" s="28">
        <f>(1-ABS(P19-Q19)/P19)*100</f>
        <v/>
      </c>
      <c r="S19" s="31" t="n">
        <v>19</v>
      </c>
      <c r="T19" s="29" t="n">
        <v>12.62</v>
      </c>
      <c r="U19" s="28">
        <f>(1-ABS(S19-T19)/S19)*100</f>
        <v/>
      </c>
    </row>
    <row r="20">
      <c r="B20" s="24" t="inlineStr">
        <is>
          <t>07/6</t>
        </is>
      </c>
      <c r="C20" s="25" t="n">
        <v>6569</v>
      </c>
      <c r="D20" s="26" t="n">
        <v>2.54</v>
      </c>
      <c r="E20" s="27" t="n">
        <v>2.526</v>
      </c>
      <c r="F20" s="28">
        <f>(1-ABS(D20-E20)/D20)*100</f>
        <v/>
      </c>
      <c r="G20" s="27" t="n">
        <v>0.168</v>
      </c>
      <c r="H20" s="27" t="n">
        <v>0.163</v>
      </c>
      <c r="I20" s="28">
        <f>(1-ABS(G20-H20)/G20)*100</f>
        <v/>
      </c>
      <c r="J20" s="26" t="n">
        <v>1.1</v>
      </c>
      <c r="K20" s="27" t="n">
        <v>1.034</v>
      </c>
      <c r="L20" s="28">
        <f>(1-ABS(J20-K20)/J20)*100</f>
        <v/>
      </c>
      <c r="M20" s="26" t="n">
        <v>0.34</v>
      </c>
      <c r="N20" s="27" t="n">
        <v>0.27</v>
      </c>
      <c r="O20" s="28">
        <f>(1-ABS(M20-N20)/M20)*100</f>
        <v/>
      </c>
      <c r="P20" s="29" t="n">
        <v>0.43</v>
      </c>
      <c r="Q20" s="30" t="n">
        <v>0.641</v>
      </c>
      <c r="R20" s="28">
        <f>(1-ABS(P20-Q20)/P20)*100</f>
        <v/>
      </c>
      <c r="S20" s="31" t="n">
        <v>18</v>
      </c>
      <c r="T20" s="29" t="n">
        <v>13.22</v>
      </c>
      <c r="U20" s="28">
        <f>(1-ABS(S20-T20)/S20)*100</f>
        <v/>
      </c>
    </row>
    <row r="21">
      <c r="B21" s="24" t="inlineStr">
        <is>
          <t>07/7</t>
        </is>
      </c>
      <c r="C21" s="25" t="n">
        <v>5399</v>
      </c>
      <c r="D21" s="26" t="n">
        <v>2.66</v>
      </c>
      <c r="E21" s="27" t="n">
        <v>2.516</v>
      </c>
      <c r="F21" s="28">
        <f>(1-ABS(D21-E21)/D21)*100</f>
        <v/>
      </c>
      <c r="G21" s="27" t="n">
        <v>0.175</v>
      </c>
      <c r="H21" s="27" t="n">
        <v>0.163</v>
      </c>
      <c r="I21" s="28">
        <f>(1-ABS(G21-H21)/G21)*100</f>
        <v/>
      </c>
      <c r="J21" s="26" t="n">
        <v>1.04</v>
      </c>
      <c r="K21" s="27" t="n">
        <v>1.021</v>
      </c>
      <c r="L21" s="28">
        <f>(1-ABS(J21-K21)/J21)*100</f>
        <v/>
      </c>
      <c r="M21" s="26" t="n">
        <v>0.29</v>
      </c>
      <c r="N21" s="27" t="n">
        <v>0.274</v>
      </c>
      <c r="O21" s="28">
        <f>(1-ABS(M21-N21)/M21)*100</f>
        <v/>
      </c>
      <c r="P21" s="29" t="n">
        <v>0.43</v>
      </c>
      <c r="Q21" s="30" t="n">
        <v>0.652</v>
      </c>
      <c r="R21" s="28">
        <f>(1-ABS(P21-Q21)/P21)*100</f>
        <v/>
      </c>
      <c r="S21" s="31" t="n">
        <v>16</v>
      </c>
      <c r="T21" s="29" t="n">
        <v>12.9</v>
      </c>
      <c r="U21" s="28">
        <f>(1-ABS(S21-T21)/S21)*100</f>
        <v/>
      </c>
    </row>
    <row r="22">
      <c r="B22" s="24" t="inlineStr">
        <is>
          <t>07/8</t>
        </is>
      </c>
      <c r="C22" s="25" t="n">
        <v>2956</v>
      </c>
      <c r="D22" s="26" t="n">
        <v>2.61</v>
      </c>
      <c r="E22" s="27" t="n">
        <v>2.494</v>
      </c>
      <c r="F22" s="28">
        <f>(1-ABS(D22-E22)/D22)*100</f>
        <v/>
      </c>
      <c r="G22" s="27" t="n">
        <v>0.163</v>
      </c>
      <c r="H22" s="27" t="n">
        <v>0.162</v>
      </c>
      <c r="I22" s="28">
        <f>(1-ABS(G22-H22)/G22)*100</f>
        <v/>
      </c>
      <c r="J22" s="26" t="n">
        <v>0.9</v>
      </c>
      <c r="K22" s="27" t="n">
        <v>1.011</v>
      </c>
      <c r="L22" s="28">
        <f>(1-ABS(J22-K22)/J22)*100</f>
        <v/>
      </c>
      <c r="M22" s="26" t="n">
        <v>0.31</v>
      </c>
      <c r="N22" s="27" t="n">
        <v>0.283</v>
      </c>
      <c r="O22" s="28">
        <f>(1-ABS(M22-N22)/M22)*100</f>
        <v/>
      </c>
      <c r="P22" s="29" t="n">
        <v>0.44</v>
      </c>
      <c r="Q22" s="30" t="n">
        <v>0.655</v>
      </c>
      <c r="R22" s="28">
        <f>(1-ABS(P22-Q22)/P22)*100</f>
        <v/>
      </c>
      <c r="S22" s="31" t="n">
        <v>18</v>
      </c>
      <c r="T22" s="29" t="n">
        <v>12.31</v>
      </c>
      <c r="U22" s="28">
        <f>(1-ABS(S22-T22)/S22)*100</f>
        <v/>
      </c>
    </row>
    <row r="23">
      <c r="B23" s="24" t="inlineStr">
        <is>
          <t>07/9</t>
        </is>
      </c>
      <c r="C23" s="25" t="n">
        <v>4069</v>
      </c>
      <c r="D23" s="26" t="n">
        <v>2.63</v>
      </c>
      <c r="E23" s="27" t="n">
        <v>2.507</v>
      </c>
      <c r="F23" s="28">
        <f>(1-ABS(D23-E23)/D23)*100</f>
        <v/>
      </c>
      <c r="G23" s="27" t="n">
        <v>0.179</v>
      </c>
      <c r="H23" s="27" t="n">
        <v>0.162</v>
      </c>
      <c r="I23" s="28">
        <f>(1-ABS(G23-H23)/G23)*100</f>
        <v/>
      </c>
      <c r="J23" s="26" t="n">
        <v>1.09</v>
      </c>
      <c r="K23" s="27" t="n">
        <v>1.014</v>
      </c>
      <c r="L23" s="28">
        <f>(1-ABS(J23-K23)/J23)*100</f>
        <v/>
      </c>
      <c r="M23" s="26" t="n">
        <v>0.33</v>
      </c>
      <c r="N23" s="27" t="n">
        <v>0.276</v>
      </c>
      <c r="O23" s="28">
        <f>(1-ABS(M23-N23)/M23)*100</f>
        <v/>
      </c>
      <c r="P23" s="29" t="n">
        <v>0.45</v>
      </c>
      <c r="Q23" s="30" t="n">
        <v>0.65</v>
      </c>
      <c r="R23" s="28">
        <f>(1-ABS(P23-Q23)/P23)*100</f>
        <v/>
      </c>
      <c r="S23" s="31" t="n">
        <v>18</v>
      </c>
      <c r="T23" s="29" t="n">
        <v>12.86</v>
      </c>
      <c r="U23" s="28">
        <f>(1-ABS(S23-T23)/S23)*100</f>
        <v/>
      </c>
    </row>
    <row r="24">
      <c r="B24" s="24" t="inlineStr">
        <is>
          <t>08/1</t>
        </is>
      </c>
      <c r="C24" s="25" t="n">
        <v>4711</v>
      </c>
      <c r="D24" s="26" t="n">
        <v>2.71</v>
      </c>
      <c r="E24" s="27" t="n">
        <v>2.439</v>
      </c>
      <c r="F24" s="28">
        <f>(1-ABS(D24-E24)/D24)*100</f>
        <v/>
      </c>
      <c r="G24" s="27" t="n">
        <v>0.175</v>
      </c>
      <c r="H24" s="27" t="n">
        <v>0.158</v>
      </c>
      <c r="I24" s="28">
        <f>(1-ABS(G24-H24)/G24)*100</f>
        <v/>
      </c>
      <c r="J24" s="26" t="n">
        <v>0.99</v>
      </c>
      <c r="K24" s="27" t="n">
        <v>0.98</v>
      </c>
      <c r="L24" s="28">
        <f>(1-ABS(J24-K24)/J24)*100</f>
        <v/>
      </c>
      <c r="M24" s="26" t="n">
        <v>0.31</v>
      </c>
      <c r="N24" s="27" t="n">
        <v>0.277</v>
      </c>
      <c r="O24" s="28">
        <f>(1-ABS(M24-N24)/M24)*100</f>
        <v/>
      </c>
      <c r="P24" s="29" t="n">
        <v>0.44</v>
      </c>
      <c r="Q24" s="30" t="n">
        <v>0.654</v>
      </c>
      <c r="R24" s="28">
        <f>(1-ABS(P24-Q24)/P24)*100</f>
        <v/>
      </c>
      <c r="S24" s="31" t="n">
        <v>16</v>
      </c>
      <c r="T24" s="29" t="n">
        <v>11.91</v>
      </c>
      <c r="U24" s="28">
        <f>(1-ABS(S24-T24)/S24)*100</f>
        <v/>
      </c>
    </row>
    <row r="25">
      <c r="B25" s="24" t="inlineStr">
        <is>
          <t>08/2</t>
        </is>
      </c>
      <c r="C25" s="25" t="n">
        <v>6311</v>
      </c>
      <c r="D25" s="26" t="n">
        <v>2.73</v>
      </c>
      <c r="E25" s="27" t="n">
        <v>2.346</v>
      </c>
      <c r="F25" s="28">
        <f>(1-ABS(D25-E25)/D25)*100</f>
        <v/>
      </c>
      <c r="G25" s="27" t="n">
        <v>0.171</v>
      </c>
      <c r="H25" s="27" t="n">
        <v>0.151</v>
      </c>
      <c r="I25" s="28">
        <f>(1-ABS(G25-H25)/G25)*100</f>
        <v/>
      </c>
      <c r="J25" s="26" t="n">
        <v>1.11</v>
      </c>
      <c r="K25" s="27" t="n">
        <v>0.9419999999999999</v>
      </c>
      <c r="L25" s="28">
        <f>(1-ABS(J25-K25)/J25)*100</f>
        <v/>
      </c>
      <c r="M25" s="26" t="n">
        <v>0.31</v>
      </c>
      <c r="N25" s="27" t="n">
        <v>0.265</v>
      </c>
      <c r="O25" s="28">
        <f>(1-ABS(M25-N25)/M25)*100</f>
        <v/>
      </c>
      <c r="P25" s="29" t="n">
        <v>0.44</v>
      </c>
      <c r="Q25" s="30" t="n">
        <v>0.619</v>
      </c>
      <c r="R25" s="28">
        <f>(1-ABS(P25-Q25)/P25)*100</f>
        <v/>
      </c>
      <c r="S25" s="31" t="n">
        <v>17</v>
      </c>
      <c r="T25" s="29" t="n">
        <v>11.29</v>
      </c>
      <c r="U25" s="28">
        <f>(1-ABS(S25-T25)/S25)*100</f>
        <v/>
      </c>
    </row>
    <row r="26">
      <c r="B26" s="24" t="inlineStr">
        <is>
          <t>08/3</t>
        </is>
      </c>
      <c r="C26" s="25" t="n">
        <v>8128</v>
      </c>
      <c r="D26" s="26" t="n">
        <v>2.53</v>
      </c>
      <c r="E26" s="27" t="n">
        <v>2.456</v>
      </c>
      <c r="F26" s="28">
        <f>(1-ABS(D26-E26)/D26)*100</f>
        <v/>
      </c>
      <c r="G26" s="27" t="n">
        <v>0.164</v>
      </c>
      <c r="H26" s="27" t="n">
        <v>0.159</v>
      </c>
      <c r="I26" s="28">
        <f>(1-ABS(G26-H26)/G26)*100</f>
        <v/>
      </c>
      <c r="J26" s="26" t="n">
        <v>1.04</v>
      </c>
      <c r="K26" s="27" t="n">
        <v>0.987</v>
      </c>
      <c r="L26" s="28">
        <f>(1-ABS(J26-K26)/J26)*100</f>
        <v/>
      </c>
      <c r="M26" s="26" t="n">
        <v>0.32</v>
      </c>
      <c r="N26" s="27" t="n">
        <v>0.253</v>
      </c>
      <c r="O26" s="28">
        <f>(1-ABS(M26-N26)/M26)*100</f>
        <v/>
      </c>
      <c r="P26" s="29" t="n">
        <v>0.43</v>
      </c>
      <c r="Q26" s="30" t="n">
        <v>0.629</v>
      </c>
      <c r="R26" s="28">
        <f>(1-ABS(P26-Q26)/P26)*100</f>
        <v/>
      </c>
      <c r="S26" s="31" t="n">
        <v>17</v>
      </c>
      <c r="T26" s="29" t="n">
        <v>13.02</v>
      </c>
      <c r="U26" s="28">
        <f>(1-ABS(S26-T26)/S26)*100</f>
        <v/>
      </c>
    </row>
    <row r="27">
      <c r="B27" s="24" t="inlineStr">
        <is>
          <t>08/4</t>
        </is>
      </c>
      <c r="C27" s="25" t="n">
        <v>7608</v>
      </c>
      <c r="D27" s="26" t="n">
        <v>2.55</v>
      </c>
      <c r="E27" s="27" t="n">
        <v>2.446</v>
      </c>
      <c r="F27" s="28">
        <f>(1-ABS(D27-E27)/D27)*100</f>
        <v/>
      </c>
      <c r="G27" s="27" t="n">
        <v>0.176</v>
      </c>
      <c r="H27" s="27" t="n">
        <v>0.159</v>
      </c>
      <c r="I27" s="28">
        <f>(1-ABS(G27-H27)/G27)*100</f>
        <v/>
      </c>
      <c r="J27" s="26" t="n">
        <v>1.11</v>
      </c>
      <c r="K27" s="27" t="n">
        <v>0.982</v>
      </c>
      <c r="L27" s="28">
        <f>(1-ABS(J27-K27)/J27)*100</f>
        <v/>
      </c>
      <c r="M27" s="26" t="n">
        <v>0.33</v>
      </c>
      <c r="N27" s="27" t="n">
        <v>0.26</v>
      </c>
      <c r="O27" s="28">
        <f>(1-ABS(M27-N27)/M27)*100</f>
        <v/>
      </c>
      <c r="P27" s="29" t="n">
        <v>0.41</v>
      </c>
      <c r="Q27" s="30" t="n">
        <v>0.646</v>
      </c>
      <c r="R27" s="28">
        <f>(1-ABS(P27-Q27)/P27)*100</f>
        <v/>
      </c>
      <c r="S27" s="31" t="n">
        <v>15</v>
      </c>
      <c r="T27" s="29" t="n">
        <v>12.88</v>
      </c>
      <c r="U27" s="28">
        <f>(1-ABS(S27-T27)/S27)*100</f>
        <v/>
      </c>
    </row>
    <row r="28">
      <c r="B28" s="24" t="inlineStr">
        <is>
          <t>08/5</t>
        </is>
      </c>
      <c r="C28" s="25" t="n">
        <v>7009</v>
      </c>
      <c r="D28" s="26" t="n">
        <v>2.57</v>
      </c>
      <c r="E28" s="27" t="n">
        <v>2.45</v>
      </c>
      <c r="F28" s="28">
        <f>(1-ABS(D28-E28)/D28)*100</f>
        <v/>
      </c>
      <c r="G28" s="27" t="n">
        <v>0.167</v>
      </c>
      <c r="H28" s="27" t="n">
        <v>0.159</v>
      </c>
      <c r="I28" s="28">
        <f>(1-ABS(G28-H28)/G28)*100</f>
        <v/>
      </c>
      <c r="J28" s="26" t="n">
        <v>0.9</v>
      </c>
      <c r="K28" s="27" t="n">
        <v>0.98</v>
      </c>
      <c r="L28" s="28">
        <f>(1-ABS(J28-K28)/J28)*100</f>
        <v/>
      </c>
      <c r="M28" s="26" t="n">
        <v>0.32</v>
      </c>
      <c r="N28" s="27" t="n">
        <v>0.267</v>
      </c>
      <c r="O28" s="28">
        <f>(1-ABS(M28-N28)/M28)*100</f>
        <v/>
      </c>
      <c r="P28" s="29" t="n">
        <v>0.45</v>
      </c>
      <c r="Q28" s="30" t="n">
        <v>0.652</v>
      </c>
      <c r="R28" s="28">
        <f>(1-ABS(P28-Q28)/P28)*100</f>
        <v/>
      </c>
      <c r="S28" s="31" t="n">
        <v>16</v>
      </c>
      <c r="T28" s="29" t="n">
        <v>12.58</v>
      </c>
      <c r="U28" s="28">
        <f>(1-ABS(S28-T28)/S28)*100</f>
        <v/>
      </c>
    </row>
    <row r="29">
      <c r="B29" s="24" t="inlineStr">
        <is>
          <t>08/6</t>
        </is>
      </c>
      <c r="C29" s="25" t="n">
        <v>4396</v>
      </c>
      <c r="D29" s="26" t="n">
        <v>2.57</v>
      </c>
      <c r="E29" s="27" t="n">
        <v>2.431</v>
      </c>
      <c r="F29" s="28">
        <f>(1-ABS(D29-E29)/D29)*100</f>
        <v/>
      </c>
      <c r="G29" s="27" t="n">
        <v>0.166</v>
      </c>
      <c r="H29" s="27" t="n">
        <v>0.157</v>
      </c>
      <c r="I29" s="28">
        <f>(1-ABS(G29-H29)/G29)*100</f>
        <v/>
      </c>
      <c r="J29" s="26" t="n">
        <v>0.9399999999999999</v>
      </c>
      <c r="K29" s="27" t="n">
        <v>0.963</v>
      </c>
      <c r="L29" s="28">
        <f>(1-ABS(J29-K29)/J29)*100</f>
        <v/>
      </c>
      <c r="M29" s="26" t="n">
        <v>0.33</v>
      </c>
      <c r="N29" s="27" t="n">
        <v>0.28</v>
      </c>
      <c r="O29" s="28">
        <f>(1-ABS(M29-N29)/M29)*100</f>
        <v/>
      </c>
      <c r="P29" s="29" t="n">
        <v>0.44</v>
      </c>
      <c r="Q29" s="30" t="n">
        <v>0.665</v>
      </c>
      <c r="R29" s="28">
        <f>(1-ABS(P29-Q29)/P29)*100</f>
        <v/>
      </c>
      <c r="S29" s="31" t="n">
        <v>14</v>
      </c>
      <c r="T29" s="29" t="n">
        <v>11.48</v>
      </c>
      <c r="U29" s="28">
        <f>(1-ABS(S29-T29)/S29)*100</f>
        <v/>
      </c>
    </row>
    <row r="30">
      <c r="B30" s="24" t="inlineStr">
        <is>
          <t>08/8</t>
        </is>
      </c>
      <c r="C30" s="25" t="n">
        <v>4846</v>
      </c>
      <c r="D30" s="26" t="n">
        <v>2.58</v>
      </c>
      <c r="E30" s="27" t="n">
        <v>2.474</v>
      </c>
      <c r="F30" s="28">
        <f>(1-ABS(D30-E30)/D30)*100</f>
        <v/>
      </c>
      <c r="G30" s="27" t="n">
        <v>0.157</v>
      </c>
      <c r="H30" s="27" t="n">
        <v>0.161</v>
      </c>
      <c r="I30" s="28">
        <f>(1-ABS(G30-H30)/G30)*100</f>
        <v/>
      </c>
      <c r="J30" s="26" t="n">
        <v>0.93</v>
      </c>
      <c r="K30" s="27" t="n">
        <v>1.002</v>
      </c>
      <c r="L30" s="28">
        <f>(1-ABS(J30-K30)/J30)*100</f>
        <v/>
      </c>
      <c r="M30" s="26" t="n">
        <v>0.25</v>
      </c>
      <c r="N30" s="27" t="n">
        <v>0.27</v>
      </c>
      <c r="O30" s="28">
        <f>(1-ABS(M30-N30)/M30)*100</f>
        <v/>
      </c>
      <c r="P30" s="29" t="n">
        <v>0.46</v>
      </c>
      <c r="Q30" s="30" t="n">
        <v>0.637</v>
      </c>
      <c r="R30" s="28">
        <f>(1-ABS(P30-Q30)/P30)*100</f>
        <v/>
      </c>
      <c r="S30" s="31" t="n">
        <v>13</v>
      </c>
      <c r="T30" s="29" t="n">
        <v>13.24</v>
      </c>
      <c r="U30" s="28">
        <f>(1-ABS(S30-T30)/S30)*100</f>
        <v/>
      </c>
    </row>
    <row r="31">
      <c r="B31" s="24" t="inlineStr">
        <is>
          <t>08/9</t>
        </is>
      </c>
      <c r="C31" s="25" t="n">
        <v>5286</v>
      </c>
      <c r="D31" s="26" t="n">
        <v>2.71</v>
      </c>
      <c r="E31" s="27" t="n">
        <v>2.498</v>
      </c>
      <c r="F31" s="28">
        <f>(1-ABS(D31-E31)/D31)*100</f>
        <v/>
      </c>
      <c r="G31" s="27" t="n">
        <v>0.172</v>
      </c>
      <c r="H31" s="27" t="n">
        <v>0.162</v>
      </c>
      <c r="I31" s="28">
        <f>(1-ABS(G31-H31)/G31)*100</f>
        <v/>
      </c>
      <c r="J31" s="26" t="n">
        <v>1.05</v>
      </c>
      <c r="K31" s="27" t="n">
        <v>1.004</v>
      </c>
      <c r="L31" s="28">
        <f>(1-ABS(J31-K31)/J31)*100</f>
        <v/>
      </c>
      <c r="M31" s="26" t="n">
        <v>0.31</v>
      </c>
      <c r="N31" s="27" t="n">
        <v>0.26</v>
      </c>
      <c r="O31" s="28">
        <f>(1-ABS(M31-N31)/M31)*100</f>
        <v/>
      </c>
      <c r="P31" s="29" t="n">
        <v>0.42</v>
      </c>
      <c r="Q31" s="30" t="n">
        <v>0.63</v>
      </c>
      <c r="R31" s="28">
        <f>(1-ABS(P31-Q31)/P31)*100</f>
        <v/>
      </c>
      <c r="S31" s="31" t="n">
        <v>15</v>
      </c>
      <c r="T31" s="29" t="n">
        <v>14.3</v>
      </c>
      <c r="U31" s="28">
        <f>(1-ABS(S31-T31)/S31)*100</f>
        <v/>
      </c>
    </row>
    <row r="32">
      <c r="B32" s="24" t="inlineStr">
        <is>
          <t>08/10</t>
        </is>
      </c>
      <c r="C32" s="25" t="n">
        <v>9278</v>
      </c>
      <c r="D32" s="26" t="n">
        <v>2.57</v>
      </c>
      <c r="E32" s="27" t="n">
        <v>2.512</v>
      </c>
      <c r="F32" s="28">
        <f>(1-ABS(D32-E32)/D32)*100</f>
        <v/>
      </c>
      <c r="G32" s="27" t="n">
        <v>0.17</v>
      </c>
      <c r="H32" s="27" t="n">
        <v>0.163</v>
      </c>
      <c r="I32" s="28">
        <f>(1-ABS(G32-H32)/G32)*100</f>
        <v/>
      </c>
      <c r="J32" s="26" t="n">
        <v>1.14</v>
      </c>
      <c r="K32" s="27" t="n">
        <v>1.011</v>
      </c>
      <c r="L32" s="28">
        <f>(1-ABS(J32-K32)/J32)*100</f>
        <v/>
      </c>
      <c r="M32" s="26" t="n">
        <v>0.3</v>
      </c>
      <c r="N32" s="27" t="n">
        <v>0.262</v>
      </c>
      <c r="O32" s="28">
        <f>(1-ABS(M32-N32)/M32)*100</f>
        <v/>
      </c>
      <c r="P32" s="29" t="n">
        <v>0.41</v>
      </c>
      <c r="Q32" s="30" t="n">
        <v>0.638</v>
      </c>
      <c r="R32" s="28">
        <f>(1-ABS(P32-Q32)/P32)*100</f>
        <v/>
      </c>
      <c r="S32" s="31" t="n">
        <v>15</v>
      </c>
      <c r="T32" s="29" t="n">
        <v>14.15</v>
      </c>
      <c r="U32" s="28">
        <f>(1-ABS(S32-T32)/S32)*100</f>
        <v/>
      </c>
    </row>
    <row r="33">
      <c r="B33" s="24" t="inlineStr">
        <is>
          <t>08/11</t>
        </is>
      </c>
      <c r="C33" s="25" t="n">
        <v>4469</v>
      </c>
      <c r="D33" s="26" t="n">
        <v>2.68</v>
      </c>
      <c r="E33" s="27" t="n">
        <v>2.527</v>
      </c>
      <c r="F33" s="28">
        <f>(1-ABS(D33-E33)/D33)*100</f>
        <v/>
      </c>
      <c r="G33" s="27" t="n">
        <v>0.175</v>
      </c>
      <c r="H33" s="27" t="n">
        <v>0.164</v>
      </c>
      <c r="I33" s="28">
        <f>(1-ABS(G33-H33)/G33)*100</f>
        <v/>
      </c>
      <c r="J33" s="26" t="n">
        <v>0.98</v>
      </c>
      <c r="K33" s="27" t="n">
        <v>1.019</v>
      </c>
      <c r="L33" s="28">
        <f>(1-ABS(J33-K33)/J33)*100</f>
        <v/>
      </c>
      <c r="M33" s="26" t="n">
        <v>0.31</v>
      </c>
      <c r="N33" s="27" t="n">
        <v>0.261</v>
      </c>
      <c r="O33" s="28">
        <f>(1-ABS(M33-N33)/M33)*100</f>
        <v/>
      </c>
      <c r="P33" s="29" t="n">
        <v>0.42</v>
      </c>
      <c r="Q33" s="30" t="n">
        <v>0.637</v>
      </c>
      <c r="R33" s="28">
        <f>(1-ABS(P33-Q33)/P33)*100</f>
        <v/>
      </c>
      <c r="S33" s="31" t="n">
        <v>14</v>
      </c>
      <c r="T33" s="29" t="n">
        <v>14.39</v>
      </c>
      <c r="U33" s="28">
        <f>(1-ABS(S33-T33)/S33)*100</f>
        <v/>
      </c>
    </row>
    <row r="34">
      <c r="B34" s="24" t="inlineStr">
        <is>
          <t>08/12</t>
        </is>
      </c>
      <c r="C34" s="25" t="n">
        <v>4176</v>
      </c>
      <c r="D34" s="26" t="n">
        <v>2.51</v>
      </c>
      <c r="E34" s="27" t="n">
        <v>2.524</v>
      </c>
      <c r="F34" s="28">
        <f>(1-ABS(D34-E34)/D34)*100</f>
        <v/>
      </c>
      <c r="G34" s="27" t="n">
        <v>0.176</v>
      </c>
      <c r="H34" s="27" t="n">
        <v>0.164</v>
      </c>
      <c r="I34" s="28">
        <f>(1-ABS(G34-H34)/G34)*100</f>
        <v/>
      </c>
      <c r="J34" s="26" t="n">
        <v>1.01</v>
      </c>
      <c r="K34" s="27" t="n">
        <v>1.018</v>
      </c>
      <c r="L34" s="28">
        <f>(1-ABS(J34-K34)/J34)*100</f>
        <v/>
      </c>
      <c r="M34" s="26" t="n">
        <v>0.3</v>
      </c>
      <c r="N34" s="27" t="n">
        <v>0.267</v>
      </c>
      <c r="O34" s="28">
        <f>(1-ABS(M34-N34)/M34)*100</f>
        <v/>
      </c>
      <c r="P34" s="29" t="n">
        <v>0.4</v>
      </c>
      <c r="Q34" s="30" t="n">
        <v>0.654</v>
      </c>
      <c r="R34" s="28">
        <f>(1-ABS(P34-Q34)/P34)*100</f>
        <v/>
      </c>
      <c r="S34" s="31" t="n">
        <v>15</v>
      </c>
      <c r="T34" s="29" t="n">
        <v>13.58</v>
      </c>
      <c r="U34" s="28">
        <f>(1-ABS(S34-T34)/S34)*100</f>
        <v/>
      </c>
    </row>
    <row r="35">
      <c r="B35" s="24" t="inlineStr">
        <is>
          <t>08/13</t>
        </is>
      </c>
      <c r="C35" s="25" t="n">
        <v>10938</v>
      </c>
      <c r="D35" s="26" t="n">
        <v>2.65</v>
      </c>
      <c r="E35" s="27" t="n">
        <v>2.517</v>
      </c>
      <c r="F35" s="28">
        <f>(1-ABS(D35-E35)/D35)*100</f>
        <v/>
      </c>
      <c r="G35" s="27" t="n">
        <v>0.179</v>
      </c>
      <c r="H35" s="27" t="n">
        <v>0.164</v>
      </c>
      <c r="I35" s="28">
        <f>(1-ABS(G35-H35)/G35)*100</f>
        <v/>
      </c>
      <c r="J35" s="26" t="n">
        <v>1.08</v>
      </c>
      <c r="K35" s="27" t="n">
        <v>1.014</v>
      </c>
      <c r="L35" s="28">
        <f>(1-ABS(J35-K35)/J35)*100</f>
        <v/>
      </c>
      <c r="M35" s="26" t="n">
        <v>0.32</v>
      </c>
      <c r="N35" s="27" t="n">
        <v>0.267</v>
      </c>
      <c r="O35" s="28">
        <f>(1-ABS(M35-N35)/M35)*100</f>
        <v/>
      </c>
      <c r="P35" s="29" t="n">
        <v>0.4</v>
      </c>
      <c r="Q35" s="30" t="n">
        <v>0.652</v>
      </c>
      <c r="R35" s="28">
        <f>(1-ABS(P35-Q35)/P35)*100</f>
        <v/>
      </c>
      <c r="S35" s="31" t="n">
        <v>15</v>
      </c>
      <c r="T35" s="29" t="n">
        <v>13.56</v>
      </c>
      <c r="U35" s="28">
        <f>(1-ABS(S35-T35)/S35)*100</f>
        <v/>
      </c>
    </row>
    <row r="36">
      <c r="B36" s="24" t="inlineStr">
        <is>
          <t>08/14</t>
        </is>
      </c>
      <c r="C36" s="25" t="n">
        <v>6610</v>
      </c>
      <c r="D36" s="26" t="n">
        <v>2.62</v>
      </c>
      <c r="E36" s="27" t="n">
        <v>2.507</v>
      </c>
      <c r="F36" s="28">
        <f>(1-ABS(D36-E36)/D36)*100</f>
        <v/>
      </c>
      <c r="G36" s="27" t="n">
        <v>0.17</v>
      </c>
      <c r="H36" s="27" t="n">
        <v>0.165</v>
      </c>
      <c r="I36" s="28">
        <f>(1-ABS(G36-H36)/G36)*100</f>
        <v/>
      </c>
      <c r="J36" s="26" t="n">
        <v>1.01</v>
      </c>
      <c r="K36" s="27" t="n">
        <v>1.012</v>
      </c>
      <c r="L36" s="28">
        <f>(1-ABS(J36-K36)/J36)*100</f>
        <v/>
      </c>
      <c r="M36" s="26" t="n">
        <v>0.33</v>
      </c>
      <c r="N36" s="27" t="n">
        <v>0.247</v>
      </c>
      <c r="O36" s="28">
        <f>(1-ABS(M36-N36)/M36)*100</f>
        <v/>
      </c>
      <c r="P36" s="29" t="n">
        <v>0.4</v>
      </c>
      <c r="Q36" s="30" t="n">
        <v>0.644</v>
      </c>
      <c r="R36" s="28">
        <f>(1-ABS(P36-Q36)/P36)*100</f>
        <v/>
      </c>
      <c r="S36" s="31" t="n">
        <v>16</v>
      </c>
      <c r="T36" s="29" t="n">
        <v>14.61</v>
      </c>
      <c r="U36" s="28">
        <f>(1-ABS(S36-T36)/S36)*100</f>
        <v/>
      </c>
    </row>
    <row r="37">
      <c r="B37" s="24" t="inlineStr">
        <is>
          <t>08/15</t>
        </is>
      </c>
      <c r="C37" s="25" t="n">
        <v>6440</v>
      </c>
      <c r="D37" s="26" t="n">
        <v>2.53</v>
      </c>
      <c r="E37" s="27" t="n">
        <v>2.507</v>
      </c>
      <c r="F37" s="28">
        <f>(1-ABS(D37-E37)/D37)*100</f>
        <v/>
      </c>
      <c r="G37" s="27" t="n">
        <v>0.172</v>
      </c>
      <c r="H37" s="27" t="n">
        <v>0.165</v>
      </c>
      <c r="I37" s="28">
        <f>(1-ABS(G37-H37)/G37)*100</f>
        <v/>
      </c>
      <c r="J37" s="26" t="n">
        <v>1.05</v>
      </c>
      <c r="K37" s="27" t="n">
        <v>1.012</v>
      </c>
      <c r="L37" s="28">
        <f>(1-ABS(J37-K37)/J37)*100</f>
        <v/>
      </c>
      <c r="M37" s="26" t="n">
        <v>0.31</v>
      </c>
      <c r="N37" s="27" t="n">
        <v>0.252</v>
      </c>
      <c r="O37" s="28">
        <f>(1-ABS(M37-N37)/M37)*100</f>
        <v/>
      </c>
      <c r="P37" s="29" t="n">
        <v>0.41</v>
      </c>
      <c r="Q37" s="30" t="n">
        <v>0.645</v>
      </c>
      <c r="R37" s="28">
        <f>(1-ABS(P37-Q37)/P37)*100</f>
        <v/>
      </c>
      <c r="S37" s="31" t="n">
        <v>16</v>
      </c>
      <c r="T37" s="29" t="n">
        <v>14.19</v>
      </c>
      <c r="U37" s="28">
        <f>(1-ABS(S37-T37)/S37)*100</f>
        <v/>
      </c>
    </row>
    <row r="38">
      <c r="B38" s="24" t="inlineStr">
        <is>
          <t>08/16</t>
        </is>
      </c>
      <c r="C38" s="25" t="n">
        <v>6992</v>
      </c>
      <c r="D38" s="26" t="n">
        <v>2.69</v>
      </c>
      <c r="E38" s="27" t="n">
        <v>2.535</v>
      </c>
      <c r="F38" s="28">
        <f>(1-ABS(D38-E38)/D38)*100</f>
        <v/>
      </c>
      <c r="G38" s="27" t="n">
        <v>0.177</v>
      </c>
      <c r="H38" s="27" t="n">
        <v>0.165</v>
      </c>
      <c r="I38" s="28">
        <f>(1-ABS(G38-H38)/G38)*100</f>
        <v/>
      </c>
      <c r="J38" s="26" t="n">
        <v>0.97</v>
      </c>
      <c r="K38" s="27" t="n">
        <v>1.027</v>
      </c>
      <c r="L38" s="28">
        <f>(1-ABS(J38-K38)/J38)*100</f>
        <v/>
      </c>
      <c r="M38" s="26" t="n">
        <v>0.29</v>
      </c>
      <c r="N38" s="27" t="n">
        <v>0.275</v>
      </c>
      <c r="O38" s="28">
        <f>(1-ABS(M38-N38)/M38)*100</f>
        <v/>
      </c>
      <c r="P38" s="29" t="n">
        <v>0.48</v>
      </c>
      <c r="Q38" s="30" t="n">
        <v>0.648</v>
      </c>
      <c r="R38" s="28">
        <f>(1-ABS(P38-Q38)/P38)*100</f>
        <v/>
      </c>
      <c r="S38" s="31" t="n">
        <v>16</v>
      </c>
      <c r="T38" s="29" t="n">
        <v>13.96</v>
      </c>
      <c r="U38" s="28">
        <f>(1-ABS(S38-T38)/S38)*100</f>
        <v/>
      </c>
    </row>
    <row r="39">
      <c r="B39" s="24" t="inlineStr">
        <is>
          <t>08/17</t>
        </is>
      </c>
      <c r="C39" s="25" t="n">
        <v>5104</v>
      </c>
      <c r="D39" s="26" t="n">
        <v>2.62</v>
      </c>
      <c r="E39" s="27" t="n">
        <v>2.531</v>
      </c>
      <c r="F39" s="28">
        <f>(1-ABS(D39-E39)/D39)*100</f>
        <v/>
      </c>
      <c r="G39" s="27" t="n">
        <v>0.171</v>
      </c>
      <c r="H39" s="27" t="n">
        <v>0.165</v>
      </c>
      <c r="I39" s="28">
        <f>(1-ABS(G39-H39)/G39)*100</f>
        <v/>
      </c>
      <c r="J39" s="26" t="n">
        <v>0.91</v>
      </c>
      <c r="K39" s="27" t="n">
        <v>1.026</v>
      </c>
      <c r="L39" s="28">
        <f>(1-ABS(J39-K39)/J39)*100</f>
        <v/>
      </c>
      <c r="M39" s="26" t="n">
        <v>0.3</v>
      </c>
      <c r="N39" s="27" t="n">
        <v>0.271</v>
      </c>
      <c r="O39" s="28">
        <f>(1-ABS(M39-N39)/M39)*100</f>
        <v/>
      </c>
      <c r="P39" s="29" t="n">
        <v>0.43</v>
      </c>
      <c r="Q39" s="30" t="n">
        <v>0.649</v>
      </c>
      <c r="R39" s="28">
        <f>(1-ABS(P39-Q39)/P39)*100</f>
        <v/>
      </c>
      <c r="S39" s="31" t="n">
        <v>18</v>
      </c>
      <c r="T39" s="29" t="n">
        <v>13.74</v>
      </c>
      <c r="U39" s="28">
        <f>(1-ABS(S39-T39)/S39)*100</f>
        <v/>
      </c>
    </row>
    <row r="40">
      <c r="B40" s="24" t="inlineStr">
        <is>
          <t>08/18</t>
        </is>
      </c>
      <c r="C40" s="25" t="n">
        <v>4850</v>
      </c>
      <c r="D40" s="26" t="n">
        <v>2.68</v>
      </c>
      <c r="E40" s="27" t="n">
        <v>2.529</v>
      </c>
      <c r="F40" s="28">
        <f>(1-ABS(D40-E40)/D40)*100</f>
        <v/>
      </c>
      <c r="G40" s="27" t="n">
        <v>0.165</v>
      </c>
      <c r="H40" s="27" t="n">
        <v>0.164</v>
      </c>
      <c r="I40" s="28">
        <f>(1-ABS(G40-H40)/G40)*100</f>
        <v/>
      </c>
      <c r="J40" s="26" t="n">
        <v>0.93</v>
      </c>
      <c r="K40" s="27" t="n">
        <v>1.032</v>
      </c>
      <c r="L40" s="28">
        <f>(1-ABS(J40-K40)/J40)*100</f>
        <v/>
      </c>
      <c r="M40" s="26" t="n">
        <v>0.34</v>
      </c>
      <c r="N40" s="27" t="n">
        <v>0.256</v>
      </c>
      <c r="O40" s="28">
        <f>(1-ABS(M40-N40)/M40)*100</f>
        <v/>
      </c>
      <c r="P40" s="29" t="n">
        <v>0.45</v>
      </c>
      <c r="Q40" s="30" t="n">
        <v>0.643</v>
      </c>
      <c r="R40" s="28">
        <f>(1-ABS(P40-Q40)/P40)*100</f>
        <v/>
      </c>
      <c r="S40" s="31" t="n">
        <v>19</v>
      </c>
      <c r="T40" s="29" t="n">
        <v>14.25</v>
      </c>
      <c r="U40" s="28">
        <f>(1-ABS(S40-T40)/S40)*100</f>
        <v/>
      </c>
    </row>
    <row r="41">
      <c r="B41" s="24" t="inlineStr">
        <is>
          <t>08/19</t>
        </is>
      </c>
      <c r="C41" s="25" t="n">
        <v>7139</v>
      </c>
      <c r="D41" s="26" t="n">
        <v>2.72</v>
      </c>
      <c r="E41" s="27" t="n">
        <v>2.455</v>
      </c>
      <c r="F41" s="28">
        <f>(1-ABS(D41-E41)/D41)*100</f>
        <v/>
      </c>
      <c r="G41" s="27" t="n">
        <v>0.172</v>
      </c>
      <c r="H41" s="27" t="n">
        <v>0.159</v>
      </c>
      <c r="I41" s="28">
        <f>(1-ABS(G41-H41)/G41)*100</f>
        <v/>
      </c>
      <c r="J41" s="26" t="n">
        <v>0.97</v>
      </c>
      <c r="K41" s="27" t="n">
        <v>0.99</v>
      </c>
      <c r="L41" s="28">
        <f>(1-ABS(J41-K41)/J41)*100</f>
        <v/>
      </c>
      <c r="M41" s="26" t="n">
        <v>0.29</v>
      </c>
      <c r="N41" s="27" t="n">
        <v>0.266</v>
      </c>
      <c r="O41" s="28">
        <f>(1-ABS(M41-N41)/M41)*100</f>
        <v/>
      </c>
      <c r="P41" s="29" t="n">
        <v>0.43</v>
      </c>
      <c r="Q41" s="30" t="n">
        <v>0.632</v>
      </c>
      <c r="R41" s="28">
        <f>(1-ABS(P41-Q41)/P41)*100</f>
        <v/>
      </c>
      <c r="S41" s="31" t="n">
        <v>14</v>
      </c>
      <c r="T41" s="29" t="n">
        <v>13.19</v>
      </c>
      <c r="U41" s="28">
        <f>(1-ABS(S41-T41)/S41)*100</f>
        <v/>
      </c>
    </row>
    <row r="42">
      <c r="B42" s="24" t="inlineStr">
        <is>
          <t>08/20</t>
        </is>
      </c>
      <c r="C42" s="25" t="n">
        <v>9827</v>
      </c>
      <c r="D42" s="26" t="n">
        <v>2.66</v>
      </c>
      <c r="E42" s="27" t="n">
        <v>2.52</v>
      </c>
      <c r="F42" s="28">
        <f>(1-ABS(D42-E42)/D42)*100</f>
        <v/>
      </c>
      <c r="G42" s="27" t="n">
        <v>0.178</v>
      </c>
      <c r="H42" s="27" t="n">
        <v>0.164</v>
      </c>
      <c r="I42" s="28">
        <f>(1-ABS(G42-H42)/G42)*100</f>
        <v/>
      </c>
      <c r="J42" s="26" t="n">
        <v>1.14</v>
      </c>
      <c r="K42" s="27" t="n">
        <v>1.018</v>
      </c>
      <c r="L42" s="28">
        <f>(1-ABS(J42-K42)/J42)*100</f>
        <v/>
      </c>
      <c r="M42" s="26" t="n">
        <v>0.3</v>
      </c>
      <c r="N42" s="27" t="n">
        <v>0.258</v>
      </c>
      <c r="O42" s="28">
        <f>(1-ABS(M42-N42)/M42)*100</f>
        <v/>
      </c>
      <c r="P42" s="29" t="n">
        <v>0.4</v>
      </c>
      <c r="Q42" s="30" t="n">
        <v>0.644</v>
      </c>
      <c r="R42" s="28">
        <f>(1-ABS(P42-Q42)/P42)*100</f>
        <v/>
      </c>
      <c r="S42" s="31" t="n">
        <v>14</v>
      </c>
      <c r="T42" s="29" t="n">
        <v>14.25</v>
      </c>
      <c r="U42" s="28">
        <f>(1-ABS(S42-T42)/S42)*100</f>
        <v/>
      </c>
    </row>
    <row r="43">
      <c r="B43" s="24" t="inlineStr">
        <is>
          <t>08/21</t>
        </is>
      </c>
      <c r="C43" s="25" t="n">
        <v>7540</v>
      </c>
      <c r="D43" s="26" t="n">
        <v>2.73</v>
      </c>
      <c r="E43" s="27" t="n">
        <v>2.518</v>
      </c>
      <c r="F43" s="28">
        <f>(1-ABS(D43-E43)/D43)*100</f>
        <v/>
      </c>
      <c r="G43" s="27" t="n">
        <v>0.177</v>
      </c>
      <c r="H43" s="27" t="n">
        <v>0.164</v>
      </c>
      <c r="I43" s="28">
        <f>(1-ABS(G43-H43)/G43)*100</f>
        <v/>
      </c>
      <c r="J43" s="26" t="n">
        <v>1.1</v>
      </c>
      <c r="K43" s="27" t="n">
        <v>1.015</v>
      </c>
      <c r="L43" s="28">
        <f>(1-ABS(J43-K43)/J43)*100</f>
        <v/>
      </c>
      <c r="M43" s="26" t="n">
        <v>0.3</v>
      </c>
      <c r="N43" s="27" t="n">
        <v>0.264</v>
      </c>
      <c r="O43" s="28">
        <f>(1-ABS(M43-N43)/M43)*100</f>
        <v/>
      </c>
      <c r="P43" s="29" t="n">
        <v>0.43</v>
      </c>
      <c r="Q43" s="30" t="n">
        <v>0.645</v>
      </c>
      <c r="R43" s="28">
        <f>(1-ABS(P43-Q43)/P43)*100</f>
        <v/>
      </c>
      <c r="S43" s="31" t="n">
        <v>14</v>
      </c>
      <c r="T43" s="29" t="n">
        <v>13.91</v>
      </c>
      <c r="U43" s="28">
        <f>(1-ABS(S43-T43)/S43)*100</f>
        <v/>
      </c>
    </row>
    <row r="44">
      <c r="B44" s="24" t="inlineStr">
        <is>
          <t>08/22</t>
        </is>
      </c>
      <c r="C44" s="25" t="n">
        <v>5035</v>
      </c>
      <c r="D44" s="26" t="n">
        <v>2.69</v>
      </c>
      <c r="E44" s="27" t="n">
        <v>2.524</v>
      </c>
      <c r="F44" s="28">
        <f>(1-ABS(D44-E44)/D44)*100</f>
        <v/>
      </c>
      <c r="G44" s="27" t="n">
        <v>0.174</v>
      </c>
      <c r="H44" s="27" t="n">
        <v>0.164</v>
      </c>
      <c r="I44" s="28">
        <f>(1-ABS(G44-H44)/G44)*100</f>
        <v/>
      </c>
      <c r="J44" s="26" t="n">
        <v>1.03</v>
      </c>
      <c r="K44" s="27" t="n">
        <v>1.016</v>
      </c>
      <c r="L44" s="28">
        <f>(1-ABS(J44-K44)/J44)*100</f>
        <v/>
      </c>
      <c r="M44" s="26" t="n">
        <v>0.31</v>
      </c>
      <c r="N44" s="27" t="n">
        <v>0.253</v>
      </c>
      <c r="O44" s="28">
        <f>(1-ABS(M44-N44)/M44)*100</f>
        <v/>
      </c>
      <c r="P44" s="29" t="n">
        <v>0.52</v>
      </c>
      <c r="Q44" s="30" t="n">
        <v>0.643</v>
      </c>
      <c r="R44" s="28">
        <f>(1-ABS(P44-Q44)/P44)*100</f>
        <v/>
      </c>
      <c r="S44" s="31" t="n">
        <v>14</v>
      </c>
      <c r="T44" s="29" t="n">
        <v>14.6</v>
      </c>
      <c r="U44" s="28">
        <f>(1-ABS(S44-T44)/S44)*100</f>
        <v/>
      </c>
    </row>
    <row r="45">
      <c r="B45" s="24" t="inlineStr">
        <is>
          <t>08/23</t>
        </is>
      </c>
      <c r="C45" s="25" t="n">
        <v>6581</v>
      </c>
      <c r="D45" s="26" t="n">
        <v>2.59</v>
      </c>
      <c r="E45" s="27" t="n">
        <v>2.516</v>
      </c>
      <c r="F45" s="28">
        <f>(1-ABS(D45-E45)/D45)*100</f>
        <v/>
      </c>
      <c r="G45" s="27" t="n">
        <v>0.174</v>
      </c>
      <c r="H45" s="27" t="n">
        <v>0.164</v>
      </c>
      <c r="I45" s="28">
        <f>(1-ABS(G45-H45)/G45)*100</f>
        <v/>
      </c>
      <c r="J45" s="26" t="n">
        <v>0.95</v>
      </c>
      <c r="K45" s="27" t="n">
        <v>1.011</v>
      </c>
      <c r="L45" s="28">
        <f>(1-ABS(J45-K45)/J45)*100</f>
        <v/>
      </c>
      <c r="M45" s="26" t="n">
        <v>0.29</v>
      </c>
      <c r="N45" s="27" t="n">
        <v>0.27</v>
      </c>
      <c r="O45" s="28">
        <f>(1-ABS(M45-N45)/M45)*100</f>
        <v/>
      </c>
      <c r="P45" s="29" t="n">
        <v>0.47</v>
      </c>
      <c r="Q45" s="30" t="n">
        <v>0.655</v>
      </c>
      <c r="R45" s="28">
        <f>(1-ABS(P45-Q45)/P45)*100</f>
        <v/>
      </c>
      <c r="S45" s="31" t="n">
        <v>15</v>
      </c>
      <c r="T45" s="29" t="n">
        <v>13.53</v>
      </c>
      <c r="U45" s="28">
        <f>(1-ABS(S45-T45)/S45)*100</f>
        <v/>
      </c>
    </row>
    <row r="46">
      <c r="B46" s="24" t="inlineStr">
        <is>
          <t>08/24</t>
        </is>
      </c>
      <c r="C46" s="25" t="n">
        <v>6249</v>
      </c>
      <c r="D46" s="26" t="n">
        <v>2.55</v>
      </c>
      <c r="E46" s="27" t="n">
        <v>2.519</v>
      </c>
      <c r="F46" s="28">
        <f>(1-ABS(D46-E46)/D46)*100</f>
        <v/>
      </c>
      <c r="G46" s="27" t="n">
        <v>0.156</v>
      </c>
      <c r="H46" s="27" t="n">
        <v>0.165</v>
      </c>
      <c r="I46" s="28">
        <f>(1-ABS(G46-H46)/G46)*100</f>
        <v/>
      </c>
      <c r="J46" s="26" t="n">
        <v>0.88</v>
      </c>
      <c r="K46" s="27" t="n">
        <v>1.018</v>
      </c>
      <c r="L46" s="28">
        <f>(1-ABS(J46-K46)/J46)*100</f>
        <v/>
      </c>
      <c r="M46" s="26" t="n">
        <v>0.28</v>
      </c>
      <c r="N46" s="27" t="n">
        <v>0.265</v>
      </c>
      <c r="O46" s="28">
        <f>(1-ABS(M46-N46)/M46)*100</f>
        <v/>
      </c>
      <c r="P46" s="29" t="n">
        <v>0.46</v>
      </c>
      <c r="Q46" s="30" t="n">
        <v>0.646</v>
      </c>
      <c r="R46" s="28">
        <f>(1-ABS(P46-Q46)/P46)*100</f>
        <v/>
      </c>
      <c r="S46" s="31" t="n">
        <v>15</v>
      </c>
      <c r="T46" s="29" t="n">
        <v>13.99</v>
      </c>
      <c r="U46" s="28">
        <f>(1-ABS(S46-T46)/S46)*100</f>
        <v/>
      </c>
    </row>
    <row r="47">
      <c r="B47" s="24" t="inlineStr">
        <is>
          <t>08/25</t>
        </is>
      </c>
      <c r="C47" s="25" t="n">
        <v>5050</v>
      </c>
      <c r="D47" s="26" t="n">
        <v>2.55</v>
      </c>
      <c r="E47" s="27" t="n">
        <v>2.546</v>
      </c>
      <c r="F47" s="28">
        <f>(1-ABS(D47-E47)/D47)*100</f>
        <v/>
      </c>
      <c r="G47" s="27" t="n">
        <v>0.169</v>
      </c>
      <c r="H47" s="27" t="n">
        <v>0.166</v>
      </c>
      <c r="I47" s="28">
        <f>(1-ABS(G47-H47)/G47)*100</f>
        <v/>
      </c>
      <c r="J47" s="26" t="n">
        <v>0.92</v>
      </c>
      <c r="K47" s="27" t="n">
        <v>1.031</v>
      </c>
      <c r="L47" s="28">
        <f>(1-ABS(J47-K47)/J47)*100</f>
        <v/>
      </c>
      <c r="M47" s="26" t="n">
        <v>0.34</v>
      </c>
      <c r="N47" s="27" t="n">
        <v>0.275</v>
      </c>
      <c r="O47" s="28">
        <f>(1-ABS(M47-N47)/M47)*100</f>
        <v/>
      </c>
      <c r="P47" s="29" t="n">
        <v>0.43</v>
      </c>
      <c r="Q47" s="30" t="n">
        <v>0.648</v>
      </c>
      <c r="R47" s="28">
        <f>(1-ABS(P47-Q47)/P47)*100</f>
        <v/>
      </c>
      <c r="S47" s="31" t="n">
        <v>18</v>
      </c>
      <c r="T47" s="29" t="n">
        <v>14.19</v>
      </c>
      <c r="U47" s="28">
        <f>(1-ABS(S47-T47)/S47)*100</f>
        <v/>
      </c>
    </row>
    <row r="48">
      <c r="B48" s="24" t="inlineStr">
        <is>
          <t>08/26</t>
        </is>
      </c>
      <c r="C48" s="25" t="n">
        <v>6284</v>
      </c>
      <c r="D48" s="26" t="n">
        <v>2.63</v>
      </c>
      <c r="E48" s="27" t="n">
        <v>2.538</v>
      </c>
      <c r="F48" s="28">
        <f>(1-ABS(D48-E48)/D48)*100</f>
        <v/>
      </c>
      <c r="G48" s="27" t="n">
        <v>0.174</v>
      </c>
      <c r="H48" s="27" t="n">
        <v>0.165</v>
      </c>
      <c r="I48" s="28">
        <f>(1-ABS(G48-H48)/G48)*100</f>
        <v/>
      </c>
      <c r="J48" s="26" t="n">
        <v>0.95</v>
      </c>
      <c r="K48" s="27" t="n">
        <v>1.027</v>
      </c>
      <c r="L48" s="28">
        <f>(1-ABS(J48-K48)/J48)*100</f>
        <v/>
      </c>
      <c r="M48" s="26" t="n">
        <v>0.31</v>
      </c>
      <c r="N48" s="27" t="n">
        <v>0.291</v>
      </c>
      <c r="O48" s="28">
        <f>(1-ABS(M48-N48)/M48)*100</f>
        <v/>
      </c>
      <c r="P48" s="29" t="n">
        <v>0.47</v>
      </c>
      <c r="Q48" s="30" t="n">
        <v>0.659</v>
      </c>
      <c r="R48" s="28">
        <f>(1-ABS(P48-Q48)/P48)*100</f>
        <v/>
      </c>
      <c r="S48" s="31" t="n">
        <v>18</v>
      </c>
      <c r="T48" s="29" t="n">
        <v>13.21</v>
      </c>
      <c r="U48" s="28">
        <f>(1-ABS(S48-T48)/S48)*100</f>
        <v/>
      </c>
    </row>
    <row r="49">
      <c r="B49" s="24" t="inlineStr">
        <is>
          <t>08/27</t>
        </is>
      </c>
      <c r="C49" s="25" t="n">
        <v>5459</v>
      </c>
      <c r="D49" s="26" t="n">
        <v>2.65</v>
      </c>
      <c r="E49" s="27" t="n">
        <v>2.485</v>
      </c>
      <c r="F49" s="28">
        <f>(1-ABS(D49-E49)/D49)*100</f>
        <v/>
      </c>
      <c r="G49" s="27" t="n">
        <v>0.157</v>
      </c>
      <c r="H49" s="27" t="n">
        <v>0.161</v>
      </c>
      <c r="I49" s="28">
        <f>(1-ABS(G49-H49)/G49)*100</f>
        <v/>
      </c>
      <c r="J49" s="26" t="n">
        <v>0.9399999999999999</v>
      </c>
      <c r="K49" s="27" t="n">
        <v>0.998</v>
      </c>
      <c r="L49" s="28">
        <f>(1-ABS(J49-K49)/J49)*100</f>
        <v/>
      </c>
      <c r="M49" s="26" t="n">
        <v>0.28</v>
      </c>
      <c r="N49" s="27" t="n">
        <v>0.267</v>
      </c>
      <c r="O49" s="28">
        <f>(1-ABS(M49-N49)/M49)*100</f>
        <v/>
      </c>
      <c r="P49" s="29" t="n">
        <v>0.54</v>
      </c>
      <c r="Q49" s="30" t="n">
        <v>0.644</v>
      </c>
      <c r="R49" s="28">
        <f>(1-ABS(P49-Q49)/P49)*100</f>
        <v/>
      </c>
      <c r="S49" s="31" t="n">
        <v>17</v>
      </c>
      <c r="T49" s="29" t="n">
        <v>13.43</v>
      </c>
      <c r="U49" s="28">
        <f>(1-ABS(S49-T49)/S49)*100</f>
        <v/>
      </c>
    </row>
    <row r="50">
      <c r="B50" s="24" t="inlineStr">
        <is>
          <t>08/28</t>
        </is>
      </c>
      <c r="C50" s="25" t="n">
        <v>5010</v>
      </c>
      <c r="D50" s="26" t="n">
        <v>2.52</v>
      </c>
      <c r="E50" s="27" t="n">
        <v>2.554</v>
      </c>
      <c r="F50" s="28">
        <f>(1-ABS(D50-E50)/D50)*100</f>
        <v/>
      </c>
      <c r="G50" s="27" t="n">
        <v>0.161</v>
      </c>
      <c r="H50" s="27" t="n">
        <v>0.165</v>
      </c>
      <c r="I50" s="28">
        <f>(1-ABS(G50-H50)/G50)*100</f>
        <v/>
      </c>
      <c r="J50" s="26" t="n">
        <v>0.84</v>
      </c>
      <c r="K50" s="27" t="n">
        <v>1.029</v>
      </c>
      <c r="L50" s="28">
        <f>(1-ABS(J50-K50)/J50)*100</f>
        <v/>
      </c>
      <c r="M50" s="26" t="n">
        <v>0.32</v>
      </c>
      <c r="N50" s="27" t="n">
        <v>0.265</v>
      </c>
      <c r="O50" s="28">
        <f>(1-ABS(M50-N50)/M50)*100</f>
        <v/>
      </c>
      <c r="P50" s="29" t="n">
        <v>0.43</v>
      </c>
      <c r="Q50" s="30" t="n">
        <v>0.652</v>
      </c>
      <c r="R50" s="28">
        <f>(1-ABS(P50-Q50)/P50)*100</f>
        <v/>
      </c>
      <c r="S50" s="31" t="n">
        <v>17</v>
      </c>
      <c r="T50" s="29" t="n">
        <v>14.33</v>
      </c>
      <c r="U50" s="28">
        <f>(1-ABS(S50-T50)/S50)*100</f>
        <v/>
      </c>
    </row>
    <row r="51">
      <c r="B51" s="24" t="inlineStr">
        <is>
          <t>08/29</t>
        </is>
      </c>
      <c r="C51" s="25" t="n">
        <v>5424</v>
      </c>
      <c r="D51" s="26" t="n">
        <v>2.63</v>
      </c>
      <c r="E51" s="27" t="n">
        <v>2.523</v>
      </c>
      <c r="F51" s="28">
        <f>(1-ABS(D51-E51)/D51)*100</f>
        <v/>
      </c>
      <c r="G51" s="27" t="n">
        <v>0.172</v>
      </c>
      <c r="H51" s="27" t="n">
        <v>0.164</v>
      </c>
      <c r="I51" s="28">
        <f>(1-ABS(G51-H51)/G51)*100</f>
        <v/>
      </c>
      <c r="J51" s="26" t="n">
        <v>0.97</v>
      </c>
      <c r="K51" s="27" t="n">
        <v>1.015</v>
      </c>
      <c r="L51" s="28">
        <f>(1-ABS(J51-K51)/J51)*100</f>
        <v/>
      </c>
      <c r="M51" s="26" t="n">
        <v>0.3</v>
      </c>
      <c r="N51" s="27" t="n">
        <v>0.275</v>
      </c>
      <c r="O51" s="28">
        <f>(1-ABS(M51-N51)/M51)*100</f>
        <v/>
      </c>
      <c r="P51" s="29" t="n">
        <v>0.48</v>
      </c>
      <c r="Q51" s="30" t="n">
        <v>0.658</v>
      </c>
      <c r="R51" s="28">
        <f>(1-ABS(P51-Q51)/P51)*100</f>
        <v/>
      </c>
      <c r="S51" s="31" t="n">
        <v>19</v>
      </c>
      <c r="T51" s="29" t="n">
        <v>13.48</v>
      </c>
      <c r="U51" s="28">
        <f>(1-ABS(S51-T51)/S51)*100</f>
        <v/>
      </c>
    </row>
    <row r="52">
      <c r="B52" s="24" t="inlineStr">
        <is>
          <t>08/30</t>
        </is>
      </c>
      <c r="C52" s="25" t="n">
        <v>6911</v>
      </c>
      <c r="D52" s="26" t="n">
        <v>2.67</v>
      </c>
      <c r="E52" s="27" t="n">
        <v>2.531</v>
      </c>
      <c r="F52" s="28">
        <f>(1-ABS(D52-E52)/D52)*100</f>
        <v/>
      </c>
      <c r="G52" s="27" t="n">
        <v>0.177</v>
      </c>
      <c r="H52" s="27" t="n">
        <v>0.164</v>
      </c>
      <c r="I52" s="28">
        <f>(1-ABS(G52-H52)/G52)*100</f>
        <v/>
      </c>
      <c r="J52" s="26" t="n">
        <v>1.08</v>
      </c>
      <c r="K52" s="27" t="n">
        <v>1.016</v>
      </c>
      <c r="L52" s="28">
        <f>(1-ABS(J52-K52)/J52)*100</f>
        <v/>
      </c>
      <c r="M52" s="26" t="n">
        <v>0.29</v>
      </c>
      <c r="N52" s="27" t="n">
        <v>0.274</v>
      </c>
      <c r="O52" s="28">
        <f>(1-ABS(M52-N52)/M52)*100</f>
        <v/>
      </c>
      <c r="P52" s="29" t="n">
        <v>0.48</v>
      </c>
      <c r="Q52" s="30" t="n">
        <v>0.662</v>
      </c>
      <c r="R52" s="28">
        <f>(1-ABS(P52-Q52)/P52)*100</f>
        <v/>
      </c>
      <c r="S52" s="31" t="n">
        <v>15</v>
      </c>
      <c r="T52" s="29" t="n">
        <v>13.29</v>
      </c>
      <c r="U52" s="28">
        <f>(1-ABS(S52-T52)/S52)*100</f>
        <v/>
      </c>
    </row>
    <row r="53">
      <c r="B53" s="24" t="inlineStr">
        <is>
          <t>08/31</t>
        </is>
      </c>
      <c r="C53" s="25" t="n">
        <v>4900</v>
      </c>
      <c r="D53" s="26" t="n">
        <v>2.58</v>
      </c>
      <c r="E53" s="27" t="n">
        <v>2.46</v>
      </c>
      <c r="F53" s="28">
        <f>(1-ABS(D53-E53)/D53)*100</f>
        <v/>
      </c>
      <c r="G53" s="27" t="n">
        <v>0.161</v>
      </c>
      <c r="H53" s="27" t="n">
        <v>0.159</v>
      </c>
      <c r="I53" s="28">
        <f>(1-ABS(G53-H53)/G53)*100</f>
        <v/>
      </c>
      <c r="J53" s="26" t="n">
        <v>0.9</v>
      </c>
      <c r="K53" s="27" t="n">
        <v>0.994</v>
      </c>
      <c r="L53" s="28">
        <f>(1-ABS(J53-K53)/J53)*100</f>
        <v/>
      </c>
      <c r="M53" s="26" t="n">
        <v>0.29</v>
      </c>
      <c r="N53" s="27" t="n">
        <v>0.247</v>
      </c>
      <c r="O53" s="28">
        <f>(1-ABS(M53-N53)/M53)*100</f>
        <v/>
      </c>
      <c r="P53" s="29" t="n">
        <v>0.59</v>
      </c>
      <c r="Q53" s="30" t="n">
        <v>0.62</v>
      </c>
      <c r="R53" s="28">
        <f>(1-ABS(P53-Q53)/P53)*100</f>
        <v/>
      </c>
      <c r="S53" s="31" t="n">
        <v>18</v>
      </c>
      <c r="T53" s="29" t="n">
        <v>13.66</v>
      </c>
      <c r="U53" s="28">
        <f>(1-ABS(S53-T53)/S53)*100</f>
        <v/>
      </c>
    </row>
    <row r="54">
      <c r="B54" s="24" t="inlineStr">
        <is>
          <t>08/32</t>
        </is>
      </c>
      <c r="C54" s="25" t="n">
        <v>5236</v>
      </c>
      <c r="D54" s="26" t="n">
        <v>2.55</v>
      </c>
      <c r="E54" s="27" t="n">
        <v>2.498</v>
      </c>
      <c r="F54" s="28">
        <f>(1-ABS(D54-E54)/D54)*100</f>
        <v/>
      </c>
      <c r="G54" s="27" t="n">
        <v>0.164</v>
      </c>
      <c r="H54" s="27" t="n">
        <v>0.162</v>
      </c>
      <c r="I54" s="28">
        <f>(1-ABS(G54-H54)/G54)*100</f>
        <v/>
      </c>
      <c r="J54" s="26" t="n">
        <v>0.98</v>
      </c>
      <c r="K54" s="27" t="n">
        <v>1.01</v>
      </c>
      <c r="L54" s="28">
        <f>(1-ABS(J54-K54)/J54)*100</f>
        <v/>
      </c>
      <c r="M54" s="26" t="n">
        <v>0.28</v>
      </c>
      <c r="N54" s="27" t="n">
        <v>0.262</v>
      </c>
      <c r="O54" s="28">
        <f>(1-ABS(M54-N54)/M54)*100</f>
        <v/>
      </c>
      <c r="P54" s="29" t="n">
        <v>0.43</v>
      </c>
      <c r="Q54" s="30" t="n">
        <v>0.639</v>
      </c>
      <c r="R54" s="28">
        <f>(1-ABS(P54-Q54)/P54)*100</f>
        <v/>
      </c>
      <c r="S54" s="31" t="n">
        <v>16</v>
      </c>
      <c r="T54" s="29" t="n">
        <v>13.87</v>
      </c>
      <c r="U54" s="28">
        <f>(1-ABS(S54-T54)/S54)*100</f>
        <v/>
      </c>
    </row>
    <row r="55">
      <c r="B55" s="24" t="inlineStr">
        <is>
          <t>08/33</t>
        </is>
      </c>
      <c r="C55" s="25" t="n">
        <v>4963</v>
      </c>
      <c r="D55" s="26" t="n">
        <v>2.61</v>
      </c>
      <c r="E55" s="27" t="n">
        <v>2.525</v>
      </c>
      <c r="F55" s="28">
        <f>(1-ABS(D55-E55)/D55)*100</f>
        <v/>
      </c>
      <c r="G55" s="27" t="n">
        <v>0.168</v>
      </c>
      <c r="H55" s="27" t="n">
        <v>0.164</v>
      </c>
      <c r="I55" s="28">
        <f>(1-ABS(G55-H55)/G55)*100</f>
        <v/>
      </c>
      <c r="J55" s="26" t="n">
        <v>0.99</v>
      </c>
      <c r="K55" s="27" t="n">
        <v>1.016</v>
      </c>
      <c r="L55" s="28">
        <f>(1-ABS(J55-K55)/J55)*100</f>
        <v/>
      </c>
      <c r="M55" s="26" t="n">
        <v>0.28</v>
      </c>
      <c r="N55" s="27" t="n">
        <v>0.25</v>
      </c>
      <c r="O55" s="28">
        <f>(1-ABS(M55-N55)/M55)*100</f>
        <v/>
      </c>
      <c r="P55" s="29" t="n">
        <v>0.43</v>
      </c>
      <c r="Q55" s="30" t="n">
        <v>0.641</v>
      </c>
      <c r="R55" s="28">
        <f>(1-ABS(P55-Q55)/P55)*100</f>
        <v/>
      </c>
      <c r="S55" s="31" t="n">
        <v>16</v>
      </c>
      <c r="T55" s="29" t="n">
        <v>14.57</v>
      </c>
      <c r="U55" s="28">
        <f>(1-ABS(S55-T55)/S55)*100</f>
        <v/>
      </c>
    </row>
    <row r="56">
      <c r="B56" s="24" t="inlineStr">
        <is>
          <t>08/34</t>
        </is>
      </c>
      <c r="C56" s="25" t="n">
        <v>4999</v>
      </c>
      <c r="D56" s="26" t="n">
        <v>2.5</v>
      </c>
      <c r="E56" s="27" t="n">
        <v>2.538</v>
      </c>
      <c r="F56" s="28">
        <f>(1-ABS(D56-E56)/D56)*100</f>
        <v/>
      </c>
      <c r="G56" s="27" t="n">
        <v>0.164</v>
      </c>
      <c r="H56" s="27" t="n">
        <v>0.164</v>
      </c>
      <c r="I56" s="28">
        <f>(1-ABS(G56-H56)/G56)*100</f>
        <v/>
      </c>
      <c r="J56" s="26" t="n">
        <v>0.98</v>
      </c>
      <c r="K56" s="27" t="n">
        <v>1.036</v>
      </c>
      <c r="L56" s="28">
        <f>(1-ABS(J56-K56)/J56)*100</f>
        <v/>
      </c>
      <c r="M56" s="26" t="n">
        <v>0.34</v>
      </c>
      <c r="N56" s="27" t="n">
        <v>0.253</v>
      </c>
      <c r="O56" s="28">
        <f>(1-ABS(M56-N56)/M56)*100</f>
        <v/>
      </c>
      <c r="P56" s="29" t="n">
        <v>0.43</v>
      </c>
      <c r="Q56" s="30" t="n">
        <v>0.633</v>
      </c>
      <c r="R56" s="28">
        <f>(1-ABS(P56-Q56)/P56)*100</f>
        <v/>
      </c>
      <c r="S56" s="31" t="n">
        <v>18</v>
      </c>
      <c r="T56" s="29" t="n">
        <v>14.24</v>
      </c>
      <c r="U56" s="28">
        <f>(1-ABS(S56-T56)/S56)*100</f>
        <v/>
      </c>
    </row>
    <row r="57">
      <c r="B57" s="24" t="inlineStr">
        <is>
          <t>08/35</t>
        </is>
      </c>
      <c r="C57" s="25" t="n">
        <v>4274</v>
      </c>
      <c r="D57" s="26" t="n">
        <v>2.65</v>
      </c>
      <c r="E57" s="27" t="n">
        <v>2.526</v>
      </c>
      <c r="F57" s="28">
        <f>(1-ABS(D57-E57)/D57)*100</f>
        <v/>
      </c>
      <c r="G57" s="27" t="n">
        <v>0.172</v>
      </c>
      <c r="H57" s="27" t="n">
        <v>0.164</v>
      </c>
      <c r="I57" s="28">
        <f>(1-ABS(G57-H57)/G57)*100</f>
        <v/>
      </c>
      <c r="J57" s="26" t="n">
        <v>0.97</v>
      </c>
      <c r="K57" s="27" t="n">
        <v>1.028</v>
      </c>
      <c r="L57" s="28">
        <f>(1-ABS(J57-K57)/J57)*100</f>
        <v/>
      </c>
      <c r="M57" s="26" t="n">
        <v>0.3</v>
      </c>
      <c r="N57" s="27" t="n">
        <v>0.265</v>
      </c>
      <c r="O57" s="28">
        <f>(1-ABS(M57-N57)/M57)*100</f>
        <v/>
      </c>
      <c r="P57" s="29" t="n">
        <v>0.48</v>
      </c>
      <c r="Q57" s="30" t="n">
        <v>0.636</v>
      </c>
      <c r="R57" s="28">
        <f>(1-ABS(P57-Q57)/P57)*100</f>
        <v/>
      </c>
      <c r="S57" s="31" t="n">
        <v>18</v>
      </c>
      <c r="T57" s="29" t="n">
        <v>14.02</v>
      </c>
      <c r="U57" s="28">
        <f>(1-ABS(S57-T57)/S57)*100</f>
        <v/>
      </c>
    </row>
    <row r="58">
      <c r="B58" s="24" t="inlineStr">
        <is>
          <t>08/36</t>
        </is>
      </c>
      <c r="C58" s="25" t="n">
        <v>4770</v>
      </c>
      <c r="D58" s="26" t="n">
        <v>2.59</v>
      </c>
      <c r="E58" s="27" t="n">
        <v>2.489</v>
      </c>
      <c r="F58" s="28">
        <f>(1-ABS(D58-E58)/D58)*100</f>
        <v/>
      </c>
      <c r="G58" s="27" t="n">
        <v>0.169</v>
      </c>
      <c r="H58" s="27" t="n">
        <v>0.162</v>
      </c>
      <c r="I58" s="28">
        <f>(1-ABS(G58-H58)/G58)*100</f>
        <v/>
      </c>
      <c r="J58" s="26" t="n">
        <v>1.09</v>
      </c>
      <c r="K58" s="27" t="n">
        <v>1.011</v>
      </c>
      <c r="L58" s="28">
        <f>(1-ABS(J58-K58)/J58)*100</f>
        <v/>
      </c>
      <c r="M58" s="26" t="n">
        <v>0.32</v>
      </c>
      <c r="N58" s="27" t="n">
        <v>0.263</v>
      </c>
      <c r="O58" s="28">
        <f>(1-ABS(M58-N58)/M58)*100</f>
        <v/>
      </c>
      <c r="P58" s="29" t="n">
        <v>0.48</v>
      </c>
      <c r="Q58" s="30" t="n">
        <v>0.632</v>
      </c>
      <c r="R58" s="28">
        <f>(1-ABS(P58-Q58)/P58)*100</f>
        <v/>
      </c>
      <c r="S58" s="31" t="n">
        <v>18</v>
      </c>
      <c r="T58" s="29" t="n">
        <v>13.75</v>
      </c>
      <c r="U58" s="28">
        <f>(1-ABS(S58-T58)/S58)*100</f>
        <v/>
      </c>
    </row>
    <row r="59">
      <c r="B59" s="24" t="inlineStr">
        <is>
          <t>08/37</t>
        </is>
      </c>
      <c r="C59" s="25" t="n">
        <v>4449</v>
      </c>
      <c r="D59" s="26" t="n">
        <v>2.62</v>
      </c>
      <c r="E59" s="27" t="n">
        <v>2.5</v>
      </c>
      <c r="F59" s="28">
        <f>(1-ABS(D59-E59)/D59)*100</f>
        <v/>
      </c>
      <c r="G59" s="27" t="n">
        <v>0.159</v>
      </c>
      <c r="H59" s="27" t="n">
        <v>0.163</v>
      </c>
      <c r="I59" s="28">
        <f>(1-ABS(G59-H59)/G59)*100</f>
        <v/>
      </c>
      <c r="J59" s="26" t="n">
        <v>0.85</v>
      </c>
      <c r="K59" s="27" t="n">
        <v>1.006</v>
      </c>
      <c r="L59" s="28">
        <f>(1-ABS(J59-K59)/J59)*100</f>
        <v/>
      </c>
      <c r="M59" s="26" t="n">
        <v>0.29</v>
      </c>
      <c r="N59" s="27" t="n">
        <v>0.255</v>
      </c>
      <c r="O59" s="28">
        <f>(1-ABS(M59-N59)/M59)*100</f>
        <v/>
      </c>
      <c r="P59" s="29" t="n">
        <v>0.44</v>
      </c>
      <c r="Q59" s="30" t="n">
        <v>0.64</v>
      </c>
      <c r="R59" s="28">
        <f>(1-ABS(P59-Q59)/P59)*100</f>
        <v/>
      </c>
      <c r="S59" s="31" t="n">
        <v>17</v>
      </c>
      <c r="T59" s="29" t="n">
        <v>14.12</v>
      </c>
      <c r="U59" s="28">
        <f>(1-ABS(S59-T59)/S59)*100</f>
        <v/>
      </c>
    </row>
    <row r="60">
      <c r="B60" s="24" t="inlineStr">
        <is>
          <t>08/38</t>
        </is>
      </c>
      <c r="C60" s="25" t="n">
        <v>3712</v>
      </c>
      <c r="D60" s="26" t="n">
        <v>2.52</v>
      </c>
      <c r="E60" s="27" t="n">
        <v>2.486</v>
      </c>
      <c r="F60" s="28">
        <f>(1-ABS(D60-E60)/D60)*100</f>
        <v/>
      </c>
      <c r="G60" s="27" t="n">
        <v>0.168</v>
      </c>
      <c r="H60" s="27" t="n">
        <v>0.161</v>
      </c>
      <c r="I60" s="28">
        <f>(1-ABS(G60-H60)/G60)*100</f>
        <v/>
      </c>
      <c r="J60" s="26" t="n">
        <v>1.05</v>
      </c>
      <c r="K60" s="27" t="n">
        <v>1.006</v>
      </c>
      <c r="L60" s="28">
        <f>(1-ABS(J60-K60)/J60)*100</f>
        <v/>
      </c>
      <c r="M60" s="26" t="n">
        <v>0.31</v>
      </c>
      <c r="N60" s="27" t="n">
        <v>0.253</v>
      </c>
      <c r="O60" s="28">
        <f>(1-ABS(M60-N60)/M60)*100</f>
        <v/>
      </c>
      <c r="P60" s="29" t="n">
        <v>0.49</v>
      </c>
      <c r="Q60" s="30" t="n">
        <v>0.634</v>
      </c>
      <c r="R60" s="28">
        <f>(1-ABS(P60-Q60)/P60)*100</f>
        <v/>
      </c>
      <c r="S60" s="31" t="n">
        <v>18</v>
      </c>
      <c r="T60" s="29" t="n">
        <v>13.85</v>
      </c>
      <c r="U60" s="28">
        <f>(1-ABS(S60-T60)/S60)*100</f>
        <v/>
      </c>
    </row>
    <row r="61">
      <c r="B61" s="24" t="inlineStr">
        <is>
          <t>SRY-KPDM</t>
        </is>
      </c>
      <c r="C61" s="25" t="n">
        <v>6168</v>
      </c>
      <c r="D61" s="26" t="n">
        <v>2.6</v>
      </c>
      <c r="E61" s="27" t="n">
        <v>2.472</v>
      </c>
      <c r="F61" s="28">
        <f>(1-ABS(D61-E61)/D61)*100</f>
        <v/>
      </c>
      <c r="G61" s="27" t="n">
        <v>0.161</v>
      </c>
      <c r="H61" s="27" t="n">
        <v>0.162</v>
      </c>
      <c r="I61" s="28">
        <f>(1-ABS(G61-H61)/G61)*100</f>
        <v/>
      </c>
      <c r="J61" s="26" t="n">
        <v>0.9</v>
      </c>
      <c r="K61" s="27" t="n">
        <v>1.006</v>
      </c>
      <c r="L61" s="28">
        <f>(1-ABS(J61-K61)/J61)*100</f>
        <v/>
      </c>
      <c r="M61" s="26" t="n">
        <v>0.25</v>
      </c>
      <c r="N61" s="27" t="n">
        <v>0.286</v>
      </c>
      <c r="O61" s="28">
        <f>(1-ABS(M61-N61)/M61)*100</f>
        <v/>
      </c>
      <c r="P61" s="29" t="n">
        <v>0.47</v>
      </c>
      <c r="Q61" s="30" t="n">
        <v>0.65</v>
      </c>
      <c r="R61" s="28">
        <f>(1-ABS(P61-Q61)/P61)*100</f>
        <v/>
      </c>
      <c r="S61" s="31" t="n">
        <v>16</v>
      </c>
      <c r="T61" s="29" t="n">
        <v>12.52</v>
      </c>
      <c r="U61" s="28">
        <f>(1-ABS(S61-T61)/S61)*100</f>
        <v/>
      </c>
    </row>
    <row r="62">
      <c r="B62" s="24" t="inlineStr">
        <is>
          <t>08/7</t>
        </is>
      </c>
      <c r="C62" s="25" t="n">
        <v>5706</v>
      </c>
      <c r="D62" s="26" t="n">
        <v>2.56</v>
      </c>
      <c r="E62" s="27" t="n">
        <v>2.394</v>
      </c>
      <c r="F62" s="28">
        <f>(1-ABS(D62-E62)/D62)*100</f>
        <v/>
      </c>
      <c r="G62" s="27" t="n">
        <v>0.177</v>
      </c>
      <c r="H62" s="27" t="n">
        <v>0.154</v>
      </c>
      <c r="I62" s="28">
        <f>(1-ABS(G62-H62)/G62)*100</f>
        <v/>
      </c>
      <c r="J62" s="26" t="n">
        <v>0.96</v>
      </c>
      <c r="K62" s="27" t="n">
        <v>0.958</v>
      </c>
      <c r="L62" s="28">
        <f>(1-ABS(J62-K62)/J62)*100</f>
        <v/>
      </c>
      <c r="M62" s="26" t="n">
        <v>0.3</v>
      </c>
      <c r="N62" s="27" t="n">
        <v>0.271</v>
      </c>
      <c r="O62" s="28">
        <f>(1-ABS(M62-N62)/M62)*100</f>
        <v/>
      </c>
      <c r="P62" s="29" t="n">
        <v>0.49</v>
      </c>
      <c r="Q62" s="30" t="n">
        <v>0.634</v>
      </c>
      <c r="R62" s="28">
        <f>(1-ABS(P62-Q62)/P62)*100</f>
        <v/>
      </c>
      <c r="S62" s="31" t="n">
        <v>19</v>
      </c>
      <c r="T62" s="29" t="n">
        <v>11.62</v>
      </c>
      <c r="U62" s="28">
        <f>(1-ABS(S62-T62)/S62)*100</f>
        <v/>
      </c>
    </row>
    <row r="63" ht="35" customHeight="1">
      <c r="A63" s="33" t="inlineStr">
        <is>
          <t>AVG ACCURACY</t>
        </is>
      </c>
      <c r="F63" s="34">
        <f>AVERAGE(F7:F62)</f>
        <v/>
      </c>
      <c r="I63" s="34">
        <f>AVERAGE(I7:I62)</f>
        <v/>
      </c>
      <c r="L63" s="34">
        <f>AVERAGE(L7:L62)</f>
        <v/>
      </c>
      <c r="O63" s="34">
        <f>AVERAGE(O7:O62)</f>
        <v/>
      </c>
      <c r="R63" s="35">
        <f>AVERAGE(R7:R62)</f>
        <v/>
      </c>
      <c r="U63" s="34">
        <f>AVERAGE(U7:U62)</f>
        <v/>
      </c>
    </row>
    <row r="64" ht="40" customHeight="1">
      <c r="A64" s="36" t="inlineStr">
        <is>
          <t>Best result closer to 0</t>
        </is>
      </c>
      <c r="B64" s="24" t="inlineStr">
        <is>
          <t>R^2 (Coefficient of determination)</t>
        </is>
      </c>
      <c r="C64" s="37" t="n"/>
      <c r="D64" s="38">
        <f>RSQ(E7:E62, D7:D62)</f>
        <v/>
      </c>
      <c r="E64" s="39" t="n"/>
      <c r="F64" s="37" t="n"/>
      <c r="G64" s="38">
        <f>RSQ(H7:H62, G7:G62)</f>
        <v/>
      </c>
      <c r="H64" s="39" t="n"/>
      <c r="I64" s="37" t="n"/>
      <c r="J64" s="38">
        <f>RSQ(K7:K62, J7:J62)</f>
        <v/>
      </c>
      <c r="K64" s="39" t="n"/>
      <c r="L64" s="37" t="n"/>
      <c r="M64" s="38">
        <f>RSQ(N7:N62, M7:M62)</f>
        <v/>
      </c>
      <c r="N64" s="39" t="n"/>
      <c r="O64" s="37" t="n"/>
      <c r="P64" s="40">
        <f>RSQ(Q7:Q62, P7:P62)</f>
        <v/>
      </c>
      <c r="Q64" s="39" t="n"/>
      <c r="R64" s="37" t="n"/>
      <c r="S64" s="40">
        <f>RSQ(T7:T62, S7:S62)</f>
        <v/>
      </c>
      <c r="T64" s="39" t="n"/>
      <c r="U64" s="37" t="n"/>
    </row>
    <row r="65" ht="39" customHeight="1">
      <c r="A65" s="36" t="inlineStr">
        <is>
          <t>Best result closer to 1</t>
        </is>
      </c>
      <c r="B65" s="24" t="inlineStr">
        <is>
          <t>MAE (Average size of prediction errors)</t>
        </is>
      </c>
      <c r="C65" s="37" t="n"/>
      <c r="D65" s="38">
        <f>SUMPRODUCT(ABS(D7:D62-E7:E62))/COUNT(D7:D62)</f>
        <v/>
      </c>
      <c r="E65" s="39" t="n"/>
      <c r="F65" s="37" t="n"/>
      <c r="G65" s="38">
        <f>SUMPRODUCT(ABS(G7:G62-H7:H62))/COUNT(G7:G62)</f>
        <v/>
      </c>
      <c r="H65" s="39" t="n"/>
      <c r="I65" s="37" t="n"/>
      <c r="J65" s="38">
        <f>SUMPRODUCT(ABS(J7:J62-K7:K62))/COUNT(J7:J62)</f>
        <v/>
      </c>
      <c r="K65" s="39" t="n"/>
      <c r="L65" s="37" t="n"/>
      <c r="M65" s="38">
        <f>SUMPRODUCT(ABS(M7:M62-N7:N62))/COUNT(M7:M62)</f>
        <v/>
      </c>
      <c r="N65" s="39" t="n"/>
      <c r="O65" s="37" t="n"/>
      <c r="P65" s="40">
        <f>SUMPRODUCT(ABS(P7:P62-Q7:Q62))/COUNT(P7:P62)</f>
        <v/>
      </c>
      <c r="Q65" s="39" t="n"/>
      <c r="R65" s="37" t="n"/>
      <c r="S65" s="40">
        <f>SUMPRODUCT(ABS(S7:S62-T7:T62))/COUNT(S7:S62)</f>
        <v/>
      </c>
      <c r="T65" s="39" t="n"/>
      <c r="U65" s="37" t="n"/>
    </row>
    <row r="66" ht="66" customHeight="1">
      <c r="A66" s="36" t="inlineStr">
        <is>
          <t>Best result closer to 1</t>
        </is>
      </c>
      <c r="B66" s="24" t="inlineStr">
        <is>
          <t>RMSE (Prediction error, with larger mistakes penalised more)</t>
        </is>
      </c>
      <c r="C66" s="37" t="n"/>
      <c r="D66" s="38">
        <f>SQRT(SUMXMY2(D7:D62, E7:E62)/COUNT(D7:D62))</f>
        <v/>
      </c>
      <c r="E66" s="39" t="n"/>
      <c r="F66" s="37" t="n"/>
      <c r="G66" s="38">
        <f>SQRT(SUMXMY2(G7:G62, H7:H62)/COUNT(G7:G62))</f>
        <v/>
      </c>
      <c r="H66" s="39" t="n"/>
      <c r="I66" s="37" t="n"/>
      <c r="J66" s="38">
        <f>SQRT(SUMXMY2(J7:J62, K7:K62)/COUNT(J7:J62))</f>
        <v/>
      </c>
      <c r="K66" s="39" t="n"/>
      <c r="L66" s="37" t="n"/>
      <c r="M66" s="38">
        <f>SQRT(SUMXMY2(M7:M62, N7:N62)/COUNT(M7:M62))</f>
        <v/>
      </c>
      <c r="N66" s="39" t="n"/>
      <c r="O66" s="37" t="n"/>
      <c r="P66" s="40">
        <f>SQRT(SUMXMY2(P7:P62, Q7:Q62)/COUNT(P7:P62))</f>
        <v/>
      </c>
      <c r="Q66" s="39" t="n"/>
      <c r="R66" s="37" t="n"/>
      <c r="S66" s="40">
        <f>SQRT(SUMXMY2(S7:S62, T7:T62)/COUNT(S7:S62))</f>
        <v/>
      </c>
      <c r="T66" s="39" t="n"/>
      <c r="U66" s="37" t="n"/>
    </row>
  </sheetData>
  <mergeCells count="31">
    <mergeCell ref="B4:O4"/>
    <mergeCell ref="G66:I66"/>
    <mergeCell ref="P65:R65"/>
    <mergeCell ref="J65:L65"/>
    <mergeCell ref="S66:U66"/>
    <mergeCell ref="D66:F66"/>
    <mergeCell ref="B66:C66"/>
    <mergeCell ref="M65:O65"/>
    <mergeCell ref="G5:I5"/>
    <mergeCell ref="G65:I65"/>
    <mergeCell ref="J66:L66"/>
    <mergeCell ref="S65:U65"/>
    <mergeCell ref="P66:R66"/>
    <mergeCell ref="G64:I64"/>
    <mergeCell ref="S64:U64"/>
    <mergeCell ref="D64:F64"/>
    <mergeCell ref="S5:U5"/>
    <mergeCell ref="D5:F5"/>
    <mergeCell ref="P5:R5"/>
    <mergeCell ref="M66:O66"/>
    <mergeCell ref="P64:R64"/>
    <mergeCell ref="J64:L64"/>
    <mergeCell ref="B5:B6"/>
    <mergeCell ref="B65:C65"/>
    <mergeCell ref="P4:U4"/>
    <mergeCell ref="J5:L5"/>
    <mergeCell ref="B64:C64"/>
    <mergeCell ref="D65:F65"/>
    <mergeCell ref="M5:O5"/>
    <mergeCell ref="M64:O64"/>
    <mergeCell ref="C5:C6"/>
  </mergeCells>
  <conditionalFormatting sqref="F7:F62 I7:I62 L7:L62 O7:O62 R7:R62 U7:U62">
    <cfRule type="cellIs" priority="1" operator="lessThanOrEqual" dxfId="1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2026-10-15T08:13:49Z</dcterms:created>
  <dcterms:modified xmlns:dcterms="http://purl.org/dc/terms/" xmlns:xsi="http://www.w3.org/2001/XMLSchema-instance" xsi:type="dcterms:W3CDTF">2026-10-15T08:13:53Z</dcterms:modified>
</cp:coreProperties>
</file>