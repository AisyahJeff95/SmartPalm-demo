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5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07/01</t>
        </is>
      </c>
      <c r="C7" s="42" t="n">
        <v>3770</v>
      </c>
      <c r="D7" s="43" t="n">
        <v>2.59</v>
      </c>
      <c r="E7" s="44" t="n">
        <v>2.387</v>
      </c>
      <c r="F7" s="45">
        <f>(1-ABS(D7-E7)/D7)*100</f>
        <v/>
      </c>
      <c r="G7" s="44" t="n">
        <v>0.168</v>
      </c>
      <c r="H7" s="44" t="n">
        <v>0.151</v>
      </c>
      <c r="I7" s="45">
        <f>(1-ABS(G7-H7)/G7)*100</f>
        <v/>
      </c>
      <c r="J7" s="43" t="n">
        <v>0.96</v>
      </c>
      <c r="K7" s="44" t="n">
        <v>0.959</v>
      </c>
      <c r="L7" s="45">
        <f>(1-ABS(J7-K7)/J7)*100</f>
        <v/>
      </c>
      <c r="M7" s="43" t="n">
        <v>0.3</v>
      </c>
      <c r="N7" s="44" t="n">
        <v>0.25</v>
      </c>
      <c r="O7" s="45">
        <f>(1-ABS(M7-N7)/M7)*100</f>
        <v/>
      </c>
      <c r="P7" s="46" t="n">
        <v>0.46</v>
      </c>
      <c r="Q7" s="47" t="n">
        <v>0.622</v>
      </c>
      <c r="R7" s="45">
        <f>(1-ABS(P7-Q7)/P7)*100</f>
        <v/>
      </c>
      <c r="S7" s="48" t="n">
        <v>16</v>
      </c>
      <c r="T7" s="46" t="n">
        <v>12.09</v>
      </c>
      <c r="U7" s="45">
        <f>(1-ABS(S7-T7)/S7)*100</f>
        <v/>
      </c>
    </row>
    <row r="8">
      <c r="B8" s="41" t="inlineStr">
        <is>
          <t>07/04</t>
        </is>
      </c>
      <c r="C8" s="42" t="n">
        <v>6404</v>
      </c>
      <c r="D8" s="43" t="n">
        <v>2.57</v>
      </c>
      <c r="E8" s="44" t="n">
        <v>2.124</v>
      </c>
      <c r="F8" s="45">
        <f>(1-ABS(D8-E8)/D8)*100</f>
        <v/>
      </c>
      <c r="G8" s="44" t="n">
        <v>0.172</v>
      </c>
      <c r="H8" s="44" t="n">
        <v>0.131</v>
      </c>
      <c r="I8" s="45">
        <f>(1-ABS(G8-H8)/G8)*100</f>
        <v/>
      </c>
      <c r="J8" s="43" t="n">
        <v>0.92</v>
      </c>
      <c r="K8" s="44" t="n">
        <v>0.861</v>
      </c>
      <c r="L8" s="45">
        <f>(1-ABS(J8-K8)/J8)*100</f>
        <v/>
      </c>
      <c r="M8" s="43" t="n">
        <v>0.31</v>
      </c>
      <c r="N8" s="44" t="n">
        <v>0.224</v>
      </c>
      <c r="O8" s="45">
        <f>(1-ABS(M8-N8)/M8)*100</f>
        <v/>
      </c>
      <c r="P8" s="46" t="n">
        <v>0.55</v>
      </c>
      <c r="Q8" s="47" t="n">
        <v>0.527</v>
      </c>
      <c r="R8" s="45">
        <f>(1-ABS(P8-Q8)/P8)*100</f>
        <v/>
      </c>
      <c r="S8" s="48" t="n">
        <v>18</v>
      </c>
      <c r="T8" s="46" t="n">
        <v>11.15</v>
      </c>
      <c r="U8" s="45">
        <f>(1-ABS(S8-T8)/S8)*100</f>
        <v/>
      </c>
    </row>
    <row r="9">
      <c r="B9" s="41" t="inlineStr">
        <is>
          <t>07/05</t>
        </is>
      </c>
      <c r="C9" s="42" t="n">
        <v>2076</v>
      </c>
      <c r="D9" s="43" t="n">
        <v>2.59</v>
      </c>
      <c r="E9" s="44" t="n">
        <v>2.507</v>
      </c>
      <c r="F9" s="45">
        <f>(1-ABS(D9-E9)/D9)*100</f>
        <v/>
      </c>
      <c r="G9" s="44" t="n">
        <v>0.179</v>
      </c>
      <c r="H9" s="44" t="n">
        <v>0.16</v>
      </c>
      <c r="I9" s="45">
        <f>(1-ABS(G9-H9)/G9)*100</f>
        <v/>
      </c>
      <c r="J9" s="43" t="n">
        <v>1.09</v>
      </c>
      <c r="K9" s="44" t="n">
        <v>1.013</v>
      </c>
      <c r="L9" s="45">
        <f>(1-ABS(J9-K9)/J9)*100</f>
        <v/>
      </c>
      <c r="M9" s="43" t="n">
        <v>0.32</v>
      </c>
      <c r="N9" s="44" t="n">
        <v>0.246</v>
      </c>
      <c r="O9" s="45">
        <f>(1-ABS(M9-N9)/M9)*100</f>
        <v/>
      </c>
      <c r="P9" s="46" t="n">
        <v>0.4</v>
      </c>
      <c r="Q9" s="47" t="n">
        <v>0.653</v>
      </c>
      <c r="R9" s="45">
        <f>(1-ABS(P9-Q9)/P9)*100</f>
        <v/>
      </c>
      <c r="S9" s="48" t="n">
        <v>16</v>
      </c>
      <c r="T9" s="46" t="n">
        <v>13.34</v>
      </c>
      <c r="U9" s="45">
        <f>(1-ABS(S9-T9)/S9)*100</f>
        <v/>
      </c>
    </row>
    <row r="10">
      <c r="B10" s="41" t="inlineStr">
        <is>
          <t>07/06</t>
        </is>
      </c>
      <c r="C10" s="42" t="n">
        <v>1312</v>
      </c>
      <c r="D10" s="43" t="n">
        <v>2.62</v>
      </c>
      <c r="E10" s="44" t="n">
        <v>2.448</v>
      </c>
      <c r="F10" s="45">
        <f>(1-ABS(D10-E10)/D10)*100</f>
        <v/>
      </c>
      <c r="G10" s="44" t="n">
        <v>0.168</v>
      </c>
      <c r="H10" s="44" t="n">
        <v>0.158</v>
      </c>
      <c r="I10" s="45">
        <f>(1-ABS(G10-H10)/G10)*100</f>
        <v/>
      </c>
      <c r="J10" s="43" t="n">
        <v>0.9399999999999999</v>
      </c>
      <c r="K10" s="44" t="n">
        <v>0.993</v>
      </c>
      <c r="L10" s="45">
        <f>(1-ABS(J10-K10)/J10)*100</f>
        <v/>
      </c>
      <c r="M10" s="43" t="n">
        <v>0.3</v>
      </c>
      <c r="N10" s="44" t="n">
        <v>0.272</v>
      </c>
      <c r="O10" s="45">
        <f>(1-ABS(M10-N10)/M10)*100</f>
        <v/>
      </c>
      <c r="P10" s="46" t="n">
        <v>0.52</v>
      </c>
      <c r="Q10" s="47" t="n">
        <v>0.661</v>
      </c>
      <c r="R10" s="45">
        <f>(1-ABS(P10-Q10)/P10)*100</f>
        <v/>
      </c>
      <c r="S10" s="48" t="n">
        <v>17</v>
      </c>
      <c r="T10" s="46" t="n">
        <v>11.51</v>
      </c>
      <c r="U10" s="45">
        <f>(1-ABS(S10-T10)/S10)*100</f>
        <v/>
      </c>
    </row>
    <row r="11">
      <c r="B11" s="41" t="inlineStr">
        <is>
          <t>07/08</t>
        </is>
      </c>
      <c r="C11" s="42" t="n">
        <v>5326</v>
      </c>
      <c r="D11" s="43" t="n">
        <v>2.73</v>
      </c>
      <c r="E11" s="44" t="n">
        <v>1.955</v>
      </c>
      <c r="F11" s="45">
        <f>(1-ABS(D11-E11)/D11)*100</f>
        <v/>
      </c>
      <c r="G11" s="44" t="n">
        <v>0.176</v>
      </c>
      <c r="H11" s="44" t="n">
        <v>0.124</v>
      </c>
      <c r="I11" s="45">
        <f>(1-ABS(G11-H11)/G11)*100</f>
        <v/>
      </c>
      <c r="J11" s="43" t="n">
        <v>1.11</v>
      </c>
      <c r="K11" s="44" t="n">
        <v>0.751</v>
      </c>
      <c r="L11" s="45">
        <f>(1-ABS(J11-K11)/J11)*100</f>
        <v/>
      </c>
      <c r="M11" s="43" t="n">
        <v>0.34</v>
      </c>
      <c r="N11" s="44" t="n">
        <v>0.238</v>
      </c>
      <c r="O11" s="45">
        <f>(1-ABS(M11-N11)/M11)*100</f>
        <v/>
      </c>
      <c r="P11" s="46" t="n">
        <v>0.41</v>
      </c>
      <c r="Q11" s="47" t="n">
        <v>0.526</v>
      </c>
      <c r="R11" s="45">
        <f>(1-ABS(P11-Q11)/P11)*100</f>
        <v/>
      </c>
      <c r="S11" s="48" t="n">
        <v>16</v>
      </c>
      <c r="T11" s="46" t="n">
        <v>8.57</v>
      </c>
      <c r="U11" s="45">
        <f>(1-ABS(S11-T11)/S11)*100</f>
        <v/>
      </c>
    </row>
    <row r="12">
      <c r="B12" s="41" t="inlineStr">
        <is>
          <t>07/09</t>
        </is>
      </c>
      <c r="C12" s="42" t="n">
        <v>1896</v>
      </c>
      <c r="D12" s="43" t="n">
        <v>2.51</v>
      </c>
      <c r="E12" s="44" t="n">
        <v>2.451</v>
      </c>
      <c r="F12" s="45">
        <f>(1-ABS(D12-E12)/D12)*100</f>
        <v/>
      </c>
      <c r="G12" s="44" t="n">
        <v>0.178</v>
      </c>
      <c r="H12" s="44" t="n">
        <v>0.157</v>
      </c>
      <c r="I12" s="45">
        <f>(1-ABS(G12-H12)/G12)*100</f>
        <v/>
      </c>
      <c r="J12" s="43" t="n">
        <v>0.98</v>
      </c>
      <c r="K12" s="44" t="n">
        <v>0.996</v>
      </c>
      <c r="L12" s="45">
        <f>(1-ABS(J12-K12)/J12)*100</f>
        <v/>
      </c>
      <c r="M12" s="43" t="n">
        <v>0.35</v>
      </c>
      <c r="N12" s="44" t="n">
        <v>0.265</v>
      </c>
      <c r="O12" s="45">
        <f>(1-ABS(M12-N12)/M12)*100</f>
        <v/>
      </c>
      <c r="P12" s="46" t="n">
        <v>0.55</v>
      </c>
      <c r="Q12" s="47" t="n">
        <v>0.643</v>
      </c>
      <c r="R12" s="45">
        <f>(1-ABS(P12-Q12)/P12)*100</f>
        <v/>
      </c>
      <c r="S12" s="48" t="n">
        <v>19</v>
      </c>
      <c r="T12" s="46" t="n">
        <v>12.84</v>
      </c>
      <c r="U12" s="45">
        <f>(1-ABS(S12-T12)/S12)*100</f>
        <v/>
      </c>
    </row>
    <row r="13">
      <c r="B13" s="41" t="inlineStr">
        <is>
          <t>07/10</t>
        </is>
      </c>
      <c r="C13" s="42" t="n">
        <v>3100</v>
      </c>
      <c r="D13" s="43" t="n">
        <v>2.75</v>
      </c>
      <c r="E13" s="44" t="n">
        <v>2.386</v>
      </c>
      <c r="F13" s="45">
        <f>(1-ABS(D13-E13)/D13)*100</f>
        <v/>
      </c>
      <c r="G13" s="44" t="n">
        <v>0.175</v>
      </c>
      <c r="H13" s="44" t="n">
        <v>0.151</v>
      </c>
      <c r="I13" s="45">
        <f>(1-ABS(G13-H13)/G13)*100</f>
        <v/>
      </c>
      <c r="J13" s="43" t="n">
        <v>1.14</v>
      </c>
      <c r="K13" s="44" t="n">
        <v>0.973</v>
      </c>
      <c r="L13" s="45">
        <f>(1-ABS(J13-K13)/J13)*100</f>
        <v/>
      </c>
      <c r="M13" s="43" t="n">
        <v>0.35</v>
      </c>
      <c r="N13" s="44" t="n">
        <v>0.25</v>
      </c>
      <c r="O13" s="45">
        <f>(1-ABS(M13-N13)/M13)*100</f>
        <v/>
      </c>
      <c r="P13" s="46" t="n">
        <v>0.45</v>
      </c>
      <c r="Q13" s="47" t="n">
        <v>0.605</v>
      </c>
      <c r="R13" s="45">
        <f>(1-ABS(P13-Q13)/P13)*100</f>
        <v/>
      </c>
      <c r="S13" s="48" t="n">
        <v>16</v>
      </c>
      <c r="T13" s="46" t="n">
        <v>13.05</v>
      </c>
      <c r="U13" s="45">
        <f>(1-ABS(S13-T13)/S13)*100</f>
        <v/>
      </c>
    </row>
    <row r="14">
      <c r="B14" s="41" t="inlineStr">
        <is>
          <t>07/11</t>
        </is>
      </c>
      <c r="C14" s="42" t="n">
        <v>3089</v>
      </c>
      <c r="D14" s="43" t="n">
        <v>2.66</v>
      </c>
      <c r="E14" s="44" t="n">
        <v>2.452</v>
      </c>
      <c r="F14" s="45">
        <f>(1-ABS(D14-E14)/D14)*100</f>
        <v/>
      </c>
      <c r="G14" s="44" t="n">
        <v>0.176</v>
      </c>
      <c r="H14" s="44" t="n">
        <v>0.156</v>
      </c>
      <c r="I14" s="45">
        <f>(1-ABS(G14-H14)/G14)*100</f>
        <v/>
      </c>
      <c r="J14" s="43" t="n">
        <v>1.08</v>
      </c>
      <c r="K14" s="44" t="n">
        <v>1</v>
      </c>
      <c r="L14" s="45">
        <f>(1-ABS(J14-K14)/J14)*100</f>
        <v/>
      </c>
      <c r="M14" s="43" t="n">
        <v>0.34</v>
      </c>
      <c r="N14" s="44" t="n">
        <v>0.252</v>
      </c>
      <c r="O14" s="45">
        <f>(1-ABS(M14-N14)/M14)*100</f>
        <v/>
      </c>
      <c r="P14" s="46" t="n">
        <v>0.5</v>
      </c>
      <c r="Q14" s="47" t="n">
        <v>0.633</v>
      </c>
      <c r="R14" s="45">
        <f>(1-ABS(P14-Q14)/P14)*100</f>
        <v/>
      </c>
      <c r="S14" s="48" t="n">
        <v>17</v>
      </c>
      <c r="T14" s="46" t="n">
        <v>12.73</v>
      </c>
      <c r="U14" s="45">
        <f>(1-ABS(S14-T14)/S14)*100</f>
        <v/>
      </c>
    </row>
    <row r="15">
      <c r="B15" s="41" t="inlineStr">
        <is>
          <t>07/12</t>
        </is>
      </c>
      <c r="C15" s="42" t="n">
        <v>5726</v>
      </c>
      <c r="D15" s="43" t="n">
        <v>2.65</v>
      </c>
      <c r="E15" s="44" t="n">
        <v>2.303</v>
      </c>
      <c r="F15" s="45">
        <f>(1-ABS(D15-E15)/D15)*100</f>
        <v/>
      </c>
      <c r="G15" s="44" t="n">
        <v>0.178</v>
      </c>
      <c r="H15" s="44" t="n">
        <v>0.145</v>
      </c>
      <c r="I15" s="45">
        <f>(1-ABS(G15-H15)/G15)*100</f>
        <v/>
      </c>
      <c r="J15" s="43" t="n">
        <v>0.9399999999999999</v>
      </c>
      <c r="K15" s="44" t="n">
        <v>0.924</v>
      </c>
      <c r="L15" s="45">
        <f>(1-ABS(J15-K15)/J15)*100</f>
        <v/>
      </c>
      <c r="M15" s="43" t="n">
        <v>0.31</v>
      </c>
      <c r="N15" s="44" t="n">
        <v>0.244</v>
      </c>
      <c r="O15" s="45">
        <f>(1-ABS(M15-N15)/M15)*100</f>
        <v/>
      </c>
      <c r="P15" s="46" t="n">
        <v>0.54</v>
      </c>
      <c r="Q15" s="47" t="n">
        <v>0.604</v>
      </c>
      <c r="R15" s="45">
        <f>(1-ABS(P15-Q15)/P15)*100</f>
        <v/>
      </c>
      <c r="S15" s="48" t="n">
        <v>17</v>
      </c>
      <c r="T15" s="46" t="n">
        <v>11.45</v>
      </c>
      <c r="U15" s="45">
        <f>(1-ABS(S15-T15)/S15)*100</f>
        <v/>
      </c>
    </row>
    <row r="16">
      <c r="B16" s="41" t="inlineStr">
        <is>
          <t>07/13</t>
        </is>
      </c>
      <c r="C16" s="42" t="n">
        <v>4491</v>
      </c>
      <c r="D16" s="43" t="n">
        <v>2.65</v>
      </c>
      <c r="E16" s="44" t="n">
        <v>2.545</v>
      </c>
      <c r="F16" s="45">
        <f>(1-ABS(D16-E16)/D16)*100</f>
        <v/>
      </c>
      <c r="G16" s="44" t="n">
        <v>0.17</v>
      </c>
      <c r="H16" s="44" t="n">
        <v>0.162</v>
      </c>
      <c r="I16" s="45">
        <f>(1-ABS(G16-H16)/G16)*100</f>
        <v/>
      </c>
      <c r="J16" s="43" t="n">
        <v>0.93</v>
      </c>
      <c r="K16" s="44" t="n">
        <v>1.052</v>
      </c>
      <c r="L16" s="45">
        <f>(1-ABS(J16-K16)/J16)*100</f>
        <v/>
      </c>
      <c r="M16" s="43" t="n">
        <v>0.28</v>
      </c>
      <c r="N16" s="44" t="n">
        <v>0.28</v>
      </c>
      <c r="O16" s="45">
        <f>(1-ABS(M16-N16)/M16)*100</f>
        <v/>
      </c>
      <c r="P16" s="46" t="n">
        <v>0.42</v>
      </c>
      <c r="Q16" s="47" t="n">
        <v>0.6899999999999999</v>
      </c>
      <c r="R16" s="45">
        <f>(1-ABS(P16-Q16)/P16)*100</f>
        <v/>
      </c>
      <c r="S16" s="48" t="n">
        <v>15</v>
      </c>
      <c r="T16" s="46" t="n">
        <v>11.42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07/14</t>
        </is>
      </c>
      <c r="C17" s="42" t="n">
        <v>2282</v>
      </c>
      <c r="D17" s="43" t="n">
        <v>2.63</v>
      </c>
      <c r="E17" s="44" t="n">
        <v>2.292</v>
      </c>
      <c r="F17" s="45">
        <f>(1-ABS(D17-E17)/D17)*100</f>
        <v/>
      </c>
      <c r="G17" s="44" t="n">
        <v>0.179</v>
      </c>
      <c r="H17" s="44" t="n">
        <v>0.144</v>
      </c>
      <c r="I17" s="45">
        <f>(1-ABS(G17-H17)/G17)*100</f>
        <v/>
      </c>
      <c r="J17" s="43" t="n">
        <v>1.01</v>
      </c>
      <c r="K17" s="44" t="n">
        <v>0.93</v>
      </c>
      <c r="L17" s="45">
        <f>(1-ABS(J17-K17)/J17)*100</f>
        <v/>
      </c>
      <c r="M17" s="43" t="n">
        <v>0.31</v>
      </c>
      <c r="N17" s="44" t="n">
        <v>0.265</v>
      </c>
      <c r="O17" s="45">
        <f>(1-ABS(M17-N17)/M17)*100</f>
        <v/>
      </c>
      <c r="P17" s="46" t="n">
        <v>0.47</v>
      </c>
      <c r="Q17" s="47" t="n">
        <v>0.607</v>
      </c>
      <c r="R17" s="45">
        <f>(1-ABS(P17-Q17)/P17)*100</f>
        <v/>
      </c>
      <c r="S17" s="48" t="n">
        <v>14</v>
      </c>
      <c r="T17" s="46" t="n">
        <v>10.7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08/01</t>
        </is>
      </c>
      <c r="C18" s="42" t="n">
        <v>4833</v>
      </c>
      <c r="D18" s="43" t="n">
        <v>2.75</v>
      </c>
      <c r="E18" s="44" t="n">
        <v>1.898</v>
      </c>
      <c r="F18" s="45">
        <f>(1-ABS(D18-E18)/D18)*100</f>
        <v/>
      </c>
      <c r="G18" s="44" t="n">
        <v>0.156</v>
      </c>
      <c r="H18" s="44" t="n">
        <v>0.116</v>
      </c>
      <c r="I18" s="45">
        <f>(1-ABS(G18-H18)/G18)*100</f>
        <v/>
      </c>
      <c r="J18" s="43" t="n">
        <v>0.91</v>
      </c>
      <c r="K18" s="44" t="n">
        <v>0.727</v>
      </c>
      <c r="L18" s="45">
        <f>(1-ABS(J18-K18)/J18)*100</f>
        <v/>
      </c>
      <c r="M18" s="43" t="n">
        <v>0.26</v>
      </c>
      <c r="N18" s="44" t="n">
        <v>0.226</v>
      </c>
      <c r="O18" s="45">
        <f>(1-ABS(M18-N18)/M18)*100</f>
        <v/>
      </c>
      <c r="P18" s="46" t="n">
        <v>0.49</v>
      </c>
      <c r="Q18" s="47" t="n">
        <v>0.48</v>
      </c>
      <c r="R18" s="45">
        <f>(1-ABS(P18-Q18)/P18)*100</f>
        <v/>
      </c>
      <c r="S18" s="48" t="n">
        <v>13</v>
      </c>
      <c r="T18" s="46" t="n">
        <v>8.75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08/02</t>
        </is>
      </c>
      <c r="C19" s="42" t="n">
        <v>6142</v>
      </c>
      <c r="D19" s="43" t="n">
        <v>2.7</v>
      </c>
      <c r="E19" s="44" t="n">
        <v>2.312</v>
      </c>
      <c r="F19" s="45">
        <f>(1-ABS(D19-E19)/D19)*100</f>
        <v/>
      </c>
      <c r="G19" s="44" t="n">
        <v>0.148</v>
      </c>
      <c r="H19" s="44" t="n">
        <v>0.147</v>
      </c>
      <c r="I19" s="45">
        <f>(1-ABS(G19-H19)/G19)*100</f>
        <v/>
      </c>
      <c r="J19" s="43" t="n">
        <v>0.86</v>
      </c>
      <c r="K19" s="44" t="n">
        <v>0.924</v>
      </c>
      <c r="L19" s="45">
        <f>(1-ABS(J19-K19)/J19)*100</f>
        <v/>
      </c>
      <c r="M19" s="43" t="n">
        <v>0.25</v>
      </c>
      <c r="N19" s="44" t="n">
        <v>0.262</v>
      </c>
      <c r="O19" s="45">
        <f>(1-ABS(M19-N19)/M19)*100</f>
        <v/>
      </c>
      <c r="P19" s="46" t="n">
        <v>0.58</v>
      </c>
      <c r="Q19" s="47" t="n">
        <v>0.629</v>
      </c>
      <c r="R19" s="45">
        <f>(1-ABS(P19-Q19)/P19)*100</f>
        <v/>
      </c>
      <c r="S19" s="48" t="n">
        <v>12</v>
      </c>
      <c r="T19" s="46" t="n">
        <v>10.14</v>
      </c>
      <c r="U19" s="45">
        <f>(1-ABS(S19-T19)/S19)*100</f>
        <v/>
      </c>
    </row>
    <row r="20">
      <c r="B20" s="41" t="inlineStr">
        <is>
          <t>08/03</t>
        </is>
      </c>
      <c r="C20" s="42" t="n">
        <v>5309</v>
      </c>
      <c r="D20" s="43" t="n">
        <v>2.57</v>
      </c>
      <c r="E20" s="44" t="n">
        <v>1.91</v>
      </c>
      <c r="F20" s="45">
        <f>(1-ABS(D20-E20)/D20)*100</f>
        <v/>
      </c>
      <c r="G20" s="44" t="n">
        <v>0.157</v>
      </c>
      <c r="H20" s="44" t="n">
        <v>0.12</v>
      </c>
      <c r="I20" s="45">
        <f>(1-ABS(G20-H20)/G20)*100</f>
        <v/>
      </c>
      <c r="J20" s="43" t="n">
        <v>0.92</v>
      </c>
      <c r="K20" s="44" t="n">
        <v>0.727</v>
      </c>
      <c r="L20" s="45">
        <f>(1-ABS(J20-K20)/J20)*100</f>
        <v/>
      </c>
      <c r="M20" s="43" t="n">
        <v>0.29</v>
      </c>
      <c r="N20" s="44" t="n">
        <v>0.237</v>
      </c>
      <c r="O20" s="45">
        <f>(1-ABS(M20-N20)/M20)*100</f>
        <v/>
      </c>
      <c r="P20" s="46" t="n">
        <v>0.45</v>
      </c>
      <c r="Q20" s="47" t="n">
        <v>0.511</v>
      </c>
      <c r="R20" s="45">
        <f>(1-ABS(P20-Q20)/P20)*100</f>
        <v/>
      </c>
      <c r="S20" s="48" t="n">
        <v>14</v>
      </c>
      <c r="T20" s="46" t="n">
        <v>8.1</v>
      </c>
      <c r="U20" s="45">
        <f>(1-ABS(S20-T20)/S20)*100</f>
        <v/>
      </c>
    </row>
    <row r="21">
      <c r="B21" s="41" t="inlineStr">
        <is>
          <t>08/04</t>
        </is>
      </c>
      <c r="C21" s="42" t="n">
        <v>5490</v>
      </c>
      <c r="D21" s="43" t="n">
        <v>2.68</v>
      </c>
      <c r="E21" s="44" t="n">
        <v>2.172</v>
      </c>
      <c r="F21" s="45">
        <f>(1-ABS(D21-E21)/D21)*100</f>
        <v/>
      </c>
      <c r="G21" s="44" t="n">
        <v>0.164</v>
      </c>
      <c r="H21" s="44" t="n">
        <v>0.137</v>
      </c>
      <c r="I21" s="45">
        <f>(1-ABS(G21-H21)/G21)*100</f>
        <v/>
      </c>
      <c r="J21" s="43" t="n">
        <v>0.93</v>
      </c>
      <c r="K21" s="44" t="n">
        <v>0.864</v>
      </c>
      <c r="L21" s="45">
        <f>(1-ABS(J21-K21)/J21)*100</f>
        <v/>
      </c>
      <c r="M21" s="43" t="n">
        <v>0.31</v>
      </c>
      <c r="N21" s="44" t="n">
        <v>0.245</v>
      </c>
      <c r="O21" s="45">
        <f>(1-ABS(M21-N21)/M21)*100</f>
        <v/>
      </c>
      <c r="P21" s="46" t="n">
        <v>0.43</v>
      </c>
      <c r="Q21" s="47" t="n">
        <v>0.569</v>
      </c>
      <c r="R21" s="45">
        <f>(1-ABS(P21-Q21)/P21)*100</f>
        <v/>
      </c>
      <c r="S21" s="48" t="n">
        <v>14</v>
      </c>
      <c r="T21" s="46" t="n">
        <v>10.43</v>
      </c>
      <c r="U21" s="45">
        <f>(1-ABS(S21-T21)/S21)*100</f>
        <v/>
      </c>
    </row>
    <row r="22">
      <c r="B22" s="41" t="inlineStr">
        <is>
          <t>08/05</t>
        </is>
      </c>
      <c r="C22" s="42" t="n">
        <v>5152</v>
      </c>
      <c r="D22" s="43" t="n">
        <v>2.63</v>
      </c>
      <c r="E22" s="44" t="n">
        <v>2.55</v>
      </c>
      <c r="F22" s="45">
        <f>(1-ABS(D22-E22)/D22)*100</f>
        <v/>
      </c>
      <c r="G22" s="44" t="n">
        <v>0.167</v>
      </c>
      <c r="H22" s="44" t="n">
        <v>0.162</v>
      </c>
      <c r="I22" s="45">
        <f>(1-ABS(G22-H22)/G22)*100</f>
        <v/>
      </c>
      <c r="J22" s="43" t="n">
        <v>0.98</v>
      </c>
      <c r="K22" s="44" t="n">
        <v>1.073</v>
      </c>
      <c r="L22" s="45">
        <f>(1-ABS(J22-K22)/J22)*100</f>
        <v/>
      </c>
      <c r="M22" s="43" t="n">
        <v>0.31</v>
      </c>
      <c r="N22" s="44" t="n">
        <v>0.263</v>
      </c>
      <c r="O22" s="45">
        <f>(1-ABS(M22-N22)/M22)*100</f>
        <v/>
      </c>
      <c r="P22" s="46" t="n">
        <v>0.59</v>
      </c>
      <c r="Q22" s="47" t="n">
        <v>0.666</v>
      </c>
      <c r="R22" s="45">
        <f>(1-ABS(P22-Q22)/P22)*100</f>
        <v/>
      </c>
      <c r="S22" s="48" t="n">
        <v>14</v>
      </c>
      <c r="T22" s="46" t="n">
        <v>12.5</v>
      </c>
      <c r="U22" s="45">
        <f>(1-ABS(S22-T22)/S22)*100</f>
        <v/>
      </c>
    </row>
    <row r="23">
      <c r="B23" s="41" t="inlineStr">
        <is>
          <t>08/06</t>
        </is>
      </c>
      <c r="C23" s="42" t="n">
        <v>6461</v>
      </c>
      <c r="D23" s="43" t="n">
        <v>2.57</v>
      </c>
      <c r="E23" s="44" t="n">
        <v>2.246</v>
      </c>
      <c r="F23" s="45">
        <f>(1-ABS(D23-E23)/D23)*100</f>
        <v/>
      </c>
      <c r="G23" s="44" t="n">
        <v>0.161</v>
      </c>
      <c r="H23" s="44" t="n">
        <v>0.142</v>
      </c>
      <c r="I23" s="45">
        <f>(1-ABS(G23-H23)/G23)*100</f>
        <v/>
      </c>
      <c r="J23" s="43" t="n">
        <v>0.95</v>
      </c>
      <c r="K23" s="44" t="n">
        <v>0.896</v>
      </c>
      <c r="L23" s="45">
        <f>(1-ABS(J23-K23)/J23)*100</f>
        <v/>
      </c>
      <c r="M23" s="43" t="n">
        <v>0.29</v>
      </c>
      <c r="N23" s="44" t="n">
        <v>0.26</v>
      </c>
      <c r="O23" s="45">
        <f>(1-ABS(M23-N23)/M23)*100</f>
        <v/>
      </c>
      <c r="P23" s="46" t="n">
        <v>0.43</v>
      </c>
      <c r="Q23" s="47" t="n">
        <v>0.602</v>
      </c>
      <c r="R23" s="45">
        <f>(1-ABS(P23-Q23)/P23)*100</f>
        <v/>
      </c>
      <c r="S23" s="48" t="n">
        <v>13</v>
      </c>
      <c r="T23" s="46" t="n">
        <v>10.15</v>
      </c>
      <c r="U23" s="45">
        <f>(1-ABS(S23-T23)/S23)*100</f>
        <v/>
      </c>
    </row>
    <row r="24">
      <c r="B24" s="41" t="inlineStr">
        <is>
          <t>08/07</t>
        </is>
      </c>
      <c r="C24" s="42" t="n">
        <v>3909</v>
      </c>
      <c r="D24" s="43" t="n">
        <v>2.71</v>
      </c>
      <c r="E24" s="44" t="n">
        <v>2.095</v>
      </c>
      <c r="F24" s="45">
        <f>(1-ABS(D24-E24)/D24)*100</f>
        <v/>
      </c>
      <c r="G24" s="44" t="n">
        <v>0.164</v>
      </c>
      <c r="H24" s="44" t="n">
        <v>0.133</v>
      </c>
      <c r="I24" s="45">
        <f>(1-ABS(G24-H24)/G24)*100</f>
        <v/>
      </c>
      <c r="J24" s="43" t="n">
        <v>0.9399999999999999</v>
      </c>
      <c r="K24" s="44" t="n">
        <v>0.8179999999999999</v>
      </c>
      <c r="L24" s="45">
        <f>(1-ABS(J24-K24)/J24)*100</f>
        <v/>
      </c>
      <c r="M24" s="43" t="n">
        <v>0.29</v>
      </c>
      <c r="N24" s="44" t="n">
        <v>0.246</v>
      </c>
      <c r="O24" s="45">
        <f>(1-ABS(M24-N24)/M24)*100</f>
        <v/>
      </c>
      <c r="P24" s="46" t="n">
        <v>0.44</v>
      </c>
      <c r="Q24" s="47" t="n">
        <v>0.5610000000000001</v>
      </c>
      <c r="R24" s="45">
        <f>(1-ABS(P24-Q24)/P24)*100</f>
        <v/>
      </c>
      <c r="S24" s="48" t="n">
        <v>14</v>
      </c>
      <c r="T24" s="46" t="n">
        <v>9.470000000000001</v>
      </c>
      <c r="U24" s="45">
        <f>(1-ABS(S24-T24)/S24)*100</f>
        <v/>
      </c>
    </row>
    <row r="25">
      <c r="B25" s="41" t="inlineStr">
        <is>
          <t>08/08</t>
        </is>
      </c>
      <c r="C25" s="42" t="n">
        <v>3953</v>
      </c>
      <c r="D25" s="43" t="n">
        <v>2.61</v>
      </c>
      <c r="E25" s="44" t="n">
        <v>2.427</v>
      </c>
      <c r="F25" s="45">
        <f>(1-ABS(D25-E25)/D25)*100</f>
        <v/>
      </c>
      <c r="G25" s="44" t="n">
        <v>0.161</v>
      </c>
      <c r="H25" s="44" t="n">
        <v>0.153</v>
      </c>
      <c r="I25" s="45">
        <f>(1-ABS(G25-H25)/G25)*100</f>
        <v/>
      </c>
      <c r="J25" s="43" t="n">
        <v>0.96</v>
      </c>
      <c r="K25" s="44" t="n">
        <v>0.997</v>
      </c>
      <c r="L25" s="45">
        <f>(1-ABS(J25-K25)/J25)*100</f>
        <v/>
      </c>
      <c r="M25" s="43" t="n">
        <v>0.3</v>
      </c>
      <c r="N25" s="44" t="n">
        <v>0.254</v>
      </c>
      <c r="O25" s="45">
        <f>(1-ABS(M25-N25)/M25)*100</f>
        <v/>
      </c>
      <c r="P25" s="46" t="n">
        <v>0.44</v>
      </c>
      <c r="Q25" s="47" t="n">
        <v>0.627</v>
      </c>
      <c r="R25" s="45">
        <f>(1-ABS(P25-Q25)/P25)*100</f>
        <v/>
      </c>
      <c r="S25" s="48" t="n">
        <v>14</v>
      </c>
      <c r="T25" s="46" t="n">
        <v>12.26</v>
      </c>
      <c r="U25" s="45">
        <f>(1-ABS(S25-T25)/S25)*100</f>
        <v/>
      </c>
    </row>
    <row r="26">
      <c r="B26" s="41" t="inlineStr">
        <is>
          <t>08/09</t>
        </is>
      </c>
      <c r="C26" s="42" t="n">
        <v>6355</v>
      </c>
      <c r="D26" s="43" t="n">
        <v>2.63</v>
      </c>
      <c r="E26" s="44" t="n">
        <v>2.318</v>
      </c>
      <c r="F26" s="45">
        <f>(1-ABS(D26-E26)/D26)*100</f>
        <v/>
      </c>
      <c r="G26" s="44" t="n">
        <v>0.164</v>
      </c>
      <c r="H26" s="44" t="n">
        <v>0.148</v>
      </c>
      <c r="I26" s="45">
        <f>(1-ABS(G26-H26)/G26)*100</f>
        <v/>
      </c>
      <c r="J26" s="43" t="n">
        <v>0.99</v>
      </c>
      <c r="K26" s="44" t="n">
        <v>0.929</v>
      </c>
      <c r="L26" s="45">
        <f>(1-ABS(J26-K26)/J26)*100</f>
        <v/>
      </c>
      <c r="M26" s="43" t="n">
        <v>0.32</v>
      </c>
      <c r="N26" s="44" t="n">
        <v>0.259</v>
      </c>
      <c r="O26" s="45">
        <f>(1-ABS(M26-N26)/M26)*100</f>
        <v/>
      </c>
      <c r="P26" s="46" t="n">
        <v>0.55</v>
      </c>
      <c r="Q26" s="47" t="n">
        <v>0.61</v>
      </c>
      <c r="R26" s="45">
        <f>(1-ABS(P26-Q26)/P26)*100</f>
        <v/>
      </c>
      <c r="S26" s="48" t="n">
        <v>15</v>
      </c>
      <c r="T26" s="46" t="n">
        <v>11.26</v>
      </c>
      <c r="U26" s="45">
        <f>(1-ABS(S26-T26)/S26)*100</f>
        <v/>
      </c>
    </row>
    <row r="27">
      <c r="B27" s="41" t="inlineStr">
        <is>
          <t>08/10</t>
        </is>
      </c>
      <c r="C27" s="42" t="n">
        <v>3120</v>
      </c>
      <c r="D27" s="43" t="n">
        <v>2.7</v>
      </c>
      <c r="E27" s="44" t="n">
        <v>2.213</v>
      </c>
      <c r="F27" s="45">
        <f>(1-ABS(D27-E27)/D27)*100</f>
        <v/>
      </c>
      <c r="G27" s="44" t="n">
        <v>0.16</v>
      </c>
      <c r="H27" s="44" t="n">
        <v>0.141</v>
      </c>
      <c r="I27" s="45">
        <f>(1-ABS(G27-H27)/G27)*100</f>
        <v/>
      </c>
      <c r="J27" s="43" t="n">
        <v>0.86</v>
      </c>
      <c r="K27" s="44" t="n">
        <v>0.88</v>
      </c>
      <c r="L27" s="45">
        <f>(1-ABS(J27-K27)/J27)*100</f>
        <v/>
      </c>
      <c r="M27" s="43" t="n">
        <v>0.27</v>
      </c>
      <c r="N27" s="44" t="n">
        <v>0.247</v>
      </c>
      <c r="O27" s="45">
        <f>(1-ABS(M27-N27)/M27)*100</f>
        <v/>
      </c>
      <c r="P27" s="46" t="n">
        <v>0.42</v>
      </c>
      <c r="Q27" s="47" t="n">
        <v>0.596</v>
      </c>
      <c r="R27" s="45">
        <f>(1-ABS(P27-Q27)/P27)*100</f>
        <v/>
      </c>
      <c r="S27" s="48" t="n">
        <v>17</v>
      </c>
      <c r="T27" s="46" t="n">
        <v>10.21</v>
      </c>
      <c r="U27" s="45">
        <f>(1-ABS(S27-T27)/S27)*100</f>
        <v/>
      </c>
    </row>
    <row r="28">
      <c r="B28" s="41" t="inlineStr">
        <is>
          <t>08/11</t>
        </is>
      </c>
      <c r="C28" s="42" t="n">
        <v>3388</v>
      </c>
      <c r="D28" s="43" t="n">
        <v>2.54</v>
      </c>
      <c r="E28" s="44" t="n">
        <v>2.459</v>
      </c>
      <c r="F28" s="45">
        <f>(1-ABS(D28-E28)/D28)*100</f>
        <v/>
      </c>
      <c r="G28" s="44" t="n">
        <v>0.162</v>
      </c>
      <c r="H28" s="44" t="n">
        <v>0.157</v>
      </c>
      <c r="I28" s="45">
        <f>(1-ABS(G28-H28)/G28)*100</f>
        <v/>
      </c>
      <c r="J28" s="43" t="n">
        <v>0.93</v>
      </c>
      <c r="K28" s="44" t="n">
        <v>0.998</v>
      </c>
      <c r="L28" s="45">
        <f>(1-ABS(J28-K28)/J28)*100</f>
        <v/>
      </c>
      <c r="M28" s="43" t="n">
        <v>0.29</v>
      </c>
      <c r="N28" s="44" t="n">
        <v>0.274</v>
      </c>
      <c r="O28" s="45">
        <f>(1-ABS(M28-N28)/M28)*100</f>
        <v/>
      </c>
      <c r="P28" s="46" t="n">
        <v>0.42</v>
      </c>
      <c r="Q28" s="47" t="n">
        <v>0.655</v>
      </c>
      <c r="R28" s="45">
        <f>(1-ABS(P28-Q28)/P28)*100</f>
        <v/>
      </c>
      <c r="S28" s="48" t="n">
        <v>15</v>
      </c>
      <c r="T28" s="46" t="n">
        <v>11.91</v>
      </c>
      <c r="U28" s="45">
        <f>(1-ABS(S28-T28)/S28)*100</f>
        <v/>
      </c>
    </row>
    <row r="29">
      <c r="B29" s="41" t="inlineStr">
        <is>
          <t>08/12</t>
        </is>
      </c>
      <c r="C29" s="42" t="n">
        <v>3411</v>
      </c>
      <c r="D29" s="43" t="n">
        <v>2.63</v>
      </c>
      <c r="E29" s="44" t="n">
        <v>2.325</v>
      </c>
      <c r="F29" s="45">
        <f>(1-ABS(D29-E29)/D29)*100</f>
        <v/>
      </c>
      <c r="G29" s="44" t="n">
        <v>0.148</v>
      </c>
      <c r="H29" s="44" t="n">
        <v>0.149</v>
      </c>
      <c r="I29" s="45">
        <f>(1-ABS(G29-H29)/G29)*100</f>
        <v/>
      </c>
      <c r="J29" s="43" t="n">
        <v>0.89</v>
      </c>
      <c r="K29" s="44" t="n">
        <v>0.925</v>
      </c>
      <c r="L29" s="45">
        <f>(1-ABS(J29-K29)/J29)*100</f>
        <v/>
      </c>
      <c r="M29" s="43" t="n">
        <v>0.25</v>
      </c>
      <c r="N29" s="44" t="n">
        <v>0.268</v>
      </c>
      <c r="O29" s="45">
        <f>(1-ABS(M29-N29)/M29)*100</f>
        <v/>
      </c>
      <c r="P29" s="46" t="n">
        <v>0.46</v>
      </c>
      <c r="Q29" s="47" t="n">
        <v>0.631</v>
      </c>
      <c r="R29" s="45">
        <f>(1-ABS(P29-Q29)/P29)*100</f>
        <v/>
      </c>
      <c r="S29" s="48" t="n">
        <v>16</v>
      </c>
      <c r="T29" s="46" t="n">
        <v>10.72</v>
      </c>
      <c r="U29" s="45">
        <f>(1-ABS(S29-T29)/S29)*100</f>
        <v/>
      </c>
    </row>
    <row r="30">
      <c r="B30" s="41" t="inlineStr">
        <is>
          <t>09/13</t>
        </is>
      </c>
      <c r="C30" s="42" t="n">
        <v>6734</v>
      </c>
      <c r="D30" s="43" t="n">
        <v>2.67</v>
      </c>
      <c r="E30" s="44" t="n">
        <v>2.58</v>
      </c>
      <c r="F30" s="45">
        <f>(1-ABS(D30-E30)/D30)*100</f>
        <v/>
      </c>
      <c r="G30" s="44" t="n">
        <v>0.157</v>
      </c>
      <c r="H30" s="44" t="n">
        <v>0.165</v>
      </c>
      <c r="I30" s="45">
        <f>(1-ABS(G30-H30)/G30)*100</f>
        <v/>
      </c>
      <c r="J30" s="43" t="n">
        <v>0.84</v>
      </c>
      <c r="K30" s="44" t="n">
        <v>1.05</v>
      </c>
      <c r="L30" s="45">
        <f>(1-ABS(J30-K30)/J30)*100</f>
        <v/>
      </c>
      <c r="M30" s="43" t="n">
        <v>0.29</v>
      </c>
      <c r="N30" s="44" t="n">
        <v>0.267</v>
      </c>
      <c r="O30" s="45">
        <f>(1-ABS(M30-N30)/M30)*100</f>
        <v/>
      </c>
      <c r="P30" s="46" t="n">
        <v>0.49</v>
      </c>
      <c r="Q30" s="47" t="n">
        <v>0.652</v>
      </c>
      <c r="R30" s="45">
        <f>(1-ABS(P30-Q30)/P30)*100</f>
        <v/>
      </c>
      <c r="S30" s="48" t="n">
        <v>19</v>
      </c>
      <c r="T30" s="46" t="n">
        <v>13.85</v>
      </c>
      <c r="U30" s="45">
        <f>(1-ABS(S30-T30)/S30)*100</f>
        <v/>
      </c>
    </row>
    <row r="31">
      <c r="B31" s="41" t="inlineStr">
        <is>
          <t>09/14</t>
        </is>
      </c>
      <c r="C31" s="42" t="n">
        <v>8778</v>
      </c>
      <c r="D31" s="43" t="n">
        <v>2.7</v>
      </c>
      <c r="E31" s="44" t="n">
        <v>2.554</v>
      </c>
      <c r="F31" s="45">
        <f>(1-ABS(D31-E31)/D31)*100</f>
        <v/>
      </c>
      <c r="G31" s="44" t="n">
        <v>0.157</v>
      </c>
      <c r="H31" s="44" t="n">
        <v>0.163</v>
      </c>
      <c r="I31" s="45">
        <f>(1-ABS(G31-H31)/G31)*100</f>
        <v/>
      </c>
      <c r="J31" s="43" t="n">
        <v>0.9</v>
      </c>
      <c r="K31" s="44" t="n">
        <v>1.039</v>
      </c>
      <c r="L31" s="45">
        <f>(1-ABS(J31-K31)/J31)*100</f>
        <v/>
      </c>
      <c r="M31" s="43" t="n">
        <v>0.25</v>
      </c>
      <c r="N31" s="44" t="n">
        <v>0.264</v>
      </c>
      <c r="O31" s="45">
        <f>(1-ABS(M31-N31)/M31)*100</f>
        <v/>
      </c>
      <c r="P31" s="46" t="n">
        <v>0.46</v>
      </c>
      <c r="Q31" s="47" t="n">
        <v>0.649</v>
      </c>
      <c r="R31" s="45">
        <f>(1-ABS(P31-Q31)/P31)*100</f>
        <v/>
      </c>
      <c r="S31" s="48" t="n">
        <v>15</v>
      </c>
      <c r="T31" s="46" t="n">
        <v>13.41</v>
      </c>
      <c r="U31" s="45">
        <f>(1-ABS(S31-T31)/S31)*100</f>
        <v/>
      </c>
    </row>
    <row r="32">
      <c r="B32" s="41" t="inlineStr">
        <is>
          <t>10/15</t>
        </is>
      </c>
      <c r="C32" s="42" t="n">
        <v>1106</v>
      </c>
      <c r="D32" s="43" t="n">
        <v>2.65</v>
      </c>
      <c r="E32" s="44" t="n">
        <v>2.575</v>
      </c>
      <c r="F32" s="45">
        <f>(1-ABS(D32-E32)/D32)*100</f>
        <v/>
      </c>
      <c r="G32" s="44" t="n">
        <v>0.168</v>
      </c>
      <c r="H32" s="44" t="n">
        <v>0.166</v>
      </c>
      <c r="I32" s="45">
        <f>(1-ABS(G32-H32)/G32)*100</f>
        <v/>
      </c>
      <c r="J32" s="43" t="n">
        <v>1.05</v>
      </c>
      <c r="K32" s="44" t="n">
        <v>1.034</v>
      </c>
      <c r="L32" s="45">
        <f>(1-ABS(J32-K32)/J32)*100</f>
        <v/>
      </c>
      <c r="M32" s="43" t="n">
        <v>0.31</v>
      </c>
      <c r="N32" s="44" t="n">
        <v>0.283</v>
      </c>
      <c r="O32" s="45">
        <f>(1-ABS(M32-N32)/M32)*100</f>
        <v/>
      </c>
      <c r="P32" s="46" t="n">
        <v>0.5</v>
      </c>
      <c r="Q32" s="47" t="n">
        <v>0.672</v>
      </c>
      <c r="R32" s="45">
        <f>(1-ABS(P32-Q32)/P32)*100</f>
        <v/>
      </c>
      <c r="S32" s="48" t="n">
        <v>18</v>
      </c>
      <c r="T32" s="46" t="n">
        <v>13.15</v>
      </c>
      <c r="U32" s="45">
        <f>(1-ABS(S32-T32)/S32)*100</f>
        <v/>
      </c>
    </row>
    <row r="33">
      <c r="B33" s="41" t="inlineStr">
        <is>
          <t>10/18</t>
        </is>
      </c>
      <c r="C33" s="42" t="n">
        <v>4107</v>
      </c>
      <c r="D33" s="43" t="n">
        <v>2.62</v>
      </c>
      <c r="E33" s="44" t="n">
        <v>1.98</v>
      </c>
      <c r="F33" s="45">
        <f>(1-ABS(D33-E33)/D33)*100</f>
        <v/>
      </c>
      <c r="G33" s="44" t="n">
        <v>0.153</v>
      </c>
      <c r="H33" s="44" t="n">
        <v>0.126</v>
      </c>
      <c r="I33" s="45">
        <f>(1-ABS(G33-H33)/G33)*100</f>
        <v/>
      </c>
      <c r="J33" s="43" t="n">
        <v>0.96</v>
      </c>
      <c r="K33" s="44" t="n">
        <v>0.782</v>
      </c>
      <c r="L33" s="45">
        <f>(1-ABS(J33-K33)/J33)*100</f>
        <v/>
      </c>
      <c r="M33" s="43" t="n">
        <v>0.28</v>
      </c>
      <c r="N33" s="44" t="n">
        <v>0.236</v>
      </c>
      <c r="O33" s="45">
        <f>(1-ABS(M33-N33)/M33)*100</f>
        <v/>
      </c>
      <c r="P33" s="46" t="n">
        <v>0.53</v>
      </c>
      <c r="Q33" s="47" t="n">
        <v>0.527</v>
      </c>
      <c r="R33" s="45">
        <f>(1-ABS(P33-Q33)/P33)*100</f>
        <v/>
      </c>
      <c r="S33" s="48" t="n">
        <v>18</v>
      </c>
      <c r="T33" s="46" t="n">
        <v>9.359999999999999</v>
      </c>
      <c r="U33" s="45">
        <f>(1-ABS(S33-T33)/S33)*100</f>
        <v/>
      </c>
    </row>
    <row r="34">
      <c r="B34" s="41" t="inlineStr">
        <is>
          <t>10/19</t>
        </is>
      </c>
      <c r="C34" s="42" t="n">
        <v>4149</v>
      </c>
      <c r="D34" s="43" t="n">
        <v>2.52</v>
      </c>
      <c r="E34" s="44" t="n">
        <v>2.303</v>
      </c>
      <c r="F34" s="45">
        <f>(1-ABS(D34-E34)/D34)*100</f>
        <v/>
      </c>
      <c r="G34" s="44" t="n">
        <v>0.164</v>
      </c>
      <c r="H34" s="44" t="n">
        <v>0.147</v>
      </c>
      <c r="I34" s="45">
        <f>(1-ABS(G34-H34)/G34)*100</f>
        <v/>
      </c>
      <c r="J34" s="43" t="n">
        <v>0.97</v>
      </c>
      <c r="K34" s="44" t="n">
        <v>0.918</v>
      </c>
      <c r="L34" s="45">
        <f>(1-ABS(J34-K34)/J34)*100</f>
        <v/>
      </c>
      <c r="M34" s="43" t="n">
        <v>0.32</v>
      </c>
      <c r="N34" s="44" t="n">
        <v>0.259</v>
      </c>
      <c r="O34" s="45">
        <f>(1-ABS(M34-N34)/M34)*100</f>
        <v/>
      </c>
      <c r="P34" s="46" t="n">
        <v>0.48</v>
      </c>
      <c r="Q34" s="47" t="n">
        <v>0.607</v>
      </c>
      <c r="R34" s="45">
        <f>(1-ABS(P34-Q34)/P34)*100</f>
        <v/>
      </c>
      <c r="S34" s="48" t="n">
        <v>17</v>
      </c>
      <c r="T34" s="46" t="n">
        <v>11.67</v>
      </c>
      <c r="U34" s="45">
        <f>(1-ABS(S34-T34)/S34)*100</f>
        <v/>
      </c>
    </row>
    <row r="35">
      <c r="B35" s="41" t="inlineStr">
        <is>
          <t>10/20</t>
        </is>
      </c>
      <c r="C35" s="42" t="n">
        <v>4739</v>
      </c>
      <c r="D35" s="43" t="n">
        <v>2.66</v>
      </c>
      <c r="E35" s="44" t="n">
        <v>2.436</v>
      </c>
      <c r="F35" s="45">
        <f>(1-ABS(D35-E35)/D35)*100</f>
        <v/>
      </c>
      <c r="G35" s="44" t="n">
        <v>0.168</v>
      </c>
      <c r="H35" s="44" t="n">
        <v>0.156</v>
      </c>
      <c r="I35" s="45">
        <f>(1-ABS(G35-H35)/G35)*100</f>
        <v/>
      </c>
      <c r="J35" s="43" t="n">
        <v>0.99</v>
      </c>
      <c r="K35" s="44" t="n">
        <v>0.975</v>
      </c>
      <c r="L35" s="45">
        <f>(1-ABS(J35-K35)/J35)*100</f>
        <v/>
      </c>
      <c r="M35" s="43" t="n">
        <v>0.3</v>
      </c>
      <c r="N35" s="44" t="n">
        <v>0.266</v>
      </c>
      <c r="O35" s="45">
        <f>(1-ABS(M35-N35)/M35)*100</f>
        <v/>
      </c>
      <c r="P35" s="46" t="n">
        <v>0.41</v>
      </c>
      <c r="Q35" s="47" t="n">
        <v>0.63</v>
      </c>
      <c r="R35" s="45">
        <f>(1-ABS(P35-Q35)/P35)*100</f>
        <v/>
      </c>
      <c r="S35" s="48" t="n">
        <v>18</v>
      </c>
      <c r="T35" s="46" t="n">
        <v>13.12</v>
      </c>
      <c r="U35" s="45">
        <f>(1-ABS(S35-T35)/S35)*100</f>
        <v/>
      </c>
    </row>
    <row r="36">
      <c r="B36" s="41" t="inlineStr">
        <is>
          <t>10/21</t>
        </is>
      </c>
      <c r="C36" s="42" t="n">
        <v>4331</v>
      </c>
      <c r="D36" s="43" t="n">
        <v>2.63</v>
      </c>
      <c r="E36" s="44" t="n">
        <v>2.321</v>
      </c>
      <c r="F36" s="45">
        <f>(1-ABS(D36-E36)/D36)*100</f>
        <v/>
      </c>
      <c r="G36" s="44" t="n">
        <v>0.175</v>
      </c>
      <c r="H36" s="44" t="n">
        <v>0.149</v>
      </c>
      <c r="I36" s="45">
        <f>(1-ABS(G36-H36)/G36)*100</f>
        <v/>
      </c>
      <c r="J36" s="43" t="n">
        <v>1.09</v>
      </c>
      <c r="K36" s="44" t="n">
        <v>0.923</v>
      </c>
      <c r="L36" s="45">
        <f>(1-ABS(J36-K36)/J36)*100</f>
        <v/>
      </c>
      <c r="M36" s="43" t="n">
        <v>0.33</v>
      </c>
      <c r="N36" s="44" t="n">
        <v>0.269</v>
      </c>
      <c r="O36" s="45">
        <f>(1-ABS(M36-N36)/M36)*100</f>
        <v/>
      </c>
      <c r="P36" s="46" t="n">
        <v>0.59</v>
      </c>
      <c r="Q36" s="47" t="n">
        <v>0.609</v>
      </c>
      <c r="R36" s="45">
        <f>(1-ABS(P36-Q36)/P36)*100</f>
        <v/>
      </c>
      <c r="S36" s="48" t="n">
        <v>19</v>
      </c>
      <c r="T36" s="46" t="n">
        <v>11.74</v>
      </c>
      <c r="U36" s="45">
        <f>(1-ABS(S36-T36)/S36)*100</f>
        <v/>
      </c>
    </row>
    <row r="37">
      <c r="B37" s="41" t="inlineStr">
        <is>
          <t>11/22</t>
        </is>
      </c>
      <c r="C37" s="42" t="n">
        <v>4735</v>
      </c>
      <c r="D37" s="43" t="n">
        <v>2.53</v>
      </c>
      <c r="E37" s="44" t="n">
        <v>2.164</v>
      </c>
      <c r="F37" s="45">
        <f>(1-ABS(D37-E37)/D37)*100</f>
        <v/>
      </c>
      <c r="G37" s="44" t="n">
        <v>0.165</v>
      </c>
      <c r="H37" s="44" t="n">
        <v>0.138</v>
      </c>
      <c r="I37" s="45">
        <f>(1-ABS(G37-H37)/G37)*100</f>
        <v/>
      </c>
      <c r="J37" s="43" t="n">
        <v>1.04</v>
      </c>
      <c r="K37" s="44" t="n">
        <v>0.859</v>
      </c>
      <c r="L37" s="45">
        <f>(1-ABS(J37-K37)/J37)*100</f>
        <v/>
      </c>
      <c r="M37" s="43" t="n">
        <v>0.33</v>
      </c>
      <c r="N37" s="44" t="n">
        <v>0.259</v>
      </c>
      <c r="O37" s="45">
        <f>(1-ABS(M37-N37)/M37)*100</f>
        <v/>
      </c>
      <c r="P37" s="46" t="n">
        <v>0.42</v>
      </c>
      <c r="Q37" s="47" t="n">
        <v>0.57</v>
      </c>
      <c r="R37" s="45">
        <f>(1-ABS(P37-Q37)/P37)*100</f>
        <v/>
      </c>
      <c r="S37" s="48" t="n">
        <v>18</v>
      </c>
      <c r="T37" s="46" t="n">
        <v>10.51</v>
      </c>
      <c r="U37" s="45">
        <f>(1-ABS(S37-T37)/S37)*100</f>
        <v/>
      </c>
    </row>
    <row r="38">
      <c r="B38" s="41" t="inlineStr">
        <is>
          <t>11/23</t>
        </is>
      </c>
      <c r="C38" s="42" t="n">
        <v>4758</v>
      </c>
      <c r="D38" s="43" t="n">
        <v>2.64</v>
      </c>
      <c r="E38" s="44" t="n">
        <v>2.464</v>
      </c>
      <c r="F38" s="45">
        <f>(1-ABS(D38-E38)/D38)*100</f>
        <v/>
      </c>
      <c r="G38" s="44" t="n">
        <v>0.167</v>
      </c>
      <c r="H38" s="44" t="n">
        <v>0.156</v>
      </c>
      <c r="I38" s="45">
        <f>(1-ABS(G38-H38)/G38)*100</f>
        <v/>
      </c>
      <c r="J38" s="43" t="n">
        <v>1.01</v>
      </c>
      <c r="K38" s="44" t="n">
        <v>0.972</v>
      </c>
      <c r="L38" s="45">
        <f>(1-ABS(J38-K38)/J38)*100</f>
        <v/>
      </c>
      <c r="M38" s="43" t="n">
        <v>0.29</v>
      </c>
      <c r="N38" s="44" t="n">
        <v>0.261</v>
      </c>
      <c r="O38" s="45">
        <f>(1-ABS(M38-N38)/M38)*100</f>
        <v/>
      </c>
      <c r="P38" s="46" t="n">
        <v>0.57</v>
      </c>
      <c r="Q38" s="47" t="n">
        <v>0.632</v>
      </c>
      <c r="R38" s="45">
        <f>(1-ABS(P38-Q38)/P38)*100</f>
        <v/>
      </c>
      <c r="S38" s="48" t="n">
        <v>16</v>
      </c>
      <c r="T38" s="46" t="n">
        <v>12.78</v>
      </c>
      <c r="U38" s="45">
        <f>(1-ABS(S38-T38)/S38)*100</f>
        <v/>
      </c>
    </row>
    <row r="39">
      <c r="B39" s="41" t="inlineStr">
        <is>
          <t>11/24</t>
        </is>
      </c>
      <c r="C39" s="42" t="n">
        <v>2801</v>
      </c>
      <c r="D39" s="43" t="n">
        <v>2.54</v>
      </c>
      <c r="E39" s="44" t="n">
        <v>2.581</v>
      </c>
      <c r="F39" s="45">
        <f>(1-ABS(D39-E39)/D39)*100</f>
        <v/>
      </c>
      <c r="G39" s="44" t="n">
        <v>0.158</v>
      </c>
      <c r="H39" s="44" t="n">
        <v>0.162</v>
      </c>
      <c r="I39" s="45">
        <f>(1-ABS(G39-H39)/G39)*100</f>
        <v/>
      </c>
      <c r="J39" s="43" t="n">
        <v>0.83</v>
      </c>
      <c r="K39" s="44" t="n">
        <v>1.025</v>
      </c>
      <c r="L39" s="45">
        <f>(1-ABS(J39-K39)/J39)*100</f>
        <v/>
      </c>
      <c r="M39" s="43" t="n">
        <v>0.3</v>
      </c>
      <c r="N39" s="44" t="n">
        <v>0.269</v>
      </c>
      <c r="O39" s="45">
        <f>(1-ABS(M39-N39)/M39)*100</f>
        <v/>
      </c>
      <c r="P39" s="46" t="n">
        <v>0.54</v>
      </c>
      <c r="Q39" s="47" t="n">
        <v>0.664</v>
      </c>
      <c r="R39" s="45">
        <f>(1-ABS(P39-Q39)/P39)*100</f>
        <v/>
      </c>
      <c r="S39" s="48" t="n">
        <v>17</v>
      </c>
      <c r="T39" s="46" t="n">
        <v>13.69</v>
      </c>
      <c r="U39" s="45">
        <f>(1-ABS(S39-T39)/S39)*100</f>
        <v/>
      </c>
    </row>
    <row r="40">
      <c r="B40" s="41" t="inlineStr">
        <is>
          <t>11/25</t>
        </is>
      </c>
      <c r="C40" s="42" t="n">
        <v>3246</v>
      </c>
      <c r="D40" s="43" t="n">
        <v>2.56</v>
      </c>
      <c r="E40" s="44" t="n">
        <v>2.356</v>
      </c>
      <c r="F40" s="45">
        <f>(1-ABS(D40-E40)/D40)*100</f>
        <v/>
      </c>
      <c r="G40" s="44" t="n">
        <v>0.167</v>
      </c>
      <c r="H40" s="44" t="n">
        <v>0.147</v>
      </c>
      <c r="I40" s="45">
        <f>(1-ABS(G40-H40)/G40)*100</f>
        <v/>
      </c>
      <c r="J40" s="43" t="n">
        <v>0.99</v>
      </c>
      <c r="K40" s="44" t="n">
        <v>0.9429999999999999</v>
      </c>
      <c r="L40" s="45">
        <f>(1-ABS(J40-K40)/J40)*100</f>
        <v/>
      </c>
      <c r="M40" s="43" t="n">
        <v>0.28</v>
      </c>
      <c r="N40" s="44" t="n">
        <v>0.257</v>
      </c>
      <c r="O40" s="45">
        <f>(1-ABS(M40-N40)/M40)*100</f>
        <v/>
      </c>
      <c r="P40" s="46" t="n">
        <v>0.42</v>
      </c>
      <c r="Q40" s="47" t="n">
        <v>0.596</v>
      </c>
      <c r="R40" s="45">
        <f>(1-ABS(P40-Q40)/P40)*100</f>
        <v/>
      </c>
      <c r="S40" s="48" t="n">
        <v>16</v>
      </c>
      <c r="T40" s="46" t="n">
        <v>12.27</v>
      </c>
      <c r="U40" s="45">
        <f>(1-ABS(S40-T40)/S40)*100</f>
        <v/>
      </c>
    </row>
    <row r="41">
      <c r="B41" s="41" t="inlineStr">
        <is>
          <t>11/26</t>
        </is>
      </c>
      <c r="C41" s="42" t="n">
        <v>4549</v>
      </c>
      <c r="D41" s="43" t="n">
        <v>2.55</v>
      </c>
      <c r="E41" s="44" t="n">
        <v>2.59</v>
      </c>
      <c r="F41" s="45">
        <f>(1-ABS(D41-E41)/D41)*100</f>
        <v/>
      </c>
      <c r="G41" s="44" t="n">
        <v>0.16</v>
      </c>
      <c r="H41" s="44" t="n">
        <v>0.163</v>
      </c>
      <c r="I41" s="45">
        <f>(1-ABS(G41-H41)/G41)*100</f>
        <v/>
      </c>
      <c r="J41" s="43" t="n">
        <v>0.93</v>
      </c>
      <c r="K41" s="44" t="n">
        <v>1.056</v>
      </c>
      <c r="L41" s="45">
        <f>(1-ABS(J41-K41)/J41)*100</f>
        <v/>
      </c>
      <c r="M41" s="43" t="n">
        <v>0.28</v>
      </c>
      <c r="N41" s="44" t="n">
        <v>0.276</v>
      </c>
      <c r="O41" s="45">
        <f>(1-ABS(M41-N41)/M41)*100</f>
        <v/>
      </c>
      <c r="P41" s="46" t="n">
        <v>0.43</v>
      </c>
      <c r="Q41" s="47" t="n">
        <v>0.671</v>
      </c>
      <c r="R41" s="45">
        <f>(1-ABS(P41-Q41)/P41)*100</f>
        <v/>
      </c>
      <c r="S41" s="48" t="n">
        <v>15</v>
      </c>
      <c r="T41" s="46" t="n">
        <v>13.36</v>
      </c>
      <c r="U41" s="45">
        <f>(1-ABS(S41-T41)/S41)*100</f>
        <v/>
      </c>
    </row>
    <row r="42">
      <c r="B42" s="41" t="inlineStr">
        <is>
          <t>11/27</t>
        </is>
      </c>
      <c r="C42" s="42" t="n">
        <v>5248</v>
      </c>
      <c r="D42" s="43" t="n">
        <v>2.71</v>
      </c>
      <c r="E42" s="44" t="n">
        <v>2.604</v>
      </c>
      <c r="F42" s="45">
        <f>(1-ABS(D42-E42)/D42)*100</f>
        <v/>
      </c>
      <c r="G42" s="44" t="n">
        <v>0.167</v>
      </c>
      <c r="H42" s="44" t="n">
        <v>0.165</v>
      </c>
      <c r="I42" s="45">
        <f>(1-ABS(G42-H42)/G42)*100</f>
        <v/>
      </c>
      <c r="J42" s="43" t="n">
        <v>0.95</v>
      </c>
      <c r="K42" s="44" t="n">
        <v>1.026</v>
      </c>
      <c r="L42" s="45">
        <f>(1-ABS(J42-K42)/J42)*100</f>
        <v/>
      </c>
      <c r="M42" s="43" t="n">
        <v>0.29</v>
      </c>
      <c r="N42" s="44" t="n">
        <v>0.272</v>
      </c>
      <c r="O42" s="45">
        <f>(1-ABS(M42-N42)/M42)*100</f>
        <v/>
      </c>
      <c r="P42" s="46" t="n">
        <v>0.46</v>
      </c>
      <c r="Q42" s="47" t="n">
        <v>0.665</v>
      </c>
      <c r="R42" s="45">
        <f>(1-ABS(P42-Q42)/P42)*100</f>
        <v/>
      </c>
      <c r="S42" s="48" t="n">
        <v>14</v>
      </c>
      <c r="T42" s="46" t="n">
        <v>13.94</v>
      </c>
      <c r="U42" s="45">
        <f>(1-ABS(S42-T42)/S42)*100</f>
        <v/>
      </c>
    </row>
    <row r="43">
      <c r="B43" s="41" t="inlineStr">
        <is>
          <t>11/28</t>
        </is>
      </c>
      <c r="C43" s="42" t="n">
        <v>5031</v>
      </c>
      <c r="D43" s="43" t="n">
        <v>2.57</v>
      </c>
      <c r="E43" s="44" t="n">
        <v>2.589</v>
      </c>
      <c r="F43" s="45">
        <f>(1-ABS(D43-E43)/D43)*100</f>
        <v/>
      </c>
      <c r="G43" s="44" t="n">
        <v>0.173</v>
      </c>
      <c r="H43" s="44" t="n">
        <v>0.163</v>
      </c>
      <c r="I43" s="45">
        <f>(1-ABS(G43-H43)/G43)*100</f>
        <v/>
      </c>
      <c r="J43" s="43" t="n">
        <v>0.99</v>
      </c>
      <c r="K43" s="44" t="n">
        <v>1.026</v>
      </c>
      <c r="L43" s="45">
        <f>(1-ABS(J43-K43)/J43)*100</f>
        <v/>
      </c>
      <c r="M43" s="43" t="n">
        <v>0.31</v>
      </c>
      <c r="N43" s="44" t="n">
        <v>0.262</v>
      </c>
      <c r="O43" s="45">
        <f>(1-ABS(M43-N43)/M43)*100</f>
        <v/>
      </c>
      <c r="P43" s="46" t="n">
        <v>0.49</v>
      </c>
      <c r="Q43" s="47" t="n">
        <v>0.651</v>
      </c>
      <c r="R43" s="45">
        <f>(1-ABS(P43-Q43)/P43)*100</f>
        <v/>
      </c>
      <c r="S43" s="48" t="n">
        <v>15</v>
      </c>
      <c r="T43" s="46" t="n">
        <v>14.07</v>
      </c>
      <c r="U43" s="45">
        <f>(1-ABS(S43-T43)/S43)*100</f>
        <v/>
      </c>
    </row>
    <row r="44">
      <c r="B44" s="41" t="inlineStr">
        <is>
          <t>12/01</t>
        </is>
      </c>
      <c r="C44" s="42" t="n">
        <v>5618</v>
      </c>
      <c r="D44" s="43" t="n">
        <v>2.73</v>
      </c>
      <c r="E44" s="44" t="n">
        <v>2.558</v>
      </c>
      <c r="F44" s="45">
        <f>(1-ABS(D44-E44)/D44)*100</f>
        <v/>
      </c>
      <c r="G44" s="44" t="n">
        <v>0.167</v>
      </c>
      <c r="H44" s="44" t="n">
        <v>0.163</v>
      </c>
      <c r="I44" s="45">
        <f>(1-ABS(G44-H44)/G44)*100</f>
        <v/>
      </c>
      <c r="J44" s="43" t="n">
        <v>1.03</v>
      </c>
      <c r="K44" s="44" t="n">
        <v>1.035</v>
      </c>
      <c r="L44" s="45">
        <f>(1-ABS(J44-K44)/J44)*100</f>
        <v/>
      </c>
      <c r="M44" s="43" t="n">
        <v>0.33</v>
      </c>
      <c r="N44" s="44" t="n">
        <v>0.274</v>
      </c>
      <c r="O44" s="45">
        <f>(1-ABS(M44-N44)/M44)*100</f>
        <v/>
      </c>
      <c r="P44" s="46" t="n">
        <v>0.5</v>
      </c>
      <c r="Q44" s="47" t="n">
        <v>0.657</v>
      </c>
      <c r="R44" s="45">
        <f>(1-ABS(P44-Q44)/P44)*100</f>
        <v/>
      </c>
      <c r="S44" s="48" t="n">
        <v>14</v>
      </c>
      <c r="T44" s="46" t="n">
        <v>13.04</v>
      </c>
      <c r="U44" s="45">
        <f>(1-ABS(S44-T44)/S44)*100</f>
        <v/>
      </c>
    </row>
    <row r="45">
      <c r="B45" s="41" t="inlineStr">
        <is>
          <t>12/02</t>
        </is>
      </c>
      <c r="C45" s="42" t="n">
        <v>3401</v>
      </c>
      <c r="D45" s="43" t="n">
        <v>2.69</v>
      </c>
      <c r="E45" s="44" t="n">
        <v>2.477</v>
      </c>
      <c r="F45" s="45">
        <f>(1-ABS(D45-E45)/D45)*100</f>
        <v/>
      </c>
      <c r="G45" s="44" t="n">
        <v>0.169</v>
      </c>
      <c r="H45" s="44" t="n">
        <v>0.158</v>
      </c>
      <c r="I45" s="45">
        <f>(1-ABS(G45-H45)/G45)*100</f>
        <v/>
      </c>
      <c r="J45" s="43" t="n">
        <v>1.03</v>
      </c>
      <c r="K45" s="44" t="n">
        <v>0.982</v>
      </c>
      <c r="L45" s="45">
        <f>(1-ABS(J45-K45)/J45)*100</f>
        <v/>
      </c>
      <c r="M45" s="43" t="n">
        <v>0.31</v>
      </c>
      <c r="N45" s="44" t="n">
        <v>0.287</v>
      </c>
      <c r="O45" s="45">
        <f>(1-ABS(M45-N45)/M45)*100</f>
        <v/>
      </c>
      <c r="P45" s="46" t="n">
        <v>0.49</v>
      </c>
      <c r="Q45" s="47" t="n">
        <v>0.649</v>
      </c>
      <c r="R45" s="45">
        <f>(1-ABS(P45-Q45)/P45)*100</f>
        <v/>
      </c>
      <c r="S45" s="48" t="n">
        <v>15</v>
      </c>
      <c r="T45" s="46" t="n">
        <v>12.66</v>
      </c>
      <c r="U45" s="45">
        <f>(1-ABS(S45-T45)/S45)*100</f>
        <v/>
      </c>
    </row>
    <row r="46">
      <c r="B46" s="41" t="inlineStr">
        <is>
          <t>12/03</t>
        </is>
      </c>
      <c r="C46" s="42" t="n">
        <v>4771</v>
      </c>
      <c r="D46" s="43" t="n">
        <v>2.54</v>
      </c>
      <c r="E46" s="44" t="n">
        <v>2.561</v>
      </c>
      <c r="F46" s="45">
        <f>(1-ABS(D46-E46)/D46)*100</f>
        <v/>
      </c>
      <c r="G46" s="44" t="n">
        <v>0.161</v>
      </c>
      <c r="H46" s="44" t="n">
        <v>0.163</v>
      </c>
      <c r="I46" s="45">
        <f>(1-ABS(G46-H46)/G46)*100</f>
        <v/>
      </c>
      <c r="J46" s="43" t="n">
        <v>0.99</v>
      </c>
      <c r="K46" s="44" t="n">
        <v>1.018</v>
      </c>
      <c r="L46" s="45">
        <f>(1-ABS(J46-K46)/J46)*100</f>
        <v/>
      </c>
      <c r="M46" s="43" t="n">
        <v>0.3</v>
      </c>
      <c r="N46" s="44" t="n">
        <v>0.268</v>
      </c>
      <c r="O46" s="45">
        <f>(1-ABS(M46-N46)/M46)*100</f>
        <v/>
      </c>
      <c r="P46" s="46" t="n">
        <v>0.43</v>
      </c>
      <c r="Q46" s="47" t="n">
        <v>0.656</v>
      </c>
      <c r="R46" s="45">
        <f>(1-ABS(P46-Q46)/P46)*100</f>
        <v/>
      </c>
      <c r="S46" s="48" t="n">
        <v>16</v>
      </c>
      <c r="T46" s="46" t="n">
        <v>13.4</v>
      </c>
      <c r="U46" s="45">
        <f>(1-ABS(S46-T46)/S46)*100</f>
        <v/>
      </c>
    </row>
    <row r="47">
      <c r="B47" s="41" t="inlineStr">
        <is>
          <t>12/04</t>
        </is>
      </c>
      <c r="C47" s="42" t="n">
        <v>4746</v>
      </c>
      <c r="D47" s="43" t="n">
        <v>2.62</v>
      </c>
      <c r="E47" s="44" t="n">
        <v>2.613</v>
      </c>
      <c r="F47" s="45">
        <f>(1-ABS(D47-E47)/D47)*100</f>
        <v/>
      </c>
      <c r="G47" s="44" t="n">
        <v>0.174</v>
      </c>
      <c r="H47" s="44" t="n">
        <v>0.168</v>
      </c>
      <c r="I47" s="45">
        <f>(1-ABS(G47-H47)/G47)*100</f>
        <v/>
      </c>
      <c r="J47" s="43" t="n">
        <v>1.03</v>
      </c>
      <c r="K47" s="44" t="n">
        <v>1.068</v>
      </c>
      <c r="L47" s="45">
        <f>(1-ABS(J47-K47)/J47)*100</f>
        <v/>
      </c>
      <c r="M47" s="43" t="n">
        <v>0.29</v>
      </c>
      <c r="N47" s="44" t="n">
        <v>0.299</v>
      </c>
      <c r="O47" s="45">
        <f>(1-ABS(M47-N47)/M47)*100</f>
        <v/>
      </c>
      <c r="P47" s="46" t="n">
        <v>0.43</v>
      </c>
      <c r="Q47" s="47" t="n">
        <v>0.722</v>
      </c>
      <c r="R47" s="45">
        <f>(1-ABS(P47-Q47)/P47)*100</f>
        <v/>
      </c>
      <c r="S47" s="48" t="n">
        <v>16</v>
      </c>
      <c r="T47" s="46" t="n">
        <v>11.39</v>
      </c>
      <c r="U47" s="45">
        <f>(1-ABS(S47-T47)/S47)*100</f>
        <v/>
      </c>
    </row>
    <row r="48">
      <c r="B48" s="41" t="inlineStr">
        <is>
          <t>12/05</t>
        </is>
      </c>
      <c r="C48" s="42" t="n">
        <v>4631</v>
      </c>
      <c r="D48" s="43" t="n">
        <v>2.52</v>
      </c>
      <c r="E48" s="44" t="n">
        <v>2.577</v>
      </c>
      <c r="F48" s="45">
        <f>(1-ABS(D48-E48)/D48)*100</f>
        <v/>
      </c>
      <c r="G48" s="44" t="n">
        <v>0.162</v>
      </c>
      <c r="H48" s="44" t="n">
        <v>0.165</v>
      </c>
      <c r="I48" s="45">
        <f>(1-ABS(G48-H48)/G48)*100</f>
        <v/>
      </c>
      <c r="J48" s="43" t="n">
        <v>0.92</v>
      </c>
      <c r="K48" s="44" t="n">
        <v>1.031</v>
      </c>
      <c r="L48" s="45">
        <f>(1-ABS(J48-K48)/J48)*100</f>
        <v/>
      </c>
      <c r="M48" s="43" t="n">
        <v>0.26</v>
      </c>
      <c r="N48" s="44" t="n">
        <v>0.279</v>
      </c>
      <c r="O48" s="45">
        <f>(1-ABS(M48-N48)/M48)*100</f>
        <v/>
      </c>
      <c r="P48" s="46" t="n">
        <v>0.41</v>
      </c>
      <c r="Q48" s="47" t="n">
        <v>0.679</v>
      </c>
      <c r="R48" s="45">
        <f>(1-ABS(P48-Q48)/P48)*100</f>
        <v/>
      </c>
      <c r="S48" s="48" t="n">
        <v>15</v>
      </c>
      <c r="T48" s="46" t="n">
        <v>12.94</v>
      </c>
      <c r="U48" s="45">
        <f>(1-ABS(S48-T48)/S48)*100</f>
        <v/>
      </c>
    </row>
    <row r="49">
      <c r="B49" s="41" t="inlineStr">
        <is>
          <t>12/06</t>
        </is>
      </c>
      <c r="C49" s="42" t="n">
        <v>5767</v>
      </c>
      <c r="D49" s="43" t="n">
        <v>2.67</v>
      </c>
      <c r="E49" s="44" t="n">
        <v>2.275</v>
      </c>
      <c r="F49" s="45">
        <f>(1-ABS(D49-E49)/D49)*100</f>
        <v/>
      </c>
      <c r="G49" s="44" t="n">
        <v>0.169</v>
      </c>
      <c r="H49" s="44" t="n">
        <v>0.145</v>
      </c>
      <c r="I49" s="45">
        <f>(1-ABS(G49-H49)/G49)*100</f>
        <v/>
      </c>
      <c r="J49" s="43" t="n">
        <v>1.04</v>
      </c>
      <c r="K49" s="44" t="n">
        <v>0.902</v>
      </c>
      <c r="L49" s="45">
        <f>(1-ABS(J49-K49)/J49)*100</f>
        <v/>
      </c>
      <c r="M49" s="43" t="n">
        <v>0.3</v>
      </c>
      <c r="N49" s="44" t="n">
        <v>0.264</v>
      </c>
      <c r="O49" s="45">
        <f>(1-ABS(M49-N49)/M49)*100</f>
        <v/>
      </c>
      <c r="P49" s="46" t="n">
        <v>0.44</v>
      </c>
      <c r="Q49" s="47" t="n">
        <v>0.596</v>
      </c>
      <c r="R49" s="45">
        <f>(1-ABS(P49-Q49)/P49)*100</f>
        <v/>
      </c>
      <c r="S49" s="48" t="n">
        <v>15</v>
      </c>
      <c r="T49" s="46" t="n">
        <v>11.12</v>
      </c>
      <c r="U49" s="45">
        <f>(1-ABS(S49-T49)/S49)*100</f>
        <v/>
      </c>
    </row>
    <row r="50">
      <c r="B50" s="41" t="inlineStr">
        <is>
          <t>12/07</t>
        </is>
      </c>
      <c r="C50" s="42" t="n">
        <v>5465</v>
      </c>
      <c r="D50" s="43" t="n">
        <v>2.62</v>
      </c>
      <c r="E50" s="44" t="n">
        <v>2.464</v>
      </c>
      <c r="F50" s="45">
        <f>(1-ABS(D50-E50)/D50)*100</f>
        <v/>
      </c>
      <c r="G50" s="44" t="n">
        <v>0.164</v>
      </c>
      <c r="H50" s="44" t="n">
        <v>0.158</v>
      </c>
      <c r="I50" s="45">
        <f>(1-ABS(G50-H50)/G50)*100</f>
        <v/>
      </c>
      <c r="J50" s="43" t="n">
        <v>0.95</v>
      </c>
      <c r="K50" s="44" t="n">
        <v>0.996</v>
      </c>
      <c r="L50" s="45">
        <f>(1-ABS(J50-K50)/J50)*100</f>
        <v/>
      </c>
      <c r="M50" s="43" t="n">
        <v>0.28</v>
      </c>
      <c r="N50" s="44" t="n">
        <v>0.274</v>
      </c>
      <c r="O50" s="45">
        <f>(1-ABS(M50-N50)/M50)*100</f>
        <v/>
      </c>
      <c r="P50" s="46" t="n">
        <v>0.43</v>
      </c>
      <c r="Q50" s="47" t="n">
        <v>0.635</v>
      </c>
      <c r="R50" s="45">
        <f>(1-ABS(P50-Q50)/P50)*100</f>
        <v/>
      </c>
      <c r="S50" s="48" t="n">
        <v>15</v>
      </c>
      <c r="T50" s="46" t="n">
        <v>13.27</v>
      </c>
      <c r="U50" s="45">
        <f>(1-ABS(S50-T50)/S50)*100</f>
        <v/>
      </c>
    </row>
    <row r="51">
      <c r="B51" s="41" t="inlineStr">
        <is>
          <t>12/08</t>
        </is>
      </c>
      <c r="C51" s="42" t="n">
        <v>5061</v>
      </c>
      <c r="D51" s="43" t="n">
        <v>2.66</v>
      </c>
      <c r="E51" s="44" t="n">
        <v>2.386</v>
      </c>
      <c r="F51" s="45">
        <f>(1-ABS(D51-E51)/D51)*100</f>
        <v/>
      </c>
      <c r="G51" s="44" t="n">
        <v>0.17</v>
      </c>
      <c r="H51" s="44" t="n">
        <v>0.154</v>
      </c>
      <c r="I51" s="45">
        <f>(1-ABS(G51-H51)/G51)*100</f>
        <v/>
      </c>
      <c r="J51" s="43" t="n">
        <v>1.02</v>
      </c>
      <c r="K51" s="44" t="n">
        <v>0.953</v>
      </c>
      <c r="L51" s="45">
        <f>(1-ABS(J51-K51)/J51)*100</f>
        <v/>
      </c>
      <c r="M51" s="43" t="n">
        <v>0.3</v>
      </c>
      <c r="N51" s="44" t="n">
        <v>0.282</v>
      </c>
      <c r="O51" s="45">
        <f>(1-ABS(M51-N51)/M51)*100</f>
        <v/>
      </c>
      <c r="P51" s="46" t="n">
        <v>0.44</v>
      </c>
      <c r="Q51" s="47" t="n">
        <v>0.645</v>
      </c>
      <c r="R51" s="45">
        <f>(1-ABS(P51-Q51)/P51)*100</f>
        <v/>
      </c>
      <c r="S51" s="48" t="n">
        <v>14</v>
      </c>
      <c r="T51" s="46" t="n">
        <v>11.52</v>
      </c>
      <c r="U51" s="45">
        <f>(1-ABS(S51-T51)/S51)*100</f>
        <v/>
      </c>
    </row>
    <row r="52">
      <c r="B52" s="41" t="inlineStr">
        <is>
          <t>12/09</t>
        </is>
      </c>
      <c r="C52" s="42" t="n">
        <v>5579</v>
      </c>
      <c r="D52" s="43" t="n">
        <v>2.59</v>
      </c>
      <c r="E52" s="44" t="n">
        <v>2.507</v>
      </c>
      <c r="F52" s="45">
        <f>(1-ABS(D52-E52)/D52)*100</f>
        <v/>
      </c>
      <c r="G52" s="44" t="n">
        <v>0.158</v>
      </c>
      <c r="H52" s="44" t="n">
        <v>0.16</v>
      </c>
      <c r="I52" s="45">
        <f>(1-ABS(G52-H52)/G52)*100</f>
        <v/>
      </c>
      <c r="J52" s="43" t="n">
        <v>0.88</v>
      </c>
      <c r="K52" s="44" t="n">
        <v>1.004</v>
      </c>
      <c r="L52" s="45">
        <f>(1-ABS(J52-K52)/J52)*100</f>
        <v/>
      </c>
      <c r="M52" s="43" t="n">
        <v>0.28</v>
      </c>
      <c r="N52" s="44" t="n">
        <v>0.27</v>
      </c>
      <c r="O52" s="45">
        <f>(1-ABS(M52-N52)/M52)*100</f>
        <v/>
      </c>
      <c r="P52" s="46" t="n">
        <v>0.42</v>
      </c>
      <c r="Q52" s="47" t="n">
        <v>0.645</v>
      </c>
      <c r="R52" s="45">
        <f>(1-ABS(P52-Q52)/P52)*100</f>
        <v/>
      </c>
      <c r="S52" s="48" t="n">
        <v>15</v>
      </c>
      <c r="T52" s="46" t="n">
        <v>13.25</v>
      </c>
      <c r="U52" s="45">
        <f>(1-ABS(S52-T52)/S52)*100</f>
        <v/>
      </c>
    </row>
    <row r="53">
      <c r="B53" s="41" t="inlineStr">
        <is>
          <t>12/10</t>
        </is>
      </c>
      <c r="C53" s="42" t="n">
        <v>5501</v>
      </c>
      <c r="D53" s="43" t="n">
        <v>2.6</v>
      </c>
      <c r="E53" s="44" t="n">
        <v>2.536</v>
      </c>
      <c r="F53" s="45">
        <f>(1-ABS(D53-E53)/D53)*100</f>
        <v/>
      </c>
      <c r="G53" s="44" t="n">
        <v>0.173</v>
      </c>
      <c r="H53" s="44" t="n">
        <v>0.161</v>
      </c>
      <c r="I53" s="45">
        <f>(1-ABS(G53-H53)/G53)*100</f>
        <v/>
      </c>
      <c r="J53" s="43" t="n">
        <v>1.1</v>
      </c>
      <c r="K53" s="44" t="n">
        <v>1.031</v>
      </c>
      <c r="L53" s="45">
        <f>(1-ABS(J53-K53)/J53)*100</f>
        <v/>
      </c>
      <c r="M53" s="43" t="n">
        <v>0.31</v>
      </c>
      <c r="N53" s="44" t="n">
        <v>0.259</v>
      </c>
      <c r="O53" s="45">
        <f>(1-ABS(M53-N53)/M53)*100</f>
        <v/>
      </c>
      <c r="P53" s="46" t="n">
        <v>0.42</v>
      </c>
      <c r="Q53" s="47" t="n">
        <v>0.638</v>
      </c>
      <c r="R53" s="45">
        <f>(1-ABS(P53-Q53)/P53)*100</f>
        <v/>
      </c>
      <c r="S53" s="48" t="n">
        <v>15</v>
      </c>
      <c r="T53" s="46" t="n">
        <v>13.84</v>
      </c>
      <c r="U53" s="45">
        <f>(1-ABS(S53-T53)/S53)*100</f>
        <v/>
      </c>
    </row>
    <row r="54">
      <c r="B54" s="41" t="inlineStr">
        <is>
          <t>12/11</t>
        </is>
      </c>
      <c r="C54" s="42" t="n">
        <v>5065</v>
      </c>
      <c r="D54" s="43" t="n">
        <v>2.76</v>
      </c>
      <c r="E54" s="44" t="n">
        <v>2.463</v>
      </c>
      <c r="F54" s="45">
        <f>(1-ABS(D54-E54)/D54)*100</f>
        <v/>
      </c>
      <c r="G54" s="44" t="n">
        <v>0.174</v>
      </c>
      <c r="H54" s="44" t="n">
        <v>0.157</v>
      </c>
      <c r="I54" s="45">
        <f>(1-ABS(G54-H54)/G54)*100</f>
        <v/>
      </c>
      <c r="J54" s="43" t="n">
        <v>1.06</v>
      </c>
      <c r="K54" s="44" t="n">
        <v>0.993</v>
      </c>
      <c r="L54" s="45">
        <f>(1-ABS(J54-K54)/J54)*100</f>
        <v/>
      </c>
      <c r="M54" s="43" t="n">
        <v>0.31</v>
      </c>
      <c r="N54" s="44" t="n">
        <v>0.282</v>
      </c>
      <c r="O54" s="45">
        <f>(1-ABS(M54-N54)/M54)*100</f>
        <v/>
      </c>
      <c r="P54" s="46" t="n">
        <v>0.43</v>
      </c>
      <c r="Q54" s="47" t="n">
        <v>0.652</v>
      </c>
      <c r="R54" s="45">
        <f>(1-ABS(P54-Q54)/P54)*100</f>
        <v/>
      </c>
      <c r="S54" s="48" t="n">
        <v>15</v>
      </c>
      <c r="T54" s="46" t="n">
        <v>11.97</v>
      </c>
      <c r="U54" s="45">
        <f>(1-ABS(S54-T54)/S54)*100</f>
        <v/>
      </c>
    </row>
    <row r="55">
      <c r="B55" s="41" t="inlineStr">
        <is>
          <t>12/12</t>
        </is>
      </c>
      <c r="C55" s="42" t="n">
        <v>5747</v>
      </c>
      <c r="D55" s="43" t="n">
        <v>2.59</v>
      </c>
      <c r="E55" s="44" t="n">
        <v>2.462</v>
      </c>
      <c r="F55" s="45">
        <f>(1-ABS(D55-E55)/D55)*100</f>
        <v/>
      </c>
      <c r="G55" s="44" t="n">
        <v>0.177</v>
      </c>
      <c r="H55" s="44" t="n">
        <v>0.156</v>
      </c>
      <c r="I55" s="45">
        <f>(1-ABS(G55-H55)/G55)*100</f>
        <v/>
      </c>
      <c r="J55" s="43" t="n">
        <v>1.07</v>
      </c>
      <c r="K55" s="44" t="n">
        <v>1.005</v>
      </c>
      <c r="L55" s="45">
        <f>(1-ABS(J55-K55)/J55)*100</f>
        <v/>
      </c>
      <c r="M55" s="43" t="n">
        <v>0.3</v>
      </c>
      <c r="N55" s="44" t="n">
        <v>0.281</v>
      </c>
      <c r="O55" s="45">
        <f>(1-ABS(M55-N55)/M55)*100</f>
        <v/>
      </c>
      <c r="P55" s="46" t="n">
        <v>0.47</v>
      </c>
      <c r="Q55" s="47" t="n">
        <v>0.651</v>
      </c>
      <c r="R55" s="45">
        <f>(1-ABS(P55-Q55)/P55)*100</f>
        <v/>
      </c>
      <c r="S55" s="48" t="n">
        <v>15</v>
      </c>
      <c r="T55" s="46" t="n">
        <v>11.97</v>
      </c>
      <c r="U55" s="45">
        <f>(1-ABS(S55-T55)/S55)*100</f>
        <v/>
      </c>
    </row>
    <row r="56">
      <c r="B56" s="41" t="inlineStr">
        <is>
          <t>12/13</t>
        </is>
      </c>
      <c r="C56" s="42" t="n">
        <v>5755</v>
      </c>
      <c r="D56" s="43" t="n">
        <v>2.6</v>
      </c>
      <c r="E56" s="44" t="n">
        <v>2.204</v>
      </c>
      <c r="F56" s="45">
        <f>(1-ABS(D56-E56)/D56)*100</f>
        <v/>
      </c>
      <c r="G56" s="44" t="n">
        <v>0.176</v>
      </c>
      <c r="H56" s="44" t="n">
        <v>0.138</v>
      </c>
      <c r="I56" s="45">
        <f>(1-ABS(G56-H56)/G56)*100</f>
        <v/>
      </c>
      <c r="J56" s="43" t="n">
        <v>1.08</v>
      </c>
      <c r="K56" s="44" t="n">
        <v>0.893</v>
      </c>
      <c r="L56" s="45">
        <f>(1-ABS(J56-K56)/J56)*100</f>
        <v/>
      </c>
      <c r="M56" s="43" t="n">
        <v>0.33</v>
      </c>
      <c r="N56" s="44" t="n">
        <v>0.259</v>
      </c>
      <c r="O56" s="45">
        <f>(1-ABS(M56-N56)/M56)*100</f>
        <v/>
      </c>
      <c r="P56" s="46" t="n">
        <v>0.4</v>
      </c>
      <c r="Q56" s="47" t="n">
        <v>0.5679999999999999</v>
      </c>
      <c r="R56" s="45">
        <f>(1-ABS(P56-Q56)/P56)*100</f>
        <v/>
      </c>
      <c r="S56" s="48" t="n">
        <v>18</v>
      </c>
      <c r="T56" s="46" t="n">
        <v>10.82</v>
      </c>
      <c r="U56" s="45">
        <f>(1-ABS(S56-T56)/S56)*100</f>
        <v/>
      </c>
    </row>
    <row r="57">
      <c r="B57" s="41" t="inlineStr">
        <is>
          <t>12/14</t>
        </is>
      </c>
      <c r="C57" s="42" t="n">
        <v>4158</v>
      </c>
      <c r="D57" s="43" t="n">
        <v>2.56</v>
      </c>
      <c r="E57" s="44" t="n">
        <v>2.043</v>
      </c>
      <c r="F57" s="45">
        <f>(1-ABS(D57-E57)/D57)*100</f>
        <v/>
      </c>
      <c r="G57" s="44" t="n">
        <v>0.154</v>
      </c>
      <c r="H57" s="44" t="n">
        <v>0.127</v>
      </c>
      <c r="I57" s="45">
        <f>(1-ABS(G57-H57)/G57)*100</f>
        <v/>
      </c>
      <c r="J57" s="43" t="n">
        <v>0.82</v>
      </c>
      <c r="K57" s="44" t="n">
        <v>0.8169999999999999</v>
      </c>
      <c r="L57" s="45">
        <f>(1-ABS(J57-K57)/J57)*100</f>
        <v/>
      </c>
      <c r="M57" s="43" t="n">
        <v>0.29</v>
      </c>
      <c r="N57" s="44" t="n">
        <v>0.244</v>
      </c>
      <c r="O57" s="45">
        <f>(1-ABS(M57-N57)/M57)*100</f>
        <v/>
      </c>
      <c r="P57" s="46" t="n">
        <v>0.55</v>
      </c>
      <c r="Q57" s="47" t="n">
        <v>0.528</v>
      </c>
      <c r="R57" s="45">
        <f>(1-ABS(P57-Q57)/P57)*100</f>
        <v/>
      </c>
      <c r="S57" s="48" t="n">
        <v>16</v>
      </c>
      <c r="T57" s="46" t="n">
        <v>9.359999999999999</v>
      </c>
      <c r="U57" s="45">
        <f>(1-ABS(S57-T57)/S57)*100</f>
        <v/>
      </c>
    </row>
    <row r="58">
      <c r="B58" s="41" t="inlineStr">
        <is>
          <t>13/01</t>
        </is>
      </c>
      <c r="C58" s="42" t="n">
        <v>4227</v>
      </c>
      <c r="D58" s="43" t="n">
        <v>2.51</v>
      </c>
      <c r="E58" s="44" t="n">
        <v>2.399</v>
      </c>
      <c r="F58" s="45">
        <f>(1-ABS(D58-E58)/D58)*100</f>
        <v/>
      </c>
      <c r="G58" s="44" t="n">
        <v>0.164</v>
      </c>
      <c r="H58" s="44" t="n">
        <v>0.154</v>
      </c>
      <c r="I58" s="45">
        <f>(1-ABS(G58-H58)/G58)*100</f>
        <v/>
      </c>
      <c r="J58" s="43" t="n">
        <v>1</v>
      </c>
      <c r="K58" s="44" t="n">
        <v>0.955</v>
      </c>
      <c r="L58" s="45">
        <f>(1-ABS(J58-K58)/J58)*100</f>
        <v/>
      </c>
      <c r="M58" s="43" t="n">
        <v>0.28</v>
      </c>
      <c r="N58" s="44" t="n">
        <v>0.273</v>
      </c>
      <c r="O58" s="45">
        <f>(1-ABS(M58-N58)/M58)*100</f>
        <v/>
      </c>
      <c r="P58" s="46" t="n">
        <v>0.48</v>
      </c>
      <c r="Q58" s="47" t="n">
        <v>0.658</v>
      </c>
      <c r="R58" s="45">
        <f>(1-ABS(P58-Q58)/P58)*100</f>
        <v/>
      </c>
      <c r="S58" s="48" t="n">
        <v>13</v>
      </c>
      <c r="T58" s="46" t="n">
        <v>11.17</v>
      </c>
      <c r="U58" s="45">
        <f>(1-ABS(S58-T58)/S58)*100</f>
        <v/>
      </c>
    </row>
    <row r="59">
      <c r="B59" s="41" t="inlineStr">
        <is>
          <t>13/02</t>
        </is>
      </c>
      <c r="C59" s="42" t="n">
        <v>5226</v>
      </c>
      <c r="D59" s="43" t="n">
        <v>2.73</v>
      </c>
      <c r="E59" s="44" t="n">
        <v>2.505</v>
      </c>
      <c r="F59" s="45">
        <f>(1-ABS(D59-E59)/D59)*100</f>
        <v/>
      </c>
      <c r="G59" s="44" t="n">
        <v>0.157</v>
      </c>
      <c r="H59" s="44" t="n">
        <v>0.162</v>
      </c>
      <c r="I59" s="45">
        <f>(1-ABS(G59-H59)/G59)*100</f>
        <v/>
      </c>
      <c r="J59" s="43" t="n">
        <v>0.95</v>
      </c>
      <c r="K59" s="44" t="n">
        <v>1.002</v>
      </c>
      <c r="L59" s="45">
        <f>(1-ABS(J59-K59)/J59)*100</f>
        <v/>
      </c>
      <c r="M59" s="43" t="n">
        <v>0.27</v>
      </c>
      <c r="N59" s="44" t="n">
        <v>0.282</v>
      </c>
      <c r="O59" s="45">
        <f>(1-ABS(M59-N59)/M59)*100</f>
        <v/>
      </c>
      <c r="P59" s="46" t="n">
        <v>0.48</v>
      </c>
      <c r="Q59" s="47" t="n">
        <v>0.6919999999999999</v>
      </c>
      <c r="R59" s="45">
        <f>(1-ABS(P59-Q59)/P59)*100</f>
        <v/>
      </c>
      <c r="S59" s="48" t="n">
        <v>13</v>
      </c>
      <c r="T59" s="46" t="n">
        <v>11.9</v>
      </c>
      <c r="U59" s="45">
        <f>(1-ABS(S59-T59)/S59)*100</f>
        <v/>
      </c>
    </row>
    <row r="60">
      <c r="B60" s="41" t="inlineStr">
        <is>
          <t>13/03</t>
        </is>
      </c>
      <c r="C60" s="42" t="n">
        <v>4026</v>
      </c>
      <c r="D60" s="43" t="n">
        <v>2.5</v>
      </c>
      <c r="E60" s="44" t="n">
        <v>2.597</v>
      </c>
      <c r="F60" s="45">
        <f>(1-ABS(D60-E60)/D60)*100</f>
        <v/>
      </c>
      <c r="G60" s="44" t="n">
        <v>0.174</v>
      </c>
      <c r="H60" s="44" t="n">
        <v>0.165</v>
      </c>
      <c r="I60" s="45">
        <f>(1-ABS(G60-H60)/G60)*100</f>
        <v/>
      </c>
      <c r="J60" s="43" t="n">
        <v>1</v>
      </c>
      <c r="K60" s="44" t="n">
        <v>1.049</v>
      </c>
      <c r="L60" s="45">
        <f>(1-ABS(J60-K60)/J60)*100</f>
        <v/>
      </c>
      <c r="M60" s="43" t="n">
        <v>0.3</v>
      </c>
      <c r="N60" s="44" t="n">
        <v>0.281</v>
      </c>
      <c r="O60" s="45">
        <f>(1-ABS(M60-N60)/M60)*100</f>
        <v/>
      </c>
      <c r="P60" s="46" t="n">
        <v>0.47</v>
      </c>
      <c r="Q60" s="47" t="n">
        <v>0.667</v>
      </c>
      <c r="R60" s="45">
        <f>(1-ABS(P60-Q60)/P60)*100</f>
        <v/>
      </c>
      <c r="S60" s="48" t="n">
        <v>16</v>
      </c>
      <c r="T60" s="46" t="n">
        <v>13.27</v>
      </c>
      <c r="U60" s="45">
        <f>(1-ABS(S60-T60)/S60)*100</f>
        <v/>
      </c>
    </row>
    <row r="61">
      <c r="B61" s="41" t="inlineStr">
        <is>
          <t>13/04</t>
        </is>
      </c>
      <c r="C61" s="42" t="n">
        <v>4365</v>
      </c>
      <c r="D61" s="43" t="n">
        <v>2.69</v>
      </c>
      <c r="E61" s="44" t="n">
        <v>2.58</v>
      </c>
      <c r="F61" s="45">
        <f>(1-ABS(D61-E61)/D61)*100</f>
        <v/>
      </c>
      <c r="G61" s="44" t="n">
        <v>0.173</v>
      </c>
      <c r="H61" s="44" t="n">
        <v>0.164</v>
      </c>
      <c r="I61" s="45">
        <f>(1-ABS(G61-H61)/G61)*100</f>
        <v/>
      </c>
      <c r="J61" s="43" t="n">
        <v>1.01</v>
      </c>
      <c r="K61" s="44" t="n">
        <v>1.045</v>
      </c>
      <c r="L61" s="45">
        <f>(1-ABS(J61-K61)/J61)*100</f>
        <v/>
      </c>
      <c r="M61" s="43" t="n">
        <v>0.33</v>
      </c>
      <c r="N61" s="44" t="n">
        <v>0.287</v>
      </c>
      <c r="O61" s="45">
        <f>(1-ABS(M61-N61)/M61)*100</f>
        <v/>
      </c>
      <c r="P61" s="46" t="n">
        <v>0.49</v>
      </c>
      <c r="Q61" s="47" t="n">
        <v>0.674</v>
      </c>
      <c r="R61" s="45">
        <f>(1-ABS(P61-Q61)/P61)*100</f>
        <v/>
      </c>
      <c r="S61" s="48" t="n">
        <v>14</v>
      </c>
      <c r="T61" s="46" t="n">
        <v>12.81</v>
      </c>
      <c r="U61" s="45">
        <f>(1-ABS(S61-T61)/S61)*100</f>
        <v/>
      </c>
    </row>
    <row r="62">
      <c r="B62" s="41" t="inlineStr">
        <is>
          <t>13/05</t>
        </is>
      </c>
      <c r="C62" s="42" t="n">
        <v>4215</v>
      </c>
      <c r="D62" s="43" t="n">
        <v>2.53</v>
      </c>
      <c r="E62" s="44" t="n">
        <v>1.8</v>
      </c>
      <c r="F62" s="45">
        <f>(1-ABS(D62-E62)/D62)*100</f>
        <v/>
      </c>
      <c r="G62" s="44" t="n">
        <v>0.173</v>
      </c>
      <c r="H62" s="44" t="n">
        <v>0.108</v>
      </c>
      <c r="I62" s="45">
        <f>(1-ABS(G62-H62)/G62)*100</f>
        <v/>
      </c>
      <c r="J62" s="43" t="n">
        <v>1.06</v>
      </c>
      <c r="K62" s="44" t="n">
        <v>0.71</v>
      </c>
      <c r="L62" s="45">
        <f>(1-ABS(J62-K62)/J62)*100</f>
        <v/>
      </c>
      <c r="M62" s="43" t="n">
        <v>0.32</v>
      </c>
      <c r="N62" s="44" t="n">
        <v>0.225</v>
      </c>
      <c r="O62" s="45">
        <f>(1-ABS(M62-N62)/M62)*100</f>
        <v/>
      </c>
      <c r="P62" s="46" t="n">
        <v>0.48</v>
      </c>
      <c r="Q62" s="47" t="n">
        <v>0.444</v>
      </c>
      <c r="R62" s="45">
        <f>(1-ABS(P62-Q62)/P62)*100</f>
        <v/>
      </c>
      <c r="S62" s="48" t="n">
        <v>15</v>
      </c>
      <c r="T62" s="46" t="n">
        <v>8.57</v>
      </c>
      <c r="U62" s="45">
        <f>(1-ABS(S62-T62)/S62)*100</f>
        <v/>
      </c>
    </row>
    <row r="63">
      <c r="B63" s="41" t="inlineStr">
        <is>
          <t>13/06</t>
        </is>
      </c>
      <c r="C63" s="42" t="n">
        <v>4231</v>
      </c>
      <c r="D63" s="43" t="n">
        <v>2.49</v>
      </c>
      <c r="E63" s="44" t="n">
        <v>2.218</v>
      </c>
      <c r="F63" s="45">
        <f>(1-ABS(D63-E63)/D63)*100</f>
        <v/>
      </c>
      <c r="G63" s="44" t="n">
        <v>0.169</v>
      </c>
      <c r="H63" s="44" t="n">
        <v>0.142</v>
      </c>
      <c r="I63" s="45">
        <f>(1-ABS(G63-H63)/G63)*100</f>
        <v/>
      </c>
      <c r="J63" s="43" t="n">
        <v>1</v>
      </c>
      <c r="K63" s="44" t="n">
        <v>0.879</v>
      </c>
      <c r="L63" s="45">
        <f>(1-ABS(J63-K63)/J63)*100</f>
        <v/>
      </c>
      <c r="M63" s="43" t="n">
        <v>0.3</v>
      </c>
      <c r="N63" s="44" t="n">
        <v>0.266</v>
      </c>
      <c r="O63" s="45">
        <f>(1-ABS(M63-N63)/M63)*100</f>
        <v/>
      </c>
      <c r="P63" s="46" t="n">
        <v>0.46</v>
      </c>
      <c r="Q63" s="47" t="n">
        <v>0.596</v>
      </c>
      <c r="R63" s="45">
        <f>(1-ABS(P63-Q63)/P63)*100</f>
        <v/>
      </c>
      <c r="S63" s="48" t="n">
        <v>14</v>
      </c>
      <c r="T63" s="46" t="n">
        <v>10.43</v>
      </c>
      <c r="U63" s="45">
        <f>(1-ABS(S63-T63)/S63)*100</f>
        <v/>
      </c>
    </row>
    <row r="64">
      <c r="B64" s="41" t="inlineStr">
        <is>
          <t>13/07</t>
        </is>
      </c>
      <c r="C64" s="42" t="n">
        <v>4109</v>
      </c>
      <c r="D64" s="43" t="n">
        <v>2.65</v>
      </c>
      <c r="E64" s="44" t="n">
        <v>2.449</v>
      </c>
      <c r="F64" s="45">
        <f>(1-ABS(D64-E64)/D64)*100</f>
        <v/>
      </c>
      <c r="G64" s="44" t="n">
        <v>0.173</v>
      </c>
      <c r="H64" s="44" t="n">
        <v>0.156</v>
      </c>
      <c r="I64" s="45">
        <f>(1-ABS(G64-H64)/G64)*100</f>
        <v/>
      </c>
      <c r="J64" s="43" t="n">
        <v>0.99</v>
      </c>
      <c r="K64" s="44" t="n">
        <v>0.999</v>
      </c>
      <c r="L64" s="45">
        <f>(1-ABS(J64-K64)/J64)*100</f>
        <v/>
      </c>
      <c r="M64" s="43" t="n">
        <v>0.3</v>
      </c>
      <c r="N64" s="44" t="n">
        <v>0.278</v>
      </c>
      <c r="O64" s="45">
        <f>(1-ABS(M64-N64)/M64)*100</f>
        <v/>
      </c>
      <c r="P64" s="46" t="n">
        <v>0.46</v>
      </c>
      <c r="Q64" s="47" t="n">
        <v>0.647</v>
      </c>
      <c r="R64" s="45">
        <f>(1-ABS(P64-Q64)/P64)*100</f>
        <v/>
      </c>
      <c r="S64" s="48" t="n">
        <v>15</v>
      </c>
      <c r="T64" s="46" t="n">
        <v>12.08</v>
      </c>
      <c r="U64" s="45">
        <f>(1-ABS(S64-T64)/S64)*100</f>
        <v/>
      </c>
    </row>
    <row r="65">
      <c r="B65" s="41" t="inlineStr">
        <is>
          <t>13/08</t>
        </is>
      </c>
      <c r="C65" s="42" t="n">
        <v>5031</v>
      </c>
      <c r="D65" s="43" t="n">
        <v>2.62</v>
      </c>
      <c r="E65" s="44" t="n">
        <v>2.324</v>
      </c>
      <c r="F65" s="45">
        <f>(1-ABS(D65-E65)/D65)*100</f>
        <v/>
      </c>
      <c r="G65" s="44" t="n">
        <v>0.165</v>
      </c>
      <c r="H65" s="44" t="n">
        <v>0.149</v>
      </c>
      <c r="I65" s="45">
        <f>(1-ABS(G65-H65)/G65)*100</f>
        <v/>
      </c>
      <c r="J65" s="43" t="n">
        <v>1.01</v>
      </c>
      <c r="K65" s="44" t="n">
        <v>0.931</v>
      </c>
      <c r="L65" s="45">
        <f>(1-ABS(J65-K65)/J65)*100</f>
        <v/>
      </c>
      <c r="M65" s="43" t="n">
        <v>0.31</v>
      </c>
      <c r="N65" s="44" t="n">
        <v>0.275</v>
      </c>
      <c r="O65" s="45">
        <f>(1-ABS(M65-N65)/M65)*100</f>
        <v/>
      </c>
      <c r="P65" s="46" t="n">
        <v>0.46</v>
      </c>
      <c r="Q65" s="47" t="n">
        <v>0.62</v>
      </c>
      <c r="R65" s="45">
        <f>(1-ABS(P65-Q65)/P65)*100</f>
        <v/>
      </c>
      <c r="S65" s="48" t="n">
        <v>15</v>
      </c>
      <c r="T65" s="46" t="n">
        <v>11.02</v>
      </c>
      <c r="U65" s="45">
        <f>(1-ABS(S65-T65)/S65)*100</f>
        <v/>
      </c>
    </row>
    <row r="66">
      <c r="B66" s="41" t="inlineStr">
        <is>
          <t>13/09</t>
        </is>
      </c>
      <c r="C66" s="42" t="n">
        <v>4263</v>
      </c>
      <c r="D66" s="43" t="n">
        <v>2.61</v>
      </c>
      <c r="E66" s="44" t="n">
        <v>2.353</v>
      </c>
      <c r="F66" s="45">
        <f>(1-ABS(D66-E66)/D66)*100</f>
        <v/>
      </c>
      <c r="G66" s="44" t="n">
        <v>0.176</v>
      </c>
      <c r="H66" s="44" t="n">
        <v>0.149</v>
      </c>
      <c r="I66" s="45">
        <f>(1-ABS(G66-H66)/G66)*100</f>
        <v/>
      </c>
      <c r="J66" s="43" t="n">
        <v>1.05</v>
      </c>
      <c r="K66" s="44" t="n">
        <v>0.946</v>
      </c>
      <c r="L66" s="45">
        <f>(1-ABS(J66-K66)/J66)*100</f>
        <v/>
      </c>
      <c r="M66" s="43" t="n">
        <v>0.33</v>
      </c>
      <c r="N66" s="44" t="n">
        <v>0.275</v>
      </c>
      <c r="O66" s="45">
        <f>(1-ABS(M66-N66)/M66)*100</f>
        <v/>
      </c>
      <c r="P66" s="46" t="n">
        <v>0.48</v>
      </c>
      <c r="Q66" s="47" t="n">
        <v>0.613</v>
      </c>
      <c r="R66" s="45">
        <f>(1-ABS(P66-Q66)/P66)*100</f>
        <v/>
      </c>
      <c r="S66" s="48" t="n">
        <v>16</v>
      </c>
      <c r="T66" s="46" t="n">
        <v>11.54</v>
      </c>
      <c r="U66" s="45">
        <f>(1-ABS(S66-T66)/S66)*100</f>
        <v/>
      </c>
    </row>
    <row r="67">
      <c r="B67" s="41" t="inlineStr">
        <is>
          <t>13/10</t>
        </is>
      </c>
      <c r="C67" s="42" t="n">
        <v>4800</v>
      </c>
      <c r="D67" s="43" t="n">
        <v>2.5</v>
      </c>
      <c r="E67" s="44" t="n">
        <v>2.587</v>
      </c>
      <c r="F67" s="45">
        <f>(1-ABS(D67-E67)/D67)*100</f>
        <v/>
      </c>
      <c r="G67" s="44" t="n">
        <v>0.162</v>
      </c>
      <c r="H67" s="44" t="n">
        <v>0.166</v>
      </c>
      <c r="I67" s="45">
        <f>(1-ABS(G67-H67)/G67)*100</f>
        <v/>
      </c>
      <c r="J67" s="43" t="n">
        <v>0.92</v>
      </c>
      <c r="K67" s="44" t="n">
        <v>1.043</v>
      </c>
      <c r="L67" s="45">
        <f>(1-ABS(J67-K67)/J67)*100</f>
        <v/>
      </c>
      <c r="M67" s="43" t="n">
        <v>0.27</v>
      </c>
      <c r="N67" s="44" t="n">
        <v>0.292</v>
      </c>
      <c r="O67" s="45">
        <f>(1-ABS(M67-N67)/M67)*100</f>
        <v/>
      </c>
      <c r="P67" s="46" t="n">
        <v>0.43</v>
      </c>
      <c r="Q67" s="47" t="n">
        <v>0.696</v>
      </c>
      <c r="R67" s="45">
        <f>(1-ABS(P67-Q67)/P67)*100</f>
        <v/>
      </c>
      <c r="S67" s="48" t="n">
        <v>17</v>
      </c>
      <c r="T67" s="46" t="n">
        <v>11.99</v>
      </c>
      <c r="U67" s="45">
        <f>(1-ABS(S67-T67)/S67)*100</f>
        <v/>
      </c>
    </row>
    <row r="68">
      <c r="B68" s="41" t="inlineStr">
        <is>
          <t>13/11</t>
        </is>
      </c>
      <c r="C68" s="42" t="n">
        <v>3927</v>
      </c>
      <c r="D68" s="43" t="n">
        <v>2.76</v>
      </c>
      <c r="E68" s="44" t="n">
        <v>2.384</v>
      </c>
      <c r="F68" s="45">
        <f>(1-ABS(D68-E68)/D68)*100</f>
        <v/>
      </c>
      <c r="G68" s="44" t="n">
        <v>0.175</v>
      </c>
      <c r="H68" s="44" t="n">
        <v>0.155</v>
      </c>
      <c r="I68" s="45">
        <f>(1-ABS(G68-H68)/G68)*100</f>
        <v/>
      </c>
      <c r="J68" s="43" t="n">
        <v>1.02</v>
      </c>
      <c r="K68" s="44" t="n">
        <v>0.945</v>
      </c>
      <c r="L68" s="45">
        <f>(1-ABS(J68-K68)/J68)*100</f>
        <v/>
      </c>
      <c r="M68" s="43" t="n">
        <v>0.31</v>
      </c>
      <c r="N68" s="44" t="n">
        <v>0.288</v>
      </c>
      <c r="O68" s="45">
        <f>(1-ABS(M68-N68)/M68)*100</f>
        <v/>
      </c>
      <c r="P68" s="46" t="n">
        <v>0.45</v>
      </c>
      <c r="Q68" s="47" t="n">
        <v>0.677</v>
      </c>
      <c r="R68" s="45">
        <f>(1-ABS(P68-Q68)/P68)*100</f>
        <v/>
      </c>
      <c r="S68" s="48" t="n">
        <v>16</v>
      </c>
      <c r="T68" s="46" t="n">
        <v>10.42</v>
      </c>
      <c r="U68" s="45">
        <f>(1-ABS(S68-T68)/S68)*100</f>
        <v/>
      </c>
    </row>
    <row r="69">
      <c r="B69" s="41" t="inlineStr">
        <is>
          <t>13/12</t>
        </is>
      </c>
      <c r="C69" s="42" t="n">
        <v>11577</v>
      </c>
      <c r="D69" s="43" t="n">
        <v>2.68</v>
      </c>
      <c r="E69" s="44" t="n">
        <v>2.582</v>
      </c>
      <c r="F69" s="45">
        <f>(1-ABS(D69-E69)/D69)*100</f>
        <v/>
      </c>
      <c r="G69" s="44" t="n">
        <v>0.158</v>
      </c>
      <c r="H69" s="44" t="n">
        <v>0.167</v>
      </c>
      <c r="I69" s="45">
        <f>(1-ABS(G69-H69)/G69)*100</f>
        <v/>
      </c>
      <c r="J69" s="43" t="n">
        <v>0.96</v>
      </c>
      <c r="K69" s="44" t="n">
        <v>1.055</v>
      </c>
      <c r="L69" s="45">
        <f>(1-ABS(J69-K69)/J69)*100</f>
        <v/>
      </c>
      <c r="M69" s="43" t="n">
        <v>0.27</v>
      </c>
      <c r="N69" s="44" t="n">
        <v>0.3</v>
      </c>
      <c r="O69" s="45">
        <f>(1-ABS(M69-N69)/M69)*100</f>
        <v/>
      </c>
      <c r="P69" s="46" t="n">
        <v>0.49</v>
      </c>
      <c r="Q69" s="47" t="n">
        <v>0.706</v>
      </c>
      <c r="R69" s="45">
        <f>(1-ABS(P69-Q69)/P69)*100</f>
        <v/>
      </c>
      <c r="S69" s="48" t="n">
        <v>17</v>
      </c>
      <c r="T69" s="46" t="n">
        <v>11.53</v>
      </c>
      <c r="U69" s="45">
        <f>(1-ABS(S69-T69)/S69)*100</f>
        <v/>
      </c>
    </row>
    <row r="70">
      <c r="B70" s="41" t="inlineStr">
        <is>
          <t>13/13</t>
        </is>
      </c>
      <c r="C70" s="42" t="n">
        <v>5746</v>
      </c>
      <c r="D70" s="43" t="n">
        <v>2.65</v>
      </c>
      <c r="E70" s="44" t="n">
        <v>2.233</v>
      </c>
      <c r="F70" s="45">
        <f>(1-ABS(D70-E70)/D70)*100</f>
        <v/>
      </c>
      <c r="G70" s="44" t="n">
        <v>0.171</v>
      </c>
      <c r="H70" s="44" t="n">
        <v>0.141</v>
      </c>
      <c r="I70" s="45">
        <f>(1-ABS(G70-H70)/G70)*100</f>
        <v/>
      </c>
      <c r="J70" s="43" t="n">
        <v>0.92</v>
      </c>
      <c r="K70" s="44" t="n">
        <v>0.892</v>
      </c>
      <c r="L70" s="45">
        <f>(1-ABS(J70-K70)/J70)*100</f>
        <v/>
      </c>
      <c r="M70" s="43" t="n">
        <v>0.31</v>
      </c>
      <c r="N70" s="44" t="n">
        <v>0.257</v>
      </c>
      <c r="O70" s="45">
        <f>(1-ABS(M70-N70)/M70)*100</f>
        <v/>
      </c>
      <c r="P70" s="46" t="n">
        <v>0.52</v>
      </c>
      <c r="Q70" s="47" t="n">
        <v>0.575</v>
      </c>
      <c r="R70" s="45">
        <f>(1-ABS(P70-Q70)/P70)*100</f>
        <v/>
      </c>
      <c r="S70" s="48" t="n">
        <v>19</v>
      </c>
      <c r="T70" s="46" t="n">
        <v>11.33</v>
      </c>
      <c r="U70" s="45">
        <f>(1-ABS(S70-T70)/S70)*100</f>
        <v/>
      </c>
    </row>
    <row r="71">
      <c r="B71" s="41" t="inlineStr">
        <is>
          <t>13/14</t>
        </is>
      </c>
      <c r="C71" s="42" t="n">
        <v>6198</v>
      </c>
      <c r="D71" s="43" t="n">
        <v>2.64</v>
      </c>
      <c r="E71" s="44" t="n">
        <v>1.776</v>
      </c>
      <c r="F71" s="45">
        <f>(1-ABS(D71-E71)/D71)*100</f>
        <v/>
      </c>
      <c r="G71" s="44" t="n">
        <v>0.167</v>
      </c>
      <c r="H71" s="44" t="n">
        <v>0.11</v>
      </c>
      <c r="I71" s="45">
        <f>(1-ABS(G71-H71)/G71)*100</f>
        <v/>
      </c>
      <c r="J71" s="43" t="n">
        <v>0.99</v>
      </c>
      <c r="K71" s="44" t="n">
        <v>0.6929999999999999</v>
      </c>
      <c r="L71" s="45">
        <f>(1-ABS(J71-K71)/J71)*100</f>
        <v/>
      </c>
      <c r="M71" s="43" t="n">
        <v>0.27</v>
      </c>
      <c r="N71" s="44" t="n">
        <v>0.226</v>
      </c>
      <c r="O71" s="45">
        <f>(1-ABS(M71-N71)/M71)*100</f>
        <v/>
      </c>
      <c r="P71" s="46" t="n">
        <v>0.47</v>
      </c>
      <c r="Q71" s="47" t="n">
        <v>0.458</v>
      </c>
      <c r="R71" s="45">
        <f>(1-ABS(P71-Q71)/P71)*100</f>
        <v/>
      </c>
      <c r="S71" s="48" t="n">
        <v>16</v>
      </c>
      <c r="T71" s="46" t="n">
        <v>7.98</v>
      </c>
      <c r="U71" s="45">
        <f>(1-ABS(S71-T71)/S71)*100</f>
        <v/>
      </c>
    </row>
    <row r="72" ht="35" customHeight="1">
      <c r="A72" s="49" t="inlineStr">
        <is>
          <t>AVG ACCURACY</t>
        </is>
      </c>
      <c r="F72" s="50">
        <f>AVERAGE(F7:F71)</f>
        <v/>
      </c>
      <c r="I72" s="50">
        <f>AVERAGE(I7:I71)</f>
        <v/>
      </c>
      <c r="L72" s="50">
        <f>AVERAGE(L7:L71)</f>
        <v/>
      </c>
      <c r="O72" s="50">
        <f>AVERAGE(O7:O71)</f>
        <v/>
      </c>
      <c r="R72" s="51">
        <f>AVERAGE(R7:R71)</f>
        <v/>
      </c>
      <c r="U72" s="51">
        <f>AVERAGE(U7:U71)</f>
        <v/>
      </c>
    </row>
    <row r="73" ht="40" customHeight="1">
      <c r="A73" s="52" t="inlineStr">
        <is>
          <t>Best result closer to 0</t>
        </is>
      </c>
      <c r="B73" s="41" t="inlineStr">
        <is>
          <t>R^2 (Coefficient of determination)</t>
        </is>
      </c>
      <c r="C73" s="53" t="n"/>
      <c r="D73" s="54">
        <f>RSQ(E7:E71, D7:D71)</f>
        <v/>
      </c>
      <c r="E73" s="55" t="n"/>
      <c r="F73" s="53" t="n"/>
      <c r="G73" s="54">
        <f>RSQ(H7:H71, G7:G71)</f>
        <v/>
      </c>
      <c r="H73" s="55" t="n"/>
      <c r="I73" s="53" t="n"/>
      <c r="J73" s="54">
        <f>RSQ(K7:K71, J7:J71)</f>
        <v/>
      </c>
      <c r="K73" s="55" t="n"/>
      <c r="L73" s="53" t="n"/>
      <c r="M73" s="54">
        <f>RSQ(N7:N71, M7:M71)</f>
        <v/>
      </c>
      <c r="N73" s="55" t="n"/>
      <c r="O73" s="53" t="n"/>
      <c r="P73" s="56">
        <f>RSQ(Q7:Q71, P7:P71)</f>
        <v/>
      </c>
      <c r="Q73" s="55" t="n"/>
      <c r="R73" s="53" t="n"/>
      <c r="S73" s="56">
        <f>RSQ(T7:T71, S7:S71)</f>
        <v/>
      </c>
      <c r="T73" s="55" t="n"/>
      <c r="U73" s="53" t="n"/>
    </row>
    <row r="74" ht="39" customHeight="1">
      <c r="A74" s="52" t="inlineStr">
        <is>
          <t>Best result closer to 1</t>
        </is>
      </c>
      <c r="B74" s="41" t="inlineStr">
        <is>
          <t>MAE (Average size of prediction errors)</t>
        </is>
      </c>
      <c r="C74" s="53" t="n"/>
      <c r="D74" s="54">
        <f>SUMPRODUCT(ABS(D7:D71-E7:E71))/COUNT(D7:D71)</f>
        <v/>
      </c>
      <c r="E74" s="55" t="n"/>
      <c r="F74" s="53" t="n"/>
      <c r="G74" s="54">
        <f>SUMPRODUCT(ABS(G7:G71-H7:H71))/COUNT(G7:G71)</f>
        <v/>
      </c>
      <c r="H74" s="55" t="n"/>
      <c r="I74" s="53" t="n"/>
      <c r="J74" s="54">
        <f>SUMPRODUCT(ABS(J7:J71-K7:K71))/COUNT(J7:J71)</f>
        <v/>
      </c>
      <c r="K74" s="55" t="n"/>
      <c r="L74" s="53" t="n"/>
      <c r="M74" s="54">
        <f>SUMPRODUCT(ABS(M7:M71-N7:N71))/COUNT(M7:M71)</f>
        <v/>
      </c>
      <c r="N74" s="55" t="n"/>
      <c r="O74" s="53" t="n"/>
      <c r="P74" s="56">
        <f>SUMPRODUCT(ABS(P7:P71-Q7:Q71))/COUNT(P7:P71)</f>
        <v/>
      </c>
      <c r="Q74" s="55" t="n"/>
      <c r="R74" s="53" t="n"/>
      <c r="S74" s="56">
        <f>SUMPRODUCT(ABS(S7:S71-T7:T71))/COUNT(S7:S71)</f>
        <v/>
      </c>
      <c r="T74" s="55" t="n"/>
      <c r="U74" s="53" t="n"/>
    </row>
    <row r="75" ht="66" customHeight="1">
      <c r="A75" s="52" t="inlineStr">
        <is>
          <t>Best result closer to 1</t>
        </is>
      </c>
      <c r="B75" s="41" t="inlineStr">
        <is>
          <t>RMSE (Prediction error, with larger mistakes penalised more)</t>
        </is>
      </c>
      <c r="C75" s="53" t="n"/>
      <c r="D75" s="54">
        <f>SQRT(SUMXMY2(D7:D71, E7:E71)/COUNT(D7:D71))</f>
        <v/>
      </c>
      <c r="E75" s="55" t="n"/>
      <c r="F75" s="53" t="n"/>
      <c r="G75" s="54">
        <f>SQRT(SUMXMY2(G7:G71, H7:H71)/COUNT(G7:G71))</f>
        <v/>
      </c>
      <c r="H75" s="55" t="n"/>
      <c r="I75" s="53" t="n"/>
      <c r="J75" s="54">
        <f>SQRT(SUMXMY2(J7:J71, K7:K71)/COUNT(J7:J71))</f>
        <v/>
      </c>
      <c r="K75" s="55" t="n"/>
      <c r="L75" s="53" t="n"/>
      <c r="M75" s="54">
        <f>SQRT(SUMXMY2(M7:M71, N7:N71)/COUNT(M7:M71))</f>
        <v/>
      </c>
      <c r="N75" s="55" t="n"/>
      <c r="O75" s="53" t="n"/>
      <c r="P75" s="56">
        <f>SQRT(SUMXMY2(P7:P71, Q7:Q71)/COUNT(P7:P71))</f>
        <v/>
      </c>
      <c r="Q75" s="55" t="n"/>
      <c r="R75" s="53" t="n"/>
      <c r="S75" s="56">
        <f>SQRT(SUMXMY2(S7:S71, T7:T71)/COUNT(S7:S71))</f>
        <v/>
      </c>
      <c r="T75" s="55" t="n"/>
      <c r="U75" s="53" t="n"/>
    </row>
  </sheetData>
  <mergeCells count="31">
    <mergeCell ref="B4:O4"/>
    <mergeCell ref="J74:L74"/>
    <mergeCell ref="M73:O73"/>
    <mergeCell ref="S73:U73"/>
    <mergeCell ref="D75:F75"/>
    <mergeCell ref="G74:I74"/>
    <mergeCell ref="M74:O74"/>
    <mergeCell ref="M75:O75"/>
    <mergeCell ref="G5:I5"/>
    <mergeCell ref="P75:R75"/>
    <mergeCell ref="J75:L75"/>
    <mergeCell ref="G73:I73"/>
    <mergeCell ref="D74:F74"/>
    <mergeCell ref="S74:U74"/>
    <mergeCell ref="D73:F73"/>
    <mergeCell ref="B73:C73"/>
    <mergeCell ref="S5:U5"/>
    <mergeCell ref="D5:F5"/>
    <mergeCell ref="P5:R5"/>
    <mergeCell ref="G75:I75"/>
    <mergeCell ref="P74:R74"/>
    <mergeCell ref="S75:U75"/>
    <mergeCell ref="J73:L73"/>
    <mergeCell ref="P73:R73"/>
    <mergeCell ref="B5:B6"/>
    <mergeCell ref="P4:U4"/>
    <mergeCell ref="B74:C74"/>
    <mergeCell ref="J5:L5"/>
    <mergeCell ref="M5:O5"/>
    <mergeCell ref="B75:C75"/>
    <mergeCell ref="C5:C6"/>
  </mergeCells>
  <conditionalFormatting sqref="F7:F71 I7:I71 L7:L71 O7:O71 R7:R71 U7:U71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2026-10-15T07:43:55Z</dcterms:modified>
  <cp:lastModifiedBy>Siti Aisyah Jaafar</cp:lastModifiedBy>
</cp:coreProperties>
</file>