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sitiaisyahjaafar/SmartPalm-demo/DATAVALIDATION_BENTA/datavalidation/2021/"/>
    </mc:Choice>
  </mc:AlternateContent>
  <xr:revisionPtr revIDLastSave="0" documentId="13_ncr:1_{98CE7C55-7902-DA44-B2E8-66C806B897D7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0" i="1" l="1"/>
  <c r="R70" i="1"/>
  <c r="O70" i="1"/>
  <c r="L70" i="1"/>
  <c r="I70" i="1"/>
  <c r="F70" i="1"/>
  <c r="S73" i="1"/>
  <c r="P73" i="1"/>
  <c r="M73" i="1"/>
  <c r="J73" i="1"/>
  <c r="G73" i="1"/>
  <c r="D73" i="1"/>
  <c r="S72" i="1"/>
  <c r="P72" i="1"/>
  <c r="M72" i="1"/>
  <c r="J72" i="1"/>
  <c r="G72" i="1"/>
  <c r="D72" i="1"/>
  <c r="S71" i="1"/>
  <c r="P71" i="1"/>
  <c r="M71" i="1"/>
  <c r="J71" i="1"/>
  <c r="G71" i="1"/>
  <c r="D71" i="1"/>
  <c r="U69" i="1"/>
  <c r="R69" i="1"/>
  <c r="O69" i="1"/>
  <c r="L69" i="1"/>
  <c r="I69" i="1"/>
  <c r="F69" i="1"/>
  <c r="U68" i="1"/>
  <c r="R68" i="1"/>
  <c r="O68" i="1"/>
  <c r="L68" i="1"/>
  <c r="I68" i="1"/>
  <c r="F68" i="1"/>
  <c r="U67" i="1"/>
  <c r="R67" i="1"/>
  <c r="O67" i="1"/>
  <c r="L67" i="1"/>
  <c r="I67" i="1"/>
  <c r="F67" i="1"/>
  <c r="U66" i="1"/>
  <c r="R66" i="1"/>
  <c r="O66" i="1"/>
  <c r="L66" i="1"/>
  <c r="I66" i="1"/>
  <c r="F66" i="1"/>
  <c r="U65" i="1"/>
  <c r="R65" i="1"/>
  <c r="O65" i="1"/>
  <c r="L65" i="1"/>
  <c r="I65" i="1"/>
  <c r="F65" i="1"/>
  <c r="U64" i="1"/>
  <c r="R64" i="1"/>
  <c r="O64" i="1"/>
  <c r="L64" i="1"/>
  <c r="I64" i="1"/>
  <c r="F64" i="1"/>
  <c r="U63" i="1"/>
  <c r="R63" i="1"/>
  <c r="O63" i="1"/>
  <c r="L63" i="1"/>
  <c r="I63" i="1"/>
  <c r="F63" i="1"/>
  <c r="U62" i="1"/>
  <c r="R62" i="1"/>
  <c r="O62" i="1"/>
  <c r="L62" i="1"/>
  <c r="I62" i="1"/>
  <c r="F62" i="1"/>
  <c r="U61" i="1"/>
  <c r="R61" i="1"/>
  <c r="O61" i="1"/>
  <c r="L61" i="1"/>
  <c r="I61" i="1"/>
  <c r="F61" i="1"/>
  <c r="U60" i="1"/>
  <c r="R60" i="1"/>
  <c r="O60" i="1"/>
  <c r="L60" i="1"/>
  <c r="I60" i="1"/>
  <c r="F60" i="1"/>
  <c r="U59" i="1"/>
  <c r="R59" i="1"/>
  <c r="O59" i="1"/>
  <c r="L59" i="1"/>
  <c r="I59" i="1"/>
  <c r="F59" i="1"/>
  <c r="U58" i="1"/>
  <c r="R58" i="1"/>
  <c r="O58" i="1"/>
  <c r="L58" i="1"/>
  <c r="I58" i="1"/>
  <c r="F58" i="1"/>
  <c r="U57" i="1"/>
  <c r="R57" i="1"/>
  <c r="O57" i="1"/>
  <c r="L57" i="1"/>
  <c r="I57" i="1"/>
  <c r="F57" i="1"/>
  <c r="U56" i="1"/>
  <c r="R56" i="1"/>
  <c r="O56" i="1"/>
  <c r="L56" i="1"/>
  <c r="I56" i="1"/>
  <c r="F56" i="1"/>
  <c r="U55" i="1"/>
  <c r="R55" i="1"/>
  <c r="O55" i="1"/>
  <c r="L55" i="1"/>
  <c r="I55" i="1"/>
  <c r="F55" i="1"/>
  <c r="U54" i="1"/>
  <c r="R54" i="1"/>
  <c r="O54" i="1"/>
  <c r="L54" i="1"/>
  <c r="I54" i="1"/>
  <c r="F54" i="1"/>
  <c r="U53" i="1"/>
  <c r="R53" i="1"/>
  <c r="O53" i="1"/>
  <c r="L53" i="1"/>
  <c r="I53" i="1"/>
  <c r="F53" i="1"/>
  <c r="U52" i="1"/>
  <c r="R52" i="1"/>
  <c r="O52" i="1"/>
  <c r="L52" i="1"/>
  <c r="I52" i="1"/>
  <c r="F52" i="1"/>
  <c r="U51" i="1"/>
  <c r="R51" i="1"/>
  <c r="O51" i="1"/>
  <c r="L51" i="1"/>
  <c r="I51" i="1"/>
  <c r="F51" i="1"/>
  <c r="U50" i="1"/>
  <c r="R50" i="1"/>
  <c r="O50" i="1"/>
  <c r="L50" i="1"/>
  <c r="I50" i="1"/>
  <c r="F50" i="1"/>
  <c r="U49" i="1"/>
  <c r="R49" i="1"/>
  <c r="O49" i="1"/>
  <c r="L49" i="1"/>
  <c r="I49" i="1"/>
  <c r="F49" i="1"/>
  <c r="U48" i="1"/>
  <c r="R48" i="1"/>
  <c r="O48" i="1"/>
  <c r="L48" i="1"/>
  <c r="I48" i="1"/>
  <c r="F48" i="1"/>
  <c r="U47" i="1"/>
  <c r="R47" i="1"/>
  <c r="O47" i="1"/>
  <c r="L47" i="1"/>
  <c r="I47" i="1"/>
  <c r="F47" i="1"/>
  <c r="U46" i="1"/>
  <c r="R46" i="1"/>
  <c r="O46" i="1"/>
  <c r="L46" i="1"/>
  <c r="I46" i="1"/>
  <c r="F46" i="1"/>
  <c r="U45" i="1"/>
  <c r="R45" i="1"/>
  <c r="O45" i="1"/>
  <c r="L45" i="1"/>
  <c r="I45" i="1"/>
  <c r="F45" i="1"/>
  <c r="U44" i="1"/>
  <c r="R44" i="1"/>
  <c r="O44" i="1"/>
  <c r="L44" i="1"/>
  <c r="I44" i="1"/>
  <c r="F44" i="1"/>
  <c r="U43" i="1"/>
  <c r="R43" i="1"/>
  <c r="O43" i="1"/>
  <c r="L43" i="1"/>
  <c r="I43" i="1"/>
  <c r="F43" i="1"/>
  <c r="U42" i="1"/>
  <c r="R42" i="1"/>
  <c r="O42" i="1"/>
  <c r="L42" i="1"/>
  <c r="I42" i="1"/>
  <c r="F42" i="1"/>
  <c r="U41" i="1"/>
  <c r="R41" i="1"/>
  <c r="O41" i="1"/>
  <c r="L41" i="1"/>
  <c r="I41" i="1"/>
  <c r="F41" i="1"/>
  <c r="U40" i="1"/>
  <c r="R40" i="1"/>
  <c r="O40" i="1"/>
  <c r="L40" i="1"/>
  <c r="I40" i="1"/>
  <c r="F40" i="1"/>
  <c r="U39" i="1"/>
  <c r="R39" i="1"/>
  <c r="O39" i="1"/>
  <c r="L39" i="1"/>
  <c r="I39" i="1"/>
  <c r="F39" i="1"/>
  <c r="U38" i="1"/>
  <c r="R38" i="1"/>
  <c r="O38" i="1"/>
  <c r="L38" i="1"/>
  <c r="I38" i="1"/>
  <c r="F38" i="1"/>
  <c r="U37" i="1"/>
  <c r="R37" i="1"/>
  <c r="O37" i="1"/>
  <c r="L37" i="1"/>
  <c r="I37" i="1"/>
  <c r="F37" i="1"/>
  <c r="U36" i="1"/>
  <c r="R36" i="1"/>
  <c r="O36" i="1"/>
  <c r="L36" i="1"/>
  <c r="I36" i="1"/>
  <c r="F36" i="1"/>
  <c r="U35" i="1"/>
  <c r="R35" i="1"/>
  <c r="O35" i="1"/>
  <c r="L35" i="1"/>
  <c r="I35" i="1"/>
  <c r="F35" i="1"/>
  <c r="U34" i="1"/>
  <c r="R34" i="1"/>
  <c r="O34" i="1"/>
  <c r="L34" i="1"/>
  <c r="I34" i="1"/>
  <c r="F34" i="1"/>
  <c r="U33" i="1"/>
  <c r="R33" i="1"/>
  <c r="O33" i="1"/>
  <c r="L33" i="1"/>
  <c r="I33" i="1"/>
  <c r="F33" i="1"/>
  <c r="U32" i="1"/>
  <c r="R32" i="1"/>
  <c r="O32" i="1"/>
  <c r="L32" i="1"/>
  <c r="I32" i="1"/>
  <c r="F32" i="1"/>
  <c r="U31" i="1"/>
  <c r="R31" i="1"/>
  <c r="O31" i="1"/>
  <c r="L31" i="1"/>
  <c r="I31" i="1"/>
  <c r="F31" i="1"/>
  <c r="U30" i="1"/>
  <c r="R30" i="1"/>
  <c r="O30" i="1"/>
  <c r="L30" i="1"/>
  <c r="I30" i="1"/>
  <c r="F30" i="1"/>
  <c r="U29" i="1"/>
  <c r="R29" i="1"/>
  <c r="O29" i="1"/>
  <c r="L29" i="1"/>
  <c r="I29" i="1"/>
  <c r="F29" i="1"/>
  <c r="U28" i="1"/>
  <c r="R28" i="1"/>
  <c r="O28" i="1"/>
  <c r="L28" i="1"/>
  <c r="I28" i="1"/>
  <c r="F28" i="1"/>
  <c r="U27" i="1"/>
  <c r="R27" i="1"/>
  <c r="O27" i="1"/>
  <c r="L27" i="1"/>
  <c r="I27" i="1"/>
  <c r="F27" i="1"/>
  <c r="U26" i="1"/>
  <c r="R26" i="1"/>
  <c r="O26" i="1"/>
  <c r="L26" i="1"/>
  <c r="I26" i="1"/>
  <c r="F26" i="1"/>
  <c r="U25" i="1"/>
  <c r="R25" i="1"/>
  <c r="O25" i="1"/>
  <c r="L25" i="1"/>
  <c r="I25" i="1"/>
  <c r="F25" i="1"/>
  <c r="U24" i="1"/>
  <c r="R24" i="1"/>
  <c r="O24" i="1"/>
  <c r="L24" i="1"/>
  <c r="I24" i="1"/>
  <c r="F24" i="1"/>
  <c r="U23" i="1"/>
  <c r="R23" i="1"/>
  <c r="O23" i="1"/>
  <c r="L23" i="1"/>
  <c r="I23" i="1"/>
  <c r="F23" i="1"/>
  <c r="U22" i="1"/>
  <c r="R22" i="1"/>
  <c r="O22" i="1"/>
  <c r="L22" i="1"/>
  <c r="I22" i="1"/>
  <c r="F22" i="1"/>
  <c r="U21" i="1"/>
  <c r="R21" i="1"/>
  <c r="O21" i="1"/>
  <c r="L21" i="1"/>
  <c r="I21" i="1"/>
  <c r="F21" i="1"/>
  <c r="U20" i="1"/>
  <c r="R20" i="1"/>
  <c r="O20" i="1"/>
  <c r="L20" i="1"/>
  <c r="I20" i="1"/>
  <c r="F20" i="1"/>
  <c r="U19" i="1"/>
  <c r="R19" i="1"/>
  <c r="O19" i="1"/>
  <c r="L19" i="1"/>
  <c r="I19" i="1"/>
  <c r="F19" i="1"/>
  <c r="U18" i="1"/>
  <c r="R18" i="1"/>
  <c r="O18" i="1"/>
  <c r="L18" i="1"/>
  <c r="I18" i="1"/>
  <c r="F18" i="1"/>
  <c r="U17" i="1"/>
  <c r="R17" i="1"/>
  <c r="O17" i="1"/>
  <c r="L17" i="1"/>
  <c r="I17" i="1"/>
  <c r="F17" i="1"/>
  <c r="U16" i="1"/>
  <c r="R16" i="1"/>
  <c r="O16" i="1"/>
  <c r="L16" i="1"/>
  <c r="I16" i="1"/>
  <c r="F16" i="1"/>
  <c r="U15" i="1"/>
  <c r="R15" i="1"/>
  <c r="O15" i="1"/>
  <c r="L15" i="1"/>
  <c r="I15" i="1"/>
  <c r="F15" i="1"/>
  <c r="U14" i="1"/>
  <c r="R14" i="1"/>
  <c r="O14" i="1"/>
  <c r="L14" i="1"/>
  <c r="I14" i="1"/>
  <c r="F14" i="1"/>
  <c r="U13" i="1"/>
  <c r="R13" i="1"/>
  <c r="O13" i="1"/>
  <c r="L13" i="1"/>
  <c r="I13" i="1"/>
  <c r="F13" i="1"/>
  <c r="U12" i="1"/>
  <c r="R12" i="1"/>
  <c r="O12" i="1"/>
  <c r="L12" i="1"/>
  <c r="I12" i="1"/>
  <c r="F12" i="1"/>
  <c r="U11" i="1"/>
  <c r="R11" i="1"/>
  <c r="O11" i="1"/>
  <c r="L11" i="1"/>
  <c r="I11" i="1"/>
  <c r="F11" i="1"/>
  <c r="U10" i="1"/>
  <c r="R10" i="1"/>
  <c r="O10" i="1"/>
  <c r="L10" i="1"/>
  <c r="I10" i="1"/>
  <c r="F10" i="1"/>
  <c r="U9" i="1"/>
  <c r="R9" i="1"/>
  <c r="O9" i="1"/>
  <c r="L9" i="1"/>
  <c r="I9" i="1"/>
  <c r="F9" i="1"/>
  <c r="U8" i="1"/>
  <c r="R8" i="1"/>
  <c r="O8" i="1"/>
  <c r="L8" i="1"/>
  <c r="I8" i="1"/>
  <c r="F8" i="1"/>
  <c r="U7" i="1"/>
  <c r="R7" i="1"/>
  <c r="O7" i="1"/>
  <c r="L7" i="1"/>
  <c r="I7" i="1"/>
  <c r="F7" i="1"/>
</calcChain>
</file>

<file path=xl/sharedStrings.xml><?xml version="1.0" encoding="utf-8"?>
<sst xmlns="http://schemas.openxmlformats.org/spreadsheetml/2006/main" count="97" uniqueCount="80">
  <si>
    <t>On-going Research for Ca and B Models</t>
  </si>
  <si>
    <t>Plot</t>
  </si>
  <si>
    <t>Pixels sampled</t>
  </si>
  <si>
    <t>N</t>
  </si>
  <si>
    <t>P (%)</t>
  </si>
  <si>
    <t>K (%)</t>
  </si>
  <si>
    <t>Mg (%)</t>
  </si>
  <si>
    <t>Ca (%)</t>
  </si>
  <si>
    <t>B (%)</t>
  </si>
  <si>
    <t>Lab Actual (%)</t>
  </si>
  <si>
    <t>Prediction (%)</t>
  </si>
  <si>
    <t>Accuracy (%)</t>
  </si>
  <si>
    <t>08/13</t>
  </si>
  <si>
    <t>08/14</t>
  </si>
  <si>
    <t>08/15</t>
  </si>
  <si>
    <t>08/16</t>
  </si>
  <si>
    <t>08/17</t>
  </si>
  <si>
    <t>08/18</t>
  </si>
  <si>
    <t>08/19</t>
  </si>
  <si>
    <t>09/1</t>
  </si>
  <si>
    <t>09/2</t>
  </si>
  <si>
    <t>09/3</t>
  </si>
  <si>
    <t>Best result closer to 1</t>
  </si>
  <si>
    <t>09/4</t>
  </si>
  <si>
    <t>Best result closer to 0</t>
  </si>
  <si>
    <t>09/5</t>
  </si>
  <si>
    <t>09/6</t>
  </si>
  <si>
    <t>09/7</t>
  </si>
  <si>
    <t>09/8</t>
  </si>
  <si>
    <t>09/9</t>
  </si>
  <si>
    <t>09/10</t>
  </si>
  <si>
    <t>09/11</t>
  </si>
  <si>
    <t>09/12</t>
  </si>
  <si>
    <t>09/24</t>
  </si>
  <si>
    <t>10/1</t>
  </si>
  <si>
    <t>10/2</t>
  </si>
  <si>
    <t>10/3</t>
  </si>
  <si>
    <t>10/4</t>
  </si>
  <si>
    <t>10/5</t>
  </si>
  <si>
    <t>10/6</t>
  </si>
  <si>
    <t>10/7</t>
  </si>
  <si>
    <t>10/8</t>
  </si>
  <si>
    <t>10/9</t>
  </si>
  <si>
    <t>10/20</t>
  </si>
  <si>
    <t>10/21</t>
  </si>
  <si>
    <t>10/22</t>
  </si>
  <si>
    <t>10/23</t>
  </si>
  <si>
    <t>10/25</t>
  </si>
  <si>
    <t>10/26</t>
  </si>
  <si>
    <t>11/10</t>
  </si>
  <si>
    <t>11/11</t>
  </si>
  <si>
    <t>11/12</t>
  </si>
  <si>
    <t>11/13</t>
  </si>
  <si>
    <t>11/14</t>
  </si>
  <si>
    <t>12/15</t>
  </si>
  <si>
    <t>12/16</t>
  </si>
  <si>
    <t>12/17</t>
  </si>
  <si>
    <t>12/18A</t>
  </si>
  <si>
    <t>12/19A</t>
  </si>
  <si>
    <t>12/20</t>
  </si>
  <si>
    <t>12/21</t>
  </si>
  <si>
    <t>12/22</t>
  </si>
  <si>
    <t>12/23A</t>
  </si>
  <si>
    <t>12/24</t>
  </si>
  <si>
    <t>12/25A</t>
  </si>
  <si>
    <t>12/26</t>
  </si>
  <si>
    <t>12/27A</t>
  </si>
  <si>
    <t>12/28</t>
  </si>
  <si>
    <t>12/29</t>
  </si>
  <si>
    <t>12/30A</t>
  </si>
  <si>
    <t>12/31A</t>
  </si>
  <si>
    <t>12/32</t>
  </si>
  <si>
    <t>12/33</t>
  </si>
  <si>
    <t>12/34</t>
  </si>
  <si>
    <t>12/35</t>
  </si>
  <si>
    <t>12/36</t>
  </si>
  <si>
    <t>R^2 (Coefficient of determination)</t>
  </si>
  <si>
    <t>MAE (Average size of prediction errors)</t>
  </si>
  <si>
    <t>RMSE (Prediction error, with larger mistakes penalised more)</t>
  </si>
  <si>
    <t>AVG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</si>
</sst>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2" fontId="0" fillId="2" borderId="8" xfId="0" applyNumberFormat="1" applyFill="1" applyBorder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 vertical="center"/>
    </xf>
    <xf numFmtId="165" fontId="0" fillId="5" borderId="8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2" fontId="0" fillId="2" borderId="10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164" fontId="0" fillId="5" borderId="1" xfId="0" applyNumberFormat="1" applyFill="1" applyBorder="1" applyAlignment="1">
      <alignment horizontal="center" vertical="center"/>
    </xf>
    <xf numFmtId="164" fontId="0" fillId="0" borderId="5" xfId="0" applyNumberFormat="1" applyBorder="1"/>
    <xf numFmtId="164" fontId="0" fillId="0" borderId="6" xfId="0" applyNumberFormat="1" applyBorder="1"/>
    <xf numFmtId="164" fontId="0" fillId="0" borderId="1" xfId="0" applyNumberFormat="1" applyBorder="1" applyAlignment="1">
      <alignment horizontal="center" vertical="center"/>
    </xf>
    <xf numFmtId="164" fontId="0" fillId="0" borderId="3" xfId="0" applyNumberFormat="1" applyBorder="1"/>
    <xf numFmtId="0" fontId="2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2" xfId="0" applyBorder="1"/>
    <xf numFmtId="0" fontId="0" fillId="5" borderId="1" xfId="0" applyFill="1" applyBorder="1" applyAlignment="1">
      <alignment horizontal="center" vertical="center" wrapText="1"/>
    </xf>
    <xf numFmtId="2" fontId="4" fillId="7" borderId="9" xfId="0" applyNumberFormat="1" applyFont="1" applyFill="1" applyBorder="1" applyAlignment="1">
      <alignment horizontal="center" vertical="center" wrapText="1"/>
    </xf>
    <xf numFmtId="2" fontId="4" fillId="6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7F6000"/>
      </font>
      <fill>
        <patternFill patternType="solid">
          <fgColor indexed="64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U73"/>
  <sheetViews>
    <sheetView tabSelected="1" topLeftCell="A14" zoomScale="70" zoomScaleNormal="70" workbookViewId="0">
      <selection activeCell="X59" sqref="X59"/>
    </sheetView>
  </sheetViews>
  <sheetFormatPr baseColWidth="10" defaultRowHeight="16" x14ac:dyDescent="0.2"/>
  <cols>
    <col min="1" max="1" width="10.83203125" style="1" customWidth="1"/>
    <col min="2" max="16384" width="10.83203125" style="1"/>
  </cols>
  <sheetData>
    <row r="4" spans="1:21" x14ac:dyDescent="0.2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31" t="s">
        <v>0</v>
      </c>
      <c r="Q4" s="24"/>
      <c r="R4" s="24"/>
      <c r="S4" s="24"/>
      <c r="T4" s="24"/>
      <c r="U4" s="25"/>
    </row>
    <row r="5" spans="1:21" ht="34" customHeight="1" x14ac:dyDescent="0.2">
      <c r="B5" s="29" t="s">
        <v>1</v>
      </c>
      <c r="C5" s="16" t="s">
        <v>2</v>
      </c>
      <c r="D5" s="23" t="s">
        <v>3</v>
      </c>
      <c r="E5" s="24"/>
      <c r="F5" s="25"/>
      <c r="G5" s="23" t="s">
        <v>4</v>
      </c>
      <c r="H5" s="24"/>
      <c r="I5" s="25"/>
      <c r="J5" s="23" t="s">
        <v>5</v>
      </c>
      <c r="K5" s="24"/>
      <c r="L5" s="25"/>
      <c r="M5" s="23" t="s">
        <v>6</v>
      </c>
      <c r="N5" s="24"/>
      <c r="O5" s="25"/>
      <c r="P5" s="26" t="s">
        <v>7</v>
      </c>
      <c r="Q5" s="24"/>
      <c r="R5" s="25"/>
      <c r="S5" s="26" t="s">
        <v>8</v>
      </c>
      <c r="T5" s="24"/>
      <c r="U5" s="25"/>
    </row>
    <row r="6" spans="1:21" ht="34" customHeight="1" x14ac:dyDescent="0.2">
      <c r="B6" s="30"/>
      <c r="C6" s="17"/>
      <c r="D6" s="3" t="s">
        <v>9</v>
      </c>
      <c r="E6" s="4" t="s">
        <v>10</v>
      </c>
      <c r="F6" s="5" t="s">
        <v>11</v>
      </c>
      <c r="G6" s="3" t="s">
        <v>9</v>
      </c>
      <c r="H6" s="4" t="s">
        <v>10</v>
      </c>
      <c r="I6" s="5" t="s">
        <v>11</v>
      </c>
      <c r="J6" s="3" t="s">
        <v>9</v>
      </c>
      <c r="K6" s="4" t="s">
        <v>10</v>
      </c>
      <c r="L6" s="5" t="s">
        <v>11</v>
      </c>
      <c r="M6" s="3" t="s">
        <v>9</v>
      </c>
      <c r="N6" s="4" t="s">
        <v>10</v>
      </c>
      <c r="O6" s="5" t="s">
        <v>11</v>
      </c>
      <c r="P6" s="2" t="s">
        <v>9</v>
      </c>
      <c r="Q6" s="2" t="s">
        <v>10</v>
      </c>
      <c r="R6" s="5" t="s">
        <v>11</v>
      </c>
      <c r="S6" s="2" t="s">
        <v>9</v>
      </c>
      <c r="T6" s="2" t="s">
        <v>10</v>
      </c>
      <c r="U6" s="5" t="s">
        <v>11</v>
      </c>
    </row>
    <row r="7" spans="1:21" x14ac:dyDescent="0.2">
      <c r="B7" s="6" t="s">
        <v>12</v>
      </c>
      <c r="C7" s="7">
        <v>2486</v>
      </c>
      <c r="D7" s="8">
        <v>2.4700000000000002</v>
      </c>
      <c r="E7" s="9">
        <v>2.5129999999999999</v>
      </c>
      <c r="F7" s="10">
        <f t="shared" ref="F7:F38" si="0">(1-ABS(D7-E7)/D7)*100</f>
        <v>98.2591093117409</v>
      </c>
      <c r="G7" s="9">
        <v>0.14899999999999999</v>
      </c>
      <c r="H7" s="9">
        <v>0.16</v>
      </c>
      <c r="I7" s="10">
        <f t="shared" ref="I7:I38" si="1">(1-ABS(G7-H7)/G7)*100</f>
        <v>92.617449664429515</v>
      </c>
      <c r="J7" s="8">
        <v>0.99</v>
      </c>
      <c r="K7" s="9">
        <v>1.0660000000000001</v>
      </c>
      <c r="L7" s="10">
        <f t="shared" ref="L7:L38" si="2">(1-ABS(J7-K7)/J7)*100</f>
        <v>92.323232323232318</v>
      </c>
      <c r="M7" s="8">
        <v>0.25</v>
      </c>
      <c r="N7" s="9">
        <v>0.23499999999999999</v>
      </c>
      <c r="O7" s="10">
        <f t="shared" ref="O7:O38" si="3">(1-ABS(M7-N7)/M7)*100</f>
        <v>94</v>
      </c>
      <c r="P7" s="11">
        <v>0.59</v>
      </c>
      <c r="Q7" s="12">
        <v>0.58599999999999997</v>
      </c>
      <c r="R7" s="10">
        <f t="shared" ref="R7:R38" si="4">(1-ABS(P7-Q7)/P7)*100</f>
        <v>99.322033898305079</v>
      </c>
      <c r="S7" s="13">
        <v>13</v>
      </c>
      <c r="T7" s="11">
        <v>14.01</v>
      </c>
      <c r="U7" s="10">
        <f t="shared" ref="U7:U38" si="5">(1-ABS(S7-T7)/S7)*100</f>
        <v>92.230769230769226</v>
      </c>
    </row>
    <row r="8" spans="1:21" x14ac:dyDescent="0.2">
      <c r="B8" s="6" t="s">
        <v>13</v>
      </c>
      <c r="C8" s="7">
        <v>5558</v>
      </c>
      <c r="D8" s="8">
        <v>2.5499999999999998</v>
      </c>
      <c r="E8" s="9">
        <v>2.512</v>
      </c>
      <c r="F8" s="10">
        <f t="shared" si="0"/>
        <v>98.509803921568633</v>
      </c>
      <c r="G8" s="9">
        <v>0.16400000000000001</v>
      </c>
      <c r="H8" s="9">
        <v>0.16</v>
      </c>
      <c r="I8" s="10">
        <f t="shared" si="1"/>
        <v>97.560975609756099</v>
      </c>
      <c r="J8" s="8">
        <v>0.94</v>
      </c>
      <c r="K8" s="9">
        <v>1.07</v>
      </c>
      <c r="L8" s="10">
        <f t="shared" si="2"/>
        <v>86.17021276595743</v>
      </c>
      <c r="M8" s="8">
        <v>0.25</v>
      </c>
      <c r="N8" s="9">
        <v>0.23400000000000001</v>
      </c>
      <c r="O8" s="10">
        <f t="shared" si="3"/>
        <v>93.600000000000009</v>
      </c>
      <c r="P8" s="11">
        <v>0.49</v>
      </c>
      <c r="Q8" s="12">
        <v>0.58499999999999996</v>
      </c>
      <c r="R8" s="10">
        <f t="shared" si="4"/>
        <v>80.612244897959201</v>
      </c>
      <c r="S8" s="13">
        <v>14</v>
      </c>
      <c r="T8" s="11">
        <v>14.05</v>
      </c>
      <c r="U8" s="10">
        <f t="shared" si="5"/>
        <v>99.642857142857139</v>
      </c>
    </row>
    <row r="9" spans="1:21" x14ac:dyDescent="0.2">
      <c r="B9" s="6" t="s">
        <v>14</v>
      </c>
      <c r="C9" s="7">
        <v>5142</v>
      </c>
      <c r="D9" s="8">
        <v>2.6</v>
      </c>
      <c r="E9" s="9">
        <v>2.5110000000000001</v>
      </c>
      <c r="F9" s="10">
        <f t="shared" si="0"/>
        <v>96.57692307692308</v>
      </c>
      <c r="G9" s="9">
        <v>0.154</v>
      </c>
      <c r="H9" s="9">
        <v>0.16</v>
      </c>
      <c r="I9" s="10">
        <f t="shared" si="1"/>
        <v>96.103896103896105</v>
      </c>
      <c r="J9" s="8">
        <v>0.85</v>
      </c>
      <c r="K9" s="9">
        <v>1.073</v>
      </c>
      <c r="L9" s="10">
        <f t="shared" si="2"/>
        <v>73.764705882352942</v>
      </c>
      <c r="M9" s="8">
        <v>0.27</v>
      </c>
      <c r="N9" s="9">
        <v>0.23200000000000001</v>
      </c>
      <c r="O9" s="10">
        <f t="shared" si="3"/>
        <v>85.925925925925924</v>
      </c>
      <c r="P9" s="11">
        <v>0.52</v>
      </c>
      <c r="Q9" s="12">
        <v>0.58399999999999996</v>
      </c>
      <c r="R9" s="10">
        <f t="shared" si="4"/>
        <v>87.692307692307708</v>
      </c>
      <c r="S9" s="13">
        <v>13</v>
      </c>
      <c r="T9" s="11">
        <v>14.03</v>
      </c>
      <c r="U9" s="10">
        <f t="shared" si="5"/>
        <v>92.07692307692308</v>
      </c>
    </row>
    <row r="10" spans="1:21" x14ac:dyDescent="0.2">
      <c r="B10" s="6" t="s">
        <v>15</v>
      </c>
      <c r="C10" s="7">
        <v>5525</v>
      </c>
      <c r="D10" s="8">
        <v>2.5299999999999998</v>
      </c>
      <c r="E10" s="9">
        <v>2.512</v>
      </c>
      <c r="F10" s="10">
        <f t="shared" si="0"/>
        <v>99.288537549407124</v>
      </c>
      <c r="G10" s="9">
        <v>0.155</v>
      </c>
      <c r="H10" s="9">
        <v>0.16</v>
      </c>
      <c r="I10" s="10">
        <f t="shared" si="1"/>
        <v>96.774193548387103</v>
      </c>
      <c r="J10" s="8">
        <v>0.85</v>
      </c>
      <c r="K10" s="9">
        <v>1.071</v>
      </c>
      <c r="L10" s="10">
        <f t="shared" si="2"/>
        <v>74</v>
      </c>
      <c r="M10" s="8">
        <v>0.25</v>
      </c>
      <c r="N10" s="9">
        <v>0.23200000000000001</v>
      </c>
      <c r="O10" s="10">
        <f t="shared" si="3"/>
        <v>92.800000000000011</v>
      </c>
      <c r="P10" s="11">
        <v>0.54</v>
      </c>
      <c r="Q10" s="12">
        <v>0.58499999999999996</v>
      </c>
      <c r="R10" s="10">
        <f t="shared" si="4"/>
        <v>91.666666666666686</v>
      </c>
      <c r="S10" s="13">
        <v>15</v>
      </c>
      <c r="T10" s="11">
        <v>14.01</v>
      </c>
      <c r="U10" s="10">
        <f t="shared" si="5"/>
        <v>93.399999999999991</v>
      </c>
    </row>
    <row r="11" spans="1:21" x14ac:dyDescent="0.2">
      <c r="B11" s="6" t="s">
        <v>16</v>
      </c>
      <c r="C11" s="7">
        <v>5820</v>
      </c>
      <c r="D11" s="8">
        <v>2.5099999999999998</v>
      </c>
      <c r="E11" s="9">
        <v>2.5099999999999998</v>
      </c>
      <c r="F11" s="10">
        <f t="shared" si="0"/>
        <v>100</v>
      </c>
      <c r="G11" s="9">
        <v>0.15</v>
      </c>
      <c r="H11" s="9">
        <v>0.16</v>
      </c>
      <c r="I11" s="10">
        <f t="shared" si="1"/>
        <v>93.333333333333329</v>
      </c>
      <c r="J11" s="8">
        <v>0.87</v>
      </c>
      <c r="K11" s="9">
        <v>1.069</v>
      </c>
      <c r="L11" s="10">
        <f t="shared" si="2"/>
        <v>77.1264367816092</v>
      </c>
      <c r="M11" s="8">
        <v>0.24</v>
      </c>
      <c r="N11" s="9">
        <v>0.23300000000000001</v>
      </c>
      <c r="O11" s="10">
        <f t="shared" si="3"/>
        <v>97.083333333333343</v>
      </c>
      <c r="P11" s="11">
        <v>0.53</v>
      </c>
      <c r="Q11" s="12">
        <v>0.58399999999999996</v>
      </c>
      <c r="R11" s="10">
        <f t="shared" si="4"/>
        <v>89.811320754716988</v>
      </c>
      <c r="S11" s="13">
        <v>15</v>
      </c>
      <c r="T11" s="11">
        <v>14.02</v>
      </c>
      <c r="U11" s="10">
        <f t="shared" si="5"/>
        <v>93.466666666666669</v>
      </c>
    </row>
    <row r="12" spans="1:21" x14ac:dyDescent="0.2">
      <c r="B12" s="6" t="s">
        <v>17</v>
      </c>
      <c r="C12" s="7">
        <v>3190</v>
      </c>
      <c r="D12" s="8">
        <v>2.66</v>
      </c>
      <c r="E12" s="9">
        <v>2.512</v>
      </c>
      <c r="F12" s="10">
        <f t="shared" si="0"/>
        <v>94.436090225563902</v>
      </c>
      <c r="G12" s="9">
        <v>0.16800000000000001</v>
      </c>
      <c r="H12" s="9">
        <v>0.16</v>
      </c>
      <c r="I12" s="10">
        <f t="shared" si="1"/>
        <v>95.238095238095227</v>
      </c>
      <c r="J12" s="8">
        <v>0.81</v>
      </c>
      <c r="K12" s="9">
        <v>1.071</v>
      </c>
      <c r="L12" s="10">
        <f t="shared" si="2"/>
        <v>67.777777777777786</v>
      </c>
      <c r="M12" s="8">
        <v>0.27</v>
      </c>
      <c r="N12" s="9">
        <v>0.23300000000000001</v>
      </c>
      <c r="O12" s="10">
        <f t="shared" si="3"/>
        <v>86.296296296296291</v>
      </c>
      <c r="P12" s="11">
        <v>0.49</v>
      </c>
      <c r="Q12" s="12">
        <v>0.58599999999999997</v>
      </c>
      <c r="R12" s="10">
        <f t="shared" si="4"/>
        <v>80.408163265306129</v>
      </c>
      <c r="S12" s="13">
        <v>13</v>
      </c>
      <c r="T12" s="11">
        <v>14.01</v>
      </c>
      <c r="U12" s="10">
        <f t="shared" si="5"/>
        <v>92.230769230769226</v>
      </c>
    </row>
    <row r="13" spans="1:21" x14ac:dyDescent="0.2">
      <c r="B13" s="6" t="s">
        <v>18</v>
      </c>
      <c r="C13" s="7">
        <v>4312</v>
      </c>
      <c r="D13" s="8">
        <v>2.6</v>
      </c>
      <c r="E13" s="9">
        <v>2.5139999999999998</v>
      </c>
      <c r="F13" s="10">
        <f t="shared" si="0"/>
        <v>96.692307692307679</v>
      </c>
      <c r="G13" s="9">
        <v>0.153</v>
      </c>
      <c r="H13" s="9">
        <v>0.16</v>
      </c>
      <c r="I13" s="10">
        <f t="shared" si="1"/>
        <v>95.424836601307177</v>
      </c>
      <c r="J13" s="8">
        <v>0.81</v>
      </c>
      <c r="K13" s="9">
        <v>1.0669999999999999</v>
      </c>
      <c r="L13" s="10">
        <f t="shared" si="2"/>
        <v>68.271604938271622</v>
      </c>
      <c r="M13" s="8">
        <v>0.27</v>
      </c>
      <c r="N13" s="9">
        <v>0.23499999999999999</v>
      </c>
      <c r="O13" s="10">
        <f t="shared" si="3"/>
        <v>87.037037037037024</v>
      </c>
      <c r="P13" s="11">
        <v>0.49</v>
      </c>
      <c r="Q13" s="12">
        <v>0.58699999999999997</v>
      </c>
      <c r="R13" s="10">
        <f t="shared" si="4"/>
        <v>80.204081632653072</v>
      </c>
      <c r="S13" s="13">
        <v>13</v>
      </c>
      <c r="T13" s="11">
        <v>14.02</v>
      </c>
      <c r="U13" s="10">
        <f t="shared" si="5"/>
        <v>92.153846153846146</v>
      </c>
    </row>
    <row r="14" spans="1:21" x14ac:dyDescent="0.2">
      <c r="A14"/>
      <c r="B14" s="6" t="s">
        <v>19</v>
      </c>
      <c r="C14" s="7">
        <v>5265</v>
      </c>
      <c r="D14" s="8">
        <v>2.68</v>
      </c>
      <c r="E14" s="9">
        <v>2.512</v>
      </c>
      <c r="F14" s="10">
        <f t="shared" si="0"/>
        <v>93.731343283582078</v>
      </c>
      <c r="G14" s="9">
        <v>0.156</v>
      </c>
      <c r="H14" s="9">
        <v>0.16</v>
      </c>
      <c r="I14" s="10">
        <f t="shared" si="1"/>
        <v>97.435897435897431</v>
      </c>
      <c r="J14" s="8">
        <v>0.83</v>
      </c>
      <c r="K14" s="9">
        <v>1.071</v>
      </c>
      <c r="L14" s="10">
        <f t="shared" si="2"/>
        <v>70.963855421686745</v>
      </c>
      <c r="M14" s="8">
        <v>0.23</v>
      </c>
      <c r="N14" s="9">
        <v>0.23300000000000001</v>
      </c>
      <c r="O14" s="10">
        <f t="shared" si="3"/>
        <v>98.695652173913047</v>
      </c>
      <c r="P14" s="11">
        <v>0.51</v>
      </c>
      <c r="Q14" s="12">
        <v>0.58499999999999996</v>
      </c>
      <c r="R14" s="10">
        <f t="shared" si="4"/>
        <v>85.294117647058826</v>
      </c>
      <c r="S14" s="13">
        <v>15</v>
      </c>
      <c r="T14" s="11">
        <v>14.01</v>
      </c>
      <c r="U14" s="10">
        <f t="shared" si="5"/>
        <v>93.399999999999991</v>
      </c>
    </row>
    <row r="15" spans="1:21" x14ac:dyDescent="0.2">
      <c r="A15"/>
      <c r="B15" s="6" t="s">
        <v>20</v>
      </c>
      <c r="C15" s="7">
        <v>5180</v>
      </c>
      <c r="D15" s="8">
        <v>2.59</v>
      </c>
      <c r="E15" s="9">
        <v>2.512</v>
      </c>
      <c r="F15" s="10">
        <f t="shared" si="0"/>
        <v>96.988416988416986</v>
      </c>
      <c r="G15" s="9">
        <v>0.17</v>
      </c>
      <c r="H15" s="9">
        <v>0.16</v>
      </c>
      <c r="I15" s="10">
        <f t="shared" si="1"/>
        <v>94.117647058823522</v>
      </c>
      <c r="J15" s="8">
        <v>0.87</v>
      </c>
      <c r="K15" s="9">
        <v>1.069</v>
      </c>
      <c r="L15" s="10">
        <f t="shared" si="2"/>
        <v>77.1264367816092</v>
      </c>
      <c r="M15" s="8">
        <v>0.27</v>
      </c>
      <c r="N15" s="9">
        <v>0.23400000000000001</v>
      </c>
      <c r="O15" s="10">
        <f t="shared" si="3"/>
        <v>86.666666666666671</v>
      </c>
      <c r="P15" s="11">
        <v>0.57999999999999996</v>
      </c>
      <c r="Q15" s="12">
        <v>0.58599999999999997</v>
      </c>
      <c r="R15" s="10">
        <f t="shared" si="4"/>
        <v>98.965517241379303</v>
      </c>
      <c r="S15" s="13">
        <v>17</v>
      </c>
      <c r="T15" s="11">
        <v>14.03</v>
      </c>
      <c r="U15" s="10">
        <f t="shared" si="5"/>
        <v>82.52941176470587</v>
      </c>
    </row>
    <row r="16" spans="1:21" ht="16" customHeight="1" x14ac:dyDescent="0.2">
      <c r="A16"/>
      <c r="B16" s="6" t="s">
        <v>21</v>
      </c>
      <c r="C16" s="7">
        <v>6908</v>
      </c>
      <c r="D16" s="8">
        <v>2.5</v>
      </c>
      <c r="E16" s="9">
        <v>2.5139999999999998</v>
      </c>
      <c r="F16" s="10">
        <f t="shared" si="0"/>
        <v>99.440000000000012</v>
      </c>
      <c r="G16" s="9">
        <v>0.154</v>
      </c>
      <c r="H16" s="9">
        <v>0.16</v>
      </c>
      <c r="I16" s="10">
        <f t="shared" si="1"/>
        <v>96.103896103896105</v>
      </c>
      <c r="J16" s="8">
        <v>0.86</v>
      </c>
      <c r="K16" s="9">
        <v>1.0680000000000001</v>
      </c>
      <c r="L16" s="10">
        <f t="shared" si="2"/>
        <v>75.813953488372093</v>
      </c>
      <c r="M16" s="8">
        <v>0.25</v>
      </c>
      <c r="N16" s="9">
        <v>0.23499999999999999</v>
      </c>
      <c r="O16" s="10">
        <f t="shared" si="3"/>
        <v>94</v>
      </c>
      <c r="P16" s="11">
        <v>0.47</v>
      </c>
      <c r="Q16" s="12">
        <v>0.58699999999999997</v>
      </c>
      <c r="R16" s="10">
        <f t="shared" si="4"/>
        <v>75.106382978723403</v>
      </c>
      <c r="S16" s="13">
        <v>13</v>
      </c>
      <c r="T16" s="11">
        <v>14.02</v>
      </c>
      <c r="U16" s="10">
        <f t="shared" si="5"/>
        <v>92.153846153846146</v>
      </c>
    </row>
    <row r="17" spans="1:21" ht="20" customHeight="1" x14ac:dyDescent="0.2">
      <c r="A17"/>
      <c r="B17" s="6" t="s">
        <v>23</v>
      </c>
      <c r="C17" s="7">
        <v>5284</v>
      </c>
      <c r="D17" s="8">
        <v>2.5499999999999998</v>
      </c>
      <c r="E17" s="9">
        <v>2.512</v>
      </c>
      <c r="F17" s="10">
        <f t="shared" si="0"/>
        <v>98.509803921568633</v>
      </c>
      <c r="G17" s="9">
        <v>0.156</v>
      </c>
      <c r="H17" s="9">
        <v>0.16</v>
      </c>
      <c r="I17" s="10">
        <f t="shared" si="1"/>
        <v>97.435897435897431</v>
      </c>
      <c r="J17" s="8">
        <v>0.81</v>
      </c>
      <c r="K17" s="9">
        <v>1.069</v>
      </c>
      <c r="L17" s="10">
        <f t="shared" si="2"/>
        <v>68.024691358024711</v>
      </c>
      <c r="M17" s="8">
        <v>0.27</v>
      </c>
      <c r="N17" s="9">
        <v>0.23400000000000001</v>
      </c>
      <c r="O17" s="10">
        <f t="shared" si="3"/>
        <v>86.666666666666671</v>
      </c>
      <c r="P17" s="11">
        <v>0.49</v>
      </c>
      <c r="Q17" s="12">
        <v>0.58599999999999997</v>
      </c>
      <c r="R17" s="10">
        <f t="shared" si="4"/>
        <v>80.408163265306129</v>
      </c>
      <c r="S17" s="13">
        <v>13</v>
      </c>
      <c r="T17" s="11">
        <v>14.02</v>
      </c>
      <c r="U17" s="10">
        <f t="shared" si="5"/>
        <v>92.153846153846146</v>
      </c>
    </row>
    <row r="18" spans="1:21" ht="20" customHeight="1" x14ac:dyDescent="0.2">
      <c r="A18"/>
      <c r="B18" s="6" t="s">
        <v>25</v>
      </c>
      <c r="C18" s="7">
        <v>5877</v>
      </c>
      <c r="D18" s="8">
        <v>2.63</v>
      </c>
      <c r="E18" s="9">
        <v>2.5150000000000001</v>
      </c>
      <c r="F18" s="10">
        <f t="shared" si="0"/>
        <v>95.62737642585553</v>
      </c>
      <c r="G18" s="9">
        <v>0.158</v>
      </c>
      <c r="H18" s="9">
        <v>0.16</v>
      </c>
      <c r="I18" s="10">
        <f t="shared" si="1"/>
        <v>98.734177215189874</v>
      </c>
      <c r="J18" s="8">
        <v>0.83</v>
      </c>
      <c r="K18" s="9">
        <v>1.069</v>
      </c>
      <c r="L18" s="10">
        <f t="shared" si="2"/>
        <v>71.204819277108427</v>
      </c>
      <c r="M18" s="8">
        <v>0.23</v>
      </c>
      <c r="N18" s="9">
        <v>0.23400000000000001</v>
      </c>
      <c r="O18" s="10">
        <f t="shared" si="3"/>
        <v>98.260869565217391</v>
      </c>
      <c r="P18" s="11">
        <v>0.45</v>
      </c>
      <c r="Q18" s="12">
        <v>0.58599999999999997</v>
      </c>
      <c r="R18" s="10">
        <f t="shared" si="4"/>
        <v>69.777777777777786</v>
      </c>
      <c r="S18" s="13">
        <v>12</v>
      </c>
      <c r="T18" s="11">
        <v>14.02</v>
      </c>
      <c r="U18" s="10">
        <f t="shared" si="5"/>
        <v>83.166666666666671</v>
      </c>
    </row>
    <row r="19" spans="1:21" ht="20" customHeight="1" x14ac:dyDescent="0.2">
      <c r="A19"/>
      <c r="B19" s="6" t="s">
        <v>26</v>
      </c>
      <c r="C19" s="7">
        <v>5282</v>
      </c>
      <c r="D19" s="8">
        <v>2.5</v>
      </c>
      <c r="E19" s="9">
        <v>2.5110000000000001</v>
      </c>
      <c r="F19" s="10">
        <f t="shared" si="0"/>
        <v>99.559999999999988</v>
      </c>
      <c r="G19" s="9">
        <v>0.154</v>
      </c>
      <c r="H19" s="9">
        <v>0.16</v>
      </c>
      <c r="I19" s="10">
        <f t="shared" si="1"/>
        <v>96.103896103896105</v>
      </c>
      <c r="J19" s="8">
        <v>0.84</v>
      </c>
      <c r="K19" s="9">
        <v>1.0640000000000001</v>
      </c>
      <c r="L19" s="10">
        <f t="shared" si="2"/>
        <v>73.333333333333314</v>
      </c>
      <c r="M19" s="8">
        <v>0.24</v>
      </c>
      <c r="N19" s="9">
        <v>0.23699999999999999</v>
      </c>
      <c r="O19" s="10">
        <f t="shared" si="3"/>
        <v>98.75</v>
      </c>
      <c r="P19" s="11">
        <v>0.51</v>
      </c>
      <c r="Q19" s="12">
        <v>0.58899999999999997</v>
      </c>
      <c r="R19" s="10">
        <f t="shared" si="4"/>
        <v>84.509803921568633</v>
      </c>
      <c r="S19" s="13">
        <v>15</v>
      </c>
      <c r="T19" s="11">
        <v>13.88</v>
      </c>
      <c r="U19" s="10">
        <f t="shared" si="5"/>
        <v>92.533333333333331</v>
      </c>
    </row>
    <row r="20" spans="1:21" x14ac:dyDescent="0.2">
      <c r="B20" s="6" t="s">
        <v>27</v>
      </c>
      <c r="C20" s="7">
        <v>5209</v>
      </c>
      <c r="D20" s="8">
        <v>2.61</v>
      </c>
      <c r="E20" s="9">
        <v>2.516</v>
      </c>
      <c r="F20" s="10">
        <f t="shared" si="0"/>
        <v>96.398467432950198</v>
      </c>
      <c r="G20" s="9">
        <v>0.156</v>
      </c>
      <c r="H20" s="9">
        <v>0.16</v>
      </c>
      <c r="I20" s="10">
        <f t="shared" si="1"/>
        <v>97.435897435897431</v>
      </c>
      <c r="J20" s="8">
        <v>0.89</v>
      </c>
      <c r="K20" s="9">
        <v>1.0640000000000001</v>
      </c>
      <c r="L20" s="10">
        <f t="shared" si="2"/>
        <v>80.449438202247194</v>
      </c>
      <c r="M20" s="8">
        <v>0.25</v>
      </c>
      <c r="N20" s="9">
        <v>0.23499999999999999</v>
      </c>
      <c r="O20" s="10">
        <f t="shared" si="3"/>
        <v>94</v>
      </c>
      <c r="P20" s="11">
        <v>0.48</v>
      </c>
      <c r="Q20" s="12">
        <v>0.58599999999999997</v>
      </c>
      <c r="R20" s="10">
        <f t="shared" si="4"/>
        <v>77.916666666666671</v>
      </c>
      <c r="S20" s="13">
        <v>13</v>
      </c>
      <c r="T20" s="11">
        <v>14.02</v>
      </c>
      <c r="U20" s="10">
        <f t="shared" si="5"/>
        <v>92.153846153846146</v>
      </c>
    </row>
    <row r="21" spans="1:21" x14ac:dyDescent="0.2">
      <c r="B21" s="6" t="s">
        <v>28</v>
      </c>
      <c r="C21" s="7">
        <v>5993</v>
      </c>
      <c r="D21" s="8">
        <v>2.6</v>
      </c>
      <c r="E21" s="9">
        <v>2.5169999999999999</v>
      </c>
      <c r="F21" s="10">
        <f t="shared" si="0"/>
        <v>96.807692307692307</v>
      </c>
      <c r="G21" s="9">
        <v>0.157</v>
      </c>
      <c r="H21" s="9">
        <v>0.16</v>
      </c>
      <c r="I21" s="10">
        <f t="shared" si="1"/>
        <v>98.089171974522287</v>
      </c>
      <c r="J21" s="8">
        <v>0.84</v>
      </c>
      <c r="K21" s="9">
        <v>1.069</v>
      </c>
      <c r="L21" s="10">
        <f t="shared" si="2"/>
        <v>72.738095238095241</v>
      </c>
      <c r="M21" s="8">
        <v>0.23</v>
      </c>
      <c r="N21" s="9">
        <v>0.23599999999999999</v>
      </c>
      <c r="O21" s="10">
        <f t="shared" si="3"/>
        <v>97.391304347826107</v>
      </c>
      <c r="P21" s="11">
        <v>0.44</v>
      </c>
      <c r="Q21" s="12">
        <v>0.58399999999999996</v>
      </c>
      <c r="R21" s="10">
        <f t="shared" si="4"/>
        <v>67.27272727272728</v>
      </c>
      <c r="S21" s="13">
        <v>12</v>
      </c>
      <c r="T21" s="11">
        <v>14.09</v>
      </c>
      <c r="U21" s="10">
        <f t="shared" si="5"/>
        <v>82.583333333333329</v>
      </c>
    </row>
    <row r="22" spans="1:21" x14ac:dyDescent="0.2">
      <c r="B22" s="6" t="s">
        <v>29</v>
      </c>
      <c r="C22" s="7">
        <v>5092</v>
      </c>
      <c r="D22" s="8">
        <v>2.59</v>
      </c>
      <c r="E22" s="9">
        <v>2.5139999999999998</v>
      </c>
      <c r="F22" s="10">
        <f t="shared" si="0"/>
        <v>97.065637065637063</v>
      </c>
      <c r="G22" s="9">
        <v>0.154</v>
      </c>
      <c r="H22" s="9">
        <v>0.16</v>
      </c>
      <c r="I22" s="10">
        <f t="shared" si="1"/>
        <v>96.103896103896105</v>
      </c>
      <c r="J22" s="8">
        <v>0.83</v>
      </c>
      <c r="K22" s="9">
        <v>1.0609999999999999</v>
      </c>
      <c r="L22" s="10">
        <f t="shared" si="2"/>
        <v>72.168674698795172</v>
      </c>
      <c r="M22" s="8">
        <v>0.23</v>
      </c>
      <c r="N22" s="9">
        <v>0.23799999999999999</v>
      </c>
      <c r="O22" s="10">
        <f t="shared" si="3"/>
        <v>96.521739130434796</v>
      </c>
      <c r="P22" s="11">
        <v>0.53</v>
      </c>
      <c r="Q22" s="12">
        <v>0.58899999999999997</v>
      </c>
      <c r="R22" s="10">
        <f t="shared" si="4"/>
        <v>88.867924528301899</v>
      </c>
      <c r="S22" s="13">
        <v>13</v>
      </c>
      <c r="T22" s="11">
        <v>14</v>
      </c>
      <c r="U22" s="10">
        <f t="shared" si="5"/>
        <v>92.307692307692307</v>
      </c>
    </row>
    <row r="23" spans="1:21" x14ac:dyDescent="0.2">
      <c r="B23" s="6" t="s">
        <v>30</v>
      </c>
      <c r="C23" s="7">
        <v>4668</v>
      </c>
      <c r="D23" s="8">
        <v>2.56</v>
      </c>
      <c r="E23" s="9">
        <v>2.508</v>
      </c>
      <c r="F23" s="10">
        <f t="shared" si="0"/>
        <v>97.96875</v>
      </c>
      <c r="G23" s="9">
        <v>0.152</v>
      </c>
      <c r="H23" s="9">
        <v>0.16</v>
      </c>
      <c r="I23" s="10">
        <f t="shared" si="1"/>
        <v>94.73684210526315</v>
      </c>
      <c r="J23" s="8">
        <v>0.81</v>
      </c>
      <c r="K23" s="9">
        <v>1.073</v>
      </c>
      <c r="L23" s="10">
        <f t="shared" si="2"/>
        <v>67.530864197530875</v>
      </c>
      <c r="M23" s="8">
        <v>0.25</v>
      </c>
      <c r="N23" s="9">
        <v>0.23200000000000001</v>
      </c>
      <c r="O23" s="10">
        <f t="shared" si="3"/>
        <v>92.800000000000011</v>
      </c>
      <c r="P23" s="11">
        <v>0.56999999999999995</v>
      </c>
      <c r="Q23" s="12">
        <v>0.57899999999999996</v>
      </c>
      <c r="R23" s="10">
        <f t="shared" si="4"/>
        <v>98.421052631578945</v>
      </c>
      <c r="S23" s="13">
        <v>14</v>
      </c>
      <c r="T23" s="11">
        <v>14.05</v>
      </c>
      <c r="U23" s="10">
        <f t="shared" si="5"/>
        <v>99.642857142857139</v>
      </c>
    </row>
    <row r="24" spans="1:21" x14ac:dyDescent="0.2">
      <c r="B24" s="6" t="s">
        <v>31</v>
      </c>
      <c r="C24" s="7">
        <v>5528</v>
      </c>
      <c r="D24" s="8">
        <v>2.66</v>
      </c>
      <c r="E24" s="9">
        <v>2.5110000000000001</v>
      </c>
      <c r="F24" s="10">
        <f t="shared" si="0"/>
        <v>94.398496240601503</v>
      </c>
      <c r="G24" s="9">
        <v>0.154</v>
      </c>
      <c r="H24" s="9">
        <v>0.16</v>
      </c>
      <c r="I24" s="10">
        <f t="shared" si="1"/>
        <v>96.103896103896105</v>
      </c>
      <c r="J24" s="8">
        <v>0.81</v>
      </c>
      <c r="K24" s="9">
        <v>1.0649999999999999</v>
      </c>
      <c r="L24" s="10">
        <f t="shared" si="2"/>
        <v>68.518518518518533</v>
      </c>
      <c r="M24" s="8">
        <v>0.23</v>
      </c>
      <c r="N24" s="9">
        <v>0.23499999999999999</v>
      </c>
      <c r="O24" s="10">
        <f t="shared" si="3"/>
        <v>97.826086956521749</v>
      </c>
      <c r="P24" s="11">
        <v>0.5</v>
      </c>
      <c r="Q24" s="12">
        <v>0.58399999999999996</v>
      </c>
      <c r="R24" s="10">
        <f t="shared" si="4"/>
        <v>83.2</v>
      </c>
      <c r="S24" s="13">
        <v>15</v>
      </c>
      <c r="T24" s="11">
        <v>14.04</v>
      </c>
      <c r="U24" s="10">
        <f t="shared" si="5"/>
        <v>93.6</v>
      </c>
    </row>
    <row r="25" spans="1:21" x14ac:dyDescent="0.2">
      <c r="B25" s="6" t="s">
        <v>32</v>
      </c>
      <c r="C25" s="7">
        <v>4382</v>
      </c>
      <c r="D25" s="8">
        <v>2.63</v>
      </c>
      <c r="E25" s="9">
        <v>2.5169999999999999</v>
      </c>
      <c r="F25" s="10">
        <f t="shared" si="0"/>
        <v>95.703422053231932</v>
      </c>
      <c r="G25" s="9">
        <v>0.159</v>
      </c>
      <c r="H25" s="9">
        <v>0.16</v>
      </c>
      <c r="I25" s="10">
        <f t="shared" si="1"/>
        <v>99.371069182389931</v>
      </c>
      <c r="J25" s="8">
        <v>0.81</v>
      </c>
      <c r="K25" s="9">
        <v>1.0740000000000001</v>
      </c>
      <c r="L25" s="10">
        <f t="shared" si="2"/>
        <v>67.407407407407405</v>
      </c>
      <c r="M25" s="8">
        <v>0.23</v>
      </c>
      <c r="N25" s="9">
        <v>0.23400000000000001</v>
      </c>
      <c r="O25" s="10">
        <f t="shared" si="3"/>
        <v>98.260869565217391</v>
      </c>
      <c r="P25" s="11">
        <v>0.46</v>
      </c>
      <c r="Q25" s="12">
        <v>0.58299999999999996</v>
      </c>
      <c r="R25" s="10">
        <f t="shared" si="4"/>
        <v>73.260869565217405</v>
      </c>
      <c r="S25" s="13">
        <v>12</v>
      </c>
      <c r="T25" s="11">
        <v>14.08</v>
      </c>
      <c r="U25" s="10">
        <f t="shared" si="5"/>
        <v>82.666666666666671</v>
      </c>
    </row>
    <row r="26" spans="1:21" x14ac:dyDescent="0.2">
      <c r="B26" s="6" t="s">
        <v>33</v>
      </c>
      <c r="C26" s="7">
        <v>4424</v>
      </c>
      <c r="D26" s="8">
        <v>2.5499999999999998</v>
      </c>
      <c r="E26" s="9">
        <v>2.5110000000000001</v>
      </c>
      <c r="F26" s="10">
        <f t="shared" si="0"/>
        <v>98.47058823529413</v>
      </c>
      <c r="G26" s="9">
        <v>0.16400000000000001</v>
      </c>
      <c r="H26" s="9">
        <v>0.16</v>
      </c>
      <c r="I26" s="10">
        <f t="shared" si="1"/>
        <v>97.560975609756099</v>
      </c>
      <c r="J26" s="8">
        <v>0.83</v>
      </c>
      <c r="K26" s="9">
        <v>1.073</v>
      </c>
      <c r="L26" s="10">
        <f t="shared" si="2"/>
        <v>70.722891566265062</v>
      </c>
      <c r="M26" s="8">
        <v>0.25</v>
      </c>
      <c r="N26" s="9">
        <v>0.23300000000000001</v>
      </c>
      <c r="O26" s="10">
        <f t="shared" si="3"/>
        <v>93.2</v>
      </c>
      <c r="P26" s="11">
        <v>0.48</v>
      </c>
      <c r="Q26" s="12">
        <v>0.58299999999999996</v>
      </c>
      <c r="R26" s="10">
        <f t="shared" si="4"/>
        <v>78.541666666666671</v>
      </c>
      <c r="S26" s="13">
        <v>13</v>
      </c>
      <c r="T26" s="11">
        <v>14.05</v>
      </c>
      <c r="U26" s="10">
        <f t="shared" si="5"/>
        <v>91.92307692307692</v>
      </c>
    </row>
    <row r="27" spans="1:21" x14ac:dyDescent="0.2">
      <c r="B27" s="6" t="s">
        <v>34</v>
      </c>
      <c r="C27" s="7">
        <v>5149</v>
      </c>
      <c r="D27" s="8">
        <v>2.63</v>
      </c>
      <c r="E27" s="9">
        <v>2.5110000000000001</v>
      </c>
      <c r="F27" s="10">
        <f t="shared" si="0"/>
        <v>95.475285171102669</v>
      </c>
      <c r="G27" s="9">
        <v>0.154</v>
      </c>
      <c r="H27" s="9">
        <v>0.16</v>
      </c>
      <c r="I27" s="10">
        <f t="shared" si="1"/>
        <v>96.103896103896105</v>
      </c>
      <c r="J27" s="8">
        <v>0.87</v>
      </c>
      <c r="K27" s="9">
        <v>1.071</v>
      </c>
      <c r="L27" s="10">
        <f t="shared" si="2"/>
        <v>76.896551724137936</v>
      </c>
      <c r="M27" s="8">
        <v>0.25</v>
      </c>
      <c r="N27" s="9">
        <v>0.23300000000000001</v>
      </c>
      <c r="O27" s="10">
        <f t="shared" si="3"/>
        <v>93.2</v>
      </c>
      <c r="P27" s="11">
        <v>0.54</v>
      </c>
      <c r="Q27" s="12">
        <v>0.58499999999999996</v>
      </c>
      <c r="R27" s="10">
        <f t="shared" si="4"/>
        <v>91.666666666666686</v>
      </c>
      <c r="S27" s="13">
        <v>16</v>
      </c>
      <c r="T27" s="11">
        <v>14.01</v>
      </c>
      <c r="U27" s="10">
        <f t="shared" si="5"/>
        <v>87.5625</v>
      </c>
    </row>
    <row r="28" spans="1:21" x14ac:dyDescent="0.2">
      <c r="B28" s="6" t="s">
        <v>35</v>
      </c>
      <c r="C28" s="7">
        <v>4857</v>
      </c>
      <c r="D28" s="8">
        <v>2.5</v>
      </c>
      <c r="E28" s="9">
        <v>2.5129999999999999</v>
      </c>
      <c r="F28" s="10">
        <f t="shared" si="0"/>
        <v>99.48</v>
      </c>
      <c r="G28" s="9">
        <v>0.158</v>
      </c>
      <c r="H28" s="9">
        <v>0.16</v>
      </c>
      <c r="I28" s="10">
        <f t="shared" si="1"/>
        <v>98.734177215189874</v>
      </c>
      <c r="J28" s="8">
        <v>0.83</v>
      </c>
      <c r="K28" s="9">
        <v>1.071</v>
      </c>
      <c r="L28" s="10">
        <f t="shared" si="2"/>
        <v>70.963855421686745</v>
      </c>
      <c r="M28" s="8">
        <v>0.26</v>
      </c>
      <c r="N28" s="9">
        <v>0.23300000000000001</v>
      </c>
      <c r="O28" s="10">
        <f t="shared" si="3"/>
        <v>89.615384615384613</v>
      </c>
      <c r="P28" s="11">
        <v>0.46</v>
      </c>
      <c r="Q28" s="12">
        <v>0.58599999999999997</v>
      </c>
      <c r="R28" s="10">
        <f t="shared" si="4"/>
        <v>72.608695652173921</v>
      </c>
      <c r="S28" s="13">
        <v>13</v>
      </c>
      <c r="T28" s="11">
        <v>14.01</v>
      </c>
      <c r="U28" s="10">
        <f t="shared" si="5"/>
        <v>92.230769230769226</v>
      </c>
    </row>
    <row r="29" spans="1:21" x14ac:dyDescent="0.2">
      <c r="B29" s="6" t="s">
        <v>36</v>
      </c>
      <c r="C29" s="7">
        <v>4941</v>
      </c>
      <c r="D29" s="8">
        <v>2.6</v>
      </c>
      <c r="E29" s="9">
        <v>2.5099999999999998</v>
      </c>
      <c r="F29" s="10">
        <f t="shared" si="0"/>
        <v>96.538461538461533</v>
      </c>
      <c r="G29" s="9">
        <v>0.16</v>
      </c>
      <c r="H29" s="9">
        <v>0.16</v>
      </c>
      <c r="I29" s="10">
        <f t="shared" si="1"/>
        <v>100</v>
      </c>
      <c r="J29" s="8">
        <v>0.94</v>
      </c>
      <c r="K29" s="9">
        <v>1.071</v>
      </c>
      <c r="L29" s="10">
        <f t="shared" si="2"/>
        <v>86.063829787234042</v>
      </c>
      <c r="M29" s="8">
        <v>0.24</v>
      </c>
      <c r="N29" s="9">
        <v>0.23300000000000001</v>
      </c>
      <c r="O29" s="10">
        <f t="shared" si="3"/>
        <v>97.083333333333343</v>
      </c>
      <c r="P29" s="11">
        <v>0.48</v>
      </c>
      <c r="Q29" s="12">
        <v>0.58399999999999996</v>
      </c>
      <c r="R29" s="10">
        <f t="shared" si="4"/>
        <v>78.333333333333329</v>
      </c>
      <c r="S29" s="13">
        <v>13</v>
      </c>
      <c r="T29" s="11">
        <v>14.02</v>
      </c>
      <c r="U29" s="10">
        <f t="shared" si="5"/>
        <v>92.153846153846146</v>
      </c>
    </row>
    <row r="30" spans="1:21" x14ac:dyDescent="0.2">
      <c r="B30" s="6" t="s">
        <v>37</v>
      </c>
      <c r="C30" s="7">
        <v>4736</v>
      </c>
      <c r="D30" s="8">
        <v>2.57</v>
      </c>
      <c r="E30" s="9">
        <v>2.5089999999999999</v>
      </c>
      <c r="F30" s="10">
        <f t="shared" si="0"/>
        <v>97.626459143968873</v>
      </c>
      <c r="G30" s="9">
        <v>0.161</v>
      </c>
      <c r="H30" s="9">
        <v>0.16</v>
      </c>
      <c r="I30" s="10">
        <f t="shared" si="1"/>
        <v>99.378881987577643</v>
      </c>
      <c r="J30" s="8">
        <v>0.82</v>
      </c>
      <c r="K30" s="9">
        <v>1.071</v>
      </c>
      <c r="L30" s="10">
        <f t="shared" si="2"/>
        <v>69.390243902439025</v>
      </c>
      <c r="M30" s="8">
        <v>0.24</v>
      </c>
      <c r="N30" s="9">
        <v>0.23300000000000001</v>
      </c>
      <c r="O30" s="10">
        <f t="shared" si="3"/>
        <v>97.083333333333343</v>
      </c>
      <c r="P30" s="11">
        <v>0.48</v>
      </c>
      <c r="Q30" s="12">
        <v>0.58399999999999996</v>
      </c>
      <c r="R30" s="10">
        <f t="shared" si="4"/>
        <v>78.333333333333329</v>
      </c>
      <c r="S30" s="13">
        <v>13</v>
      </c>
      <c r="T30" s="11">
        <v>14.02</v>
      </c>
      <c r="U30" s="10">
        <f t="shared" si="5"/>
        <v>92.153846153846146</v>
      </c>
    </row>
    <row r="31" spans="1:21" x14ac:dyDescent="0.2">
      <c r="B31" s="6" t="s">
        <v>38</v>
      </c>
      <c r="C31" s="7">
        <v>4994</v>
      </c>
      <c r="D31" s="8">
        <v>2.54</v>
      </c>
      <c r="E31" s="9">
        <v>2.5110000000000001</v>
      </c>
      <c r="F31" s="10">
        <f t="shared" si="0"/>
        <v>98.858267716535437</v>
      </c>
      <c r="G31" s="9">
        <v>0.156</v>
      </c>
      <c r="H31" s="9">
        <v>0.16</v>
      </c>
      <c r="I31" s="10">
        <f t="shared" si="1"/>
        <v>97.435897435897431</v>
      </c>
      <c r="J31" s="8">
        <v>0.87</v>
      </c>
      <c r="K31" s="9">
        <v>1.071</v>
      </c>
      <c r="L31" s="10">
        <f t="shared" si="2"/>
        <v>76.896551724137936</v>
      </c>
      <c r="M31" s="8">
        <v>0.26</v>
      </c>
      <c r="N31" s="9">
        <v>0.23300000000000001</v>
      </c>
      <c r="O31" s="10">
        <f t="shared" si="3"/>
        <v>89.615384615384613</v>
      </c>
      <c r="P31" s="11">
        <v>0.51</v>
      </c>
      <c r="Q31" s="12">
        <v>0.58499999999999996</v>
      </c>
      <c r="R31" s="10">
        <f t="shared" si="4"/>
        <v>85.294117647058826</v>
      </c>
      <c r="S31" s="13">
        <v>13</v>
      </c>
      <c r="T31" s="11">
        <v>14.02</v>
      </c>
      <c r="U31" s="10">
        <f t="shared" si="5"/>
        <v>92.153846153846146</v>
      </c>
    </row>
    <row r="32" spans="1:21" x14ac:dyDescent="0.2">
      <c r="B32" s="6" t="s">
        <v>39</v>
      </c>
      <c r="C32" s="7">
        <v>5115</v>
      </c>
      <c r="D32" s="8">
        <v>2.66</v>
      </c>
      <c r="E32" s="9">
        <v>2.5139999999999998</v>
      </c>
      <c r="F32" s="10">
        <f t="shared" si="0"/>
        <v>94.511278195488714</v>
      </c>
      <c r="G32" s="9">
        <v>0.155</v>
      </c>
      <c r="H32" s="9">
        <v>0.16</v>
      </c>
      <c r="I32" s="10">
        <f t="shared" si="1"/>
        <v>96.774193548387103</v>
      </c>
      <c r="J32" s="8">
        <v>0.84</v>
      </c>
      <c r="K32" s="9">
        <v>1.0669999999999999</v>
      </c>
      <c r="L32" s="10">
        <f t="shared" si="2"/>
        <v>72.976190476190482</v>
      </c>
      <c r="M32" s="8">
        <v>0.25</v>
      </c>
      <c r="N32" s="9">
        <v>0.23400000000000001</v>
      </c>
      <c r="O32" s="10">
        <f t="shared" si="3"/>
        <v>93.600000000000009</v>
      </c>
      <c r="P32" s="11">
        <v>0.52</v>
      </c>
      <c r="Q32" s="12">
        <v>0.58699999999999997</v>
      </c>
      <c r="R32" s="10">
        <f t="shared" si="4"/>
        <v>87.115384615384627</v>
      </c>
      <c r="S32" s="13">
        <v>16</v>
      </c>
      <c r="T32" s="11">
        <v>14.01</v>
      </c>
      <c r="U32" s="10">
        <f t="shared" si="5"/>
        <v>87.5625</v>
      </c>
    </row>
    <row r="33" spans="2:21" x14ac:dyDescent="0.2">
      <c r="B33" s="6" t="s">
        <v>40</v>
      </c>
      <c r="C33" s="7">
        <v>5043</v>
      </c>
      <c r="D33" s="8">
        <v>2.48</v>
      </c>
      <c r="E33" s="9">
        <v>2.512</v>
      </c>
      <c r="F33" s="10">
        <f t="shared" si="0"/>
        <v>98.709677419354833</v>
      </c>
      <c r="G33" s="9">
        <v>0.159</v>
      </c>
      <c r="H33" s="9">
        <v>0.16</v>
      </c>
      <c r="I33" s="10">
        <f t="shared" si="1"/>
        <v>99.371069182389931</v>
      </c>
      <c r="J33" s="8">
        <v>0.84</v>
      </c>
      <c r="K33" s="9">
        <v>1.071</v>
      </c>
      <c r="L33" s="10">
        <f t="shared" si="2"/>
        <v>72.500000000000014</v>
      </c>
      <c r="M33" s="8">
        <v>0.24</v>
      </c>
      <c r="N33" s="9">
        <v>0.23300000000000001</v>
      </c>
      <c r="O33" s="10">
        <f t="shared" si="3"/>
        <v>97.083333333333343</v>
      </c>
      <c r="P33" s="11">
        <v>0.54</v>
      </c>
      <c r="Q33" s="12">
        <v>0.58599999999999997</v>
      </c>
      <c r="R33" s="10">
        <f t="shared" si="4"/>
        <v>91.481481481481495</v>
      </c>
      <c r="S33" s="13">
        <v>15</v>
      </c>
      <c r="T33" s="11">
        <v>14.01</v>
      </c>
      <c r="U33" s="10">
        <f t="shared" si="5"/>
        <v>93.399999999999991</v>
      </c>
    </row>
    <row r="34" spans="2:21" x14ac:dyDescent="0.2">
      <c r="B34" s="6" t="s">
        <v>41</v>
      </c>
      <c r="C34" s="7">
        <v>5171</v>
      </c>
      <c r="D34" s="8">
        <v>2.6</v>
      </c>
      <c r="E34" s="9">
        <v>2.5139999999999998</v>
      </c>
      <c r="F34" s="10">
        <f t="shared" si="0"/>
        <v>96.692307692307679</v>
      </c>
      <c r="G34" s="9">
        <v>0.155</v>
      </c>
      <c r="H34" s="9">
        <v>0.16</v>
      </c>
      <c r="I34" s="10">
        <f t="shared" si="1"/>
        <v>96.774193548387103</v>
      </c>
      <c r="J34" s="8">
        <v>0.87</v>
      </c>
      <c r="K34" s="9">
        <v>1.0660000000000001</v>
      </c>
      <c r="L34" s="10">
        <f t="shared" si="2"/>
        <v>77.47126436781609</v>
      </c>
      <c r="M34" s="8">
        <v>0.26</v>
      </c>
      <c r="N34" s="9">
        <v>0.23400000000000001</v>
      </c>
      <c r="O34" s="10">
        <f t="shared" si="3"/>
        <v>90</v>
      </c>
      <c r="P34" s="11">
        <v>0.52</v>
      </c>
      <c r="Q34" s="12">
        <v>0.58799999999999997</v>
      </c>
      <c r="R34" s="10">
        <f t="shared" si="4"/>
        <v>86.923076923076934</v>
      </c>
      <c r="S34" s="13">
        <v>13</v>
      </c>
      <c r="T34" s="11">
        <v>14.01</v>
      </c>
      <c r="U34" s="10">
        <f t="shared" si="5"/>
        <v>92.230769230769226</v>
      </c>
    </row>
    <row r="35" spans="2:21" x14ac:dyDescent="0.2">
      <c r="B35" s="6" t="s">
        <v>42</v>
      </c>
      <c r="C35" s="7">
        <v>4462</v>
      </c>
      <c r="D35" s="8">
        <v>2.5</v>
      </c>
      <c r="E35" s="9">
        <v>2.5139999999999998</v>
      </c>
      <c r="F35" s="10">
        <f t="shared" si="0"/>
        <v>99.440000000000012</v>
      </c>
      <c r="G35" s="9">
        <v>0.157</v>
      </c>
      <c r="H35" s="9">
        <v>0.16</v>
      </c>
      <c r="I35" s="10">
        <f t="shared" si="1"/>
        <v>98.089171974522287</v>
      </c>
      <c r="J35" s="8">
        <v>0.85</v>
      </c>
      <c r="K35" s="9">
        <v>1.07</v>
      </c>
      <c r="L35" s="10">
        <f t="shared" si="2"/>
        <v>74.117647058823522</v>
      </c>
      <c r="M35" s="8">
        <v>0.25</v>
      </c>
      <c r="N35" s="9">
        <v>0.23300000000000001</v>
      </c>
      <c r="O35" s="10">
        <f t="shared" si="3"/>
        <v>93.2</v>
      </c>
      <c r="P35" s="11">
        <v>0.59</v>
      </c>
      <c r="Q35" s="12">
        <v>0.58599999999999997</v>
      </c>
      <c r="R35" s="10">
        <f t="shared" si="4"/>
        <v>99.322033898305079</v>
      </c>
      <c r="S35" s="13">
        <v>13</v>
      </c>
      <c r="T35" s="11">
        <v>14.03</v>
      </c>
      <c r="U35" s="10">
        <f t="shared" si="5"/>
        <v>92.07692307692308</v>
      </c>
    </row>
    <row r="36" spans="2:21" x14ac:dyDescent="0.2">
      <c r="B36" s="6" t="s">
        <v>43</v>
      </c>
      <c r="C36" s="7">
        <v>5437</v>
      </c>
      <c r="D36" s="8">
        <v>2.4500000000000002</v>
      </c>
      <c r="E36" s="9">
        <v>2.512</v>
      </c>
      <c r="F36" s="10">
        <f t="shared" si="0"/>
        <v>97.469387755102048</v>
      </c>
      <c r="G36" s="9">
        <v>0.158</v>
      </c>
      <c r="H36" s="9">
        <v>0.16</v>
      </c>
      <c r="I36" s="10">
        <f t="shared" si="1"/>
        <v>98.734177215189874</v>
      </c>
      <c r="J36" s="8">
        <v>0.9</v>
      </c>
      <c r="K36" s="9">
        <v>1.069</v>
      </c>
      <c r="L36" s="10">
        <f t="shared" si="2"/>
        <v>81.222222222222229</v>
      </c>
      <c r="M36" s="8">
        <v>0.25</v>
      </c>
      <c r="N36" s="9">
        <v>0.23499999999999999</v>
      </c>
      <c r="O36" s="10">
        <f t="shared" si="3"/>
        <v>94</v>
      </c>
      <c r="P36" s="11">
        <v>0.6</v>
      </c>
      <c r="Q36" s="12">
        <v>0.58699999999999997</v>
      </c>
      <c r="R36" s="10">
        <f t="shared" si="4"/>
        <v>97.833333333333329</v>
      </c>
      <c r="S36" s="13">
        <v>13</v>
      </c>
      <c r="T36" s="11">
        <v>13.99</v>
      </c>
      <c r="U36" s="10">
        <f t="shared" si="5"/>
        <v>92.384615384615387</v>
      </c>
    </row>
    <row r="37" spans="2:21" x14ac:dyDescent="0.2">
      <c r="B37" s="6" t="s">
        <v>44</v>
      </c>
      <c r="C37" s="7">
        <v>5221</v>
      </c>
      <c r="D37" s="8">
        <v>2.64</v>
      </c>
      <c r="E37" s="9">
        <v>2.52</v>
      </c>
      <c r="F37" s="10">
        <f t="shared" si="0"/>
        <v>95.454545454545453</v>
      </c>
      <c r="G37" s="9">
        <v>0.154</v>
      </c>
      <c r="H37" s="9">
        <v>0.16</v>
      </c>
      <c r="I37" s="10">
        <f t="shared" si="1"/>
        <v>96.103896103896105</v>
      </c>
      <c r="J37" s="8">
        <v>0.81</v>
      </c>
      <c r="K37" s="9">
        <v>1.0720000000000001</v>
      </c>
      <c r="L37" s="10">
        <f t="shared" si="2"/>
        <v>67.654320987654316</v>
      </c>
      <c r="M37" s="8">
        <v>0.25</v>
      </c>
      <c r="N37" s="9">
        <v>0.23499999999999999</v>
      </c>
      <c r="O37" s="10">
        <f t="shared" si="3"/>
        <v>94</v>
      </c>
      <c r="P37" s="11">
        <v>0.54</v>
      </c>
      <c r="Q37" s="12">
        <v>0.58599999999999997</v>
      </c>
      <c r="R37" s="10">
        <f t="shared" si="4"/>
        <v>91.481481481481495</v>
      </c>
      <c r="S37" s="13">
        <v>15</v>
      </c>
      <c r="T37" s="11">
        <v>14.04</v>
      </c>
      <c r="U37" s="10">
        <f t="shared" si="5"/>
        <v>93.6</v>
      </c>
    </row>
    <row r="38" spans="2:21" x14ac:dyDescent="0.2">
      <c r="B38" s="6" t="s">
        <v>45</v>
      </c>
      <c r="C38" s="7">
        <v>6108</v>
      </c>
      <c r="D38" s="8">
        <v>2.57</v>
      </c>
      <c r="E38" s="9">
        <v>2.5070000000000001</v>
      </c>
      <c r="F38" s="10">
        <f t="shared" si="0"/>
        <v>97.548638132295736</v>
      </c>
      <c r="G38" s="9">
        <v>0.156</v>
      </c>
      <c r="H38" s="9">
        <v>0.16</v>
      </c>
      <c r="I38" s="10">
        <f t="shared" si="1"/>
        <v>97.435897435897431</v>
      </c>
      <c r="J38" s="8">
        <v>0.83</v>
      </c>
      <c r="K38" s="9">
        <v>1.07</v>
      </c>
      <c r="L38" s="10">
        <f t="shared" si="2"/>
        <v>71.084337349397572</v>
      </c>
      <c r="M38" s="8">
        <v>0.23</v>
      </c>
      <c r="N38" s="9">
        <v>0.23300000000000001</v>
      </c>
      <c r="O38" s="10">
        <f t="shared" si="3"/>
        <v>98.695652173913047</v>
      </c>
      <c r="P38" s="11">
        <v>0.54</v>
      </c>
      <c r="Q38" s="12">
        <v>0.58299999999999996</v>
      </c>
      <c r="R38" s="10">
        <f t="shared" si="4"/>
        <v>92.037037037037052</v>
      </c>
      <c r="S38" s="13">
        <v>15</v>
      </c>
      <c r="T38" s="11">
        <v>14.01</v>
      </c>
      <c r="U38" s="10">
        <f t="shared" si="5"/>
        <v>93.399999999999991</v>
      </c>
    </row>
    <row r="39" spans="2:21" x14ac:dyDescent="0.2">
      <c r="B39" s="6" t="s">
        <v>46</v>
      </c>
      <c r="C39" s="7">
        <v>5445</v>
      </c>
      <c r="D39" s="8">
        <v>2.58</v>
      </c>
      <c r="E39" s="9">
        <v>2.5110000000000001</v>
      </c>
      <c r="F39" s="10">
        <f t="shared" ref="F39:F68" si="6">(1-ABS(D39-E39)/D39)*100</f>
        <v>97.325581395348834</v>
      </c>
      <c r="G39" s="9">
        <v>0.16700000000000001</v>
      </c>
      <c r="H39" s="9">
        <v>0.16</v>
      </c>
      <c r="I39" s="10">
        <f t="shared" ref="I39:I68" si="7">(1-ABS(G39-H39)/G39)*100</f>
        <v>95.808383233532936</v>
      </c>
      <c r="J39" s="8">
        <v>0.81</v>
      </c>
      <c r="K39" s="9">
        <v>1.0720000000000001</v>
      </c>
      <c r="L39" s="10">
        <f t="shared" ref="L39:L68" si="8">(1-ABS(J39-K39)/J39)*100</f>
        <v>67.654320987654316</v>
      </c>
      <c r="M39" s="8">
        <v>0.24</v>
      </c>
      <c r="N39" s="9">
        <v>0.23300000000000001</v>
      </c>
      <c r="O39" s="10">
        <f t="shared" ref="O39:O68" si="9">(1-ABS(M39-N39)/M39)*100</f>
        <v>97.083333333333343</v>
      </c>
      <c r="P39" s="11">
        <v>0.48</v>
      </c>
      <c r="Q39" s="12">
        <v>0.58199999999999996</v>
      </c>
      <c r="R39" s="10">
        <f t="shared" ref="R39:R68" si="10">(1-ABS(P39-Q39)/P39)*100</f>
        <v>78.750000000000014</v>
      </c>
      <c r="S39" s="13">
        <v>13</v>
      </c>
      <c r="T39" s="11">
        <v>14.07</v>
      </c>
      <c r="U39" s="10">
        <f t="shared" ref="U39:U68" si="11">(1-ABS(S39-T39)/S39)*100</f>
        <v>91.769230769230774</v>
      </c>
    </row>
    <row r="40" spans="2:21" x14ac:dyDescent="0.2">
      <c r="B40" s="6" t="s">
        <v>47</v>
      </c>
      <c r="C40" s="7">
        <v>5542</v>
      </c>
      <c r="D40" s="8">
        <v>2.63</v>
      </c>
      <c r="E40" s="9">
        <v>2.512</v>
      </c>
      <c r="F40" s="10">
        <f t="shared" si="6"/>
        <v>95.51330798479087</v>
      </c>
      <c r="G40" s="9">
        <v>0.156</v>
      </c>
      <c r="H40" s="9">
        <v>0.16</v>
      </c>
      <c r="I40" s="10">
        <f t="shared" si="7"/>
        <v>97.435897435897431</v>
      </c>
      <c r="J40" s="8">
        <v>0.93</v>
      </c>
      <c r="K40" s="9">
        <v>1.071</v>
      </c>
      <c r="L40" s="10">
        <f t="shared" si="8"/>
        <v>84.838709677419359</v>
      </c>
      <c r="M40" s="8">
        <v>0.27</v>
      </c>
      <c r="N40" s="9">
        <v>0.23300000000000001</v>
      </c>
      <c r="O40" s="10">
        <f t="shared" si="9"/>
        <v>86.296296296296291</v>
      </c>
      <c r="P40" s="11">
        <v>0.53</v>
      </c>
      <c r="Q40" s="12">
        <v>0.58499999999999996</v>
      </c>
      <c r="R40" s="10">
        <f t="shared" si="10"/>
        <v>89.622641509433976</v>
      </c>
      <c r="S40" s="13">
        <v>13</v>
      </c>
      <c r="T40" s="11">
        <v>14.02</v>
      </c>
      <c r="U40" s="10">
        <f t="shared" si="11"/>
        <v>92.153846153846146</v>
      </c>
    </row>
    <row r="41" spans="2:21" x14ac:dyDescent="0.2">
      <c r="B41" s="6" t="s">
        <v>48</v>
      </c>
      <c r="C41" s="7">
        <v>6644</v>
      </c>
      <c r="D41" s="8">
        <v>2.57</v>
      </c>
      <c r="E41" s="9">
        <v>2.508</v>
      </c>
      <c r="F41" s="10">
        <f t="shared" si="6"/>
        <v>97.587548638132304</v>
      </c>
      <c r="G41" s="9">
        <v>0.16400000000000001</v>
      </c>
      <c r="H41" s="9">
        <v>0.16</v>
      </c>
      <c r="I41" s="10">
        <f t="shared" si="7"/>
        <v>97.560975609756099</v>
      </c>
      <c r="J41" s="8">
        <v>0.84</v>
      </c>
      <c r="K41" s="9">
        <v>1.0720000000000001</v>
      </c>
      <c r="L41" s="10">
        <f t="shared" si="8"/>
        <v>72.380952380952365</v>
      </c>
      <c r="M41" s="8">
        <v>0.27</v>
      </c>
      <c r="N41" s="9">
        <v>0.23200000000000001</v>
      </c>
      <c r="O41" s="10">
        <f t="shared" si="9"/>
        <v>85.925925925925924</v>
      </c>
      <c r="P41" s="11">
        <v>0.61</v>
      </c>
      <c r="Q41" s="12">
        <v>0.58299999999999996</v>
      </c>
      <c r="R41" s="10">
        <f t="shared" si="10"/>
        <v>95.573770491803273</v>
      </c>
      <c r="S41" s="13">
        <v>14</v>
      </c>
      <c r="T41" s="11">
        <v>14.02</v>
      </c>
      <c r="U41" s="10">
        <f t="shared" si="11"/>
        <v>99.857142857142861</v>
      </c>
    </row>
    <row r="42" spans="2:21" x14ac:dyDescent="0.2">
      <c r="B42" s="6" t="s">
        <v>49</v>
      </c>
      <c r="C42" s="7">
        <v>6744</v>
      </c>
      <c r="D42" s="8">
        <v>2.63</v>
      </c>
      <c r="E42" s="9">
        <v>2.5099999999999998</v>
      </c>
      <c r="F42" s="10">
        <f t="shared" si="6"/>
        <v>95.43726235741444</v>
      </c>
      <c r="G42" s="9">
        <v>0.16500000000000001</v>
      </c>
      <c r="H42" s="9">
        <v>0.16</v>
      </c>
      <c r="I42" s="10">
        <f t="shared" si="7"/>
        <v>96.969696969696969</v>
      </c>
      <c r="J42" s="8">
        <v>0.81</v>
      </c>
      <c r="K42" s="9">
        <v>1.071</v>
      </c>
      <c r="L42" s="10">
        <f t="shared" si="8"/>
        <v>67.777777777777786</v>
      </c>
      <c r="M42" s="8">
        <v>0.26</v>
      </c>
      <c r="N42" s="9">
        <v>0.23300000000000001</v>
      </c>
      <c r="O42" s="10">
        <f t="shared" si="9"/>
        <v>89.615384615384613</v>
      </c>
      <c r="P42" s="11">
        <v>0.51</v>
      </c>
      <c r="Q42" s="12">
        <v>0.58499999999999996</v>
      </c>
      <c r="R42" s="10">
        <f t="shared" si="10"/>
        <v>85.294117647058826</v>
      </c>
      <c r="S42" s="13">
        <v>13</v>
      </c>
      <c r="T42" s="11">
        <v>14.02</v>
      </c>
      <c r="U42" s="10">
        <f t="shared" si="11"/>
        <v>92.153846153846146</v>
      </c>
    </row>
    <row r="43" spans="2:21" x14ac:dyDescent="0.2">
      <c r="B43" s="6" t="s">
        <v>50</v>
      </c>
      <c r="C43" s="7">
        <v>4369</v>
      </c>
      <c r="D43" s="8">
        <v>2.58</v>
      </c>
      <c r="E43" s="9">
        <v>2.512</v>
      </c>
      <c r="F43" s="10">
        <f t="shared" si="6"/>
        <v>97.364341085271306</v>
      </c>
      <c r="G43" s="9">
        <v>0.16300000000000001</v>
      </c>
      <c r="H43" s="9">
        <v>0.16</v>
      </c>
      <c r="I43" s="10">
        <f t="shared" si="7"/>
        <v>98.159509202453989</v>
      </c>
      <c r="J43" s="8">
        <v>0.82</v>
      </c>
      <c r="K43" s="9">
        <v>1.0740000000000001</v>
      </c>
      <c r="L43" s="10">
        <f t="shared" si="8"/>
        <v>69.024390243902417</v>
      </c>
      <c r="M43" s="8">
        <v>0.25</v>
      </c>
      <c r="N43" s="9">
        <v>0.23300000000000001</v>
      </c>
      <c r="O43" s="10">
        <f t="shared" si="9"/>
        <v>93.2</v>
      </c>
      <c r="P43" s="11">
        <v>0.5</v>
      </c>
      <c r="Q43" s="12">
        <v>0.58499999999999996</v>
      </c>
      <c r="R43" s="10">
        <f t="shared" si="10"/>
        <v>83</v>
      </c>
      <c r="S43" s="13">
        <v>13</v>
      </c>
      <c r="T43" s="11">
        <v>14.05</v>
      </c>
      <c r="U43" s="10">
        <f t="shared" si="11"/>
        <v>91.92307692307692</v>
      </c>
    </row>
    <row r="44" spans="2:21" x14ac:dyDescent="0.2">
      <c r="B44" s="6" t="s">
        <v>51</v>
      </c>
      <c r="C44" s="7">
        <v>3760</v>
      </c>
      <c r="D44" s="8">
        <v>2.5499999999999998</v>
      </c>
      <c r="E44" s="9">
        <v>2.5219999999999998</v>
      </c>
      <c r="F44" s="10">
        <f t="shared" si="6"/>
        <v>98.901960784313729</v>
      </c>
      <c r="G44" s="9">
        <v>0.158</v>
      </c>
      <c r="H44" s="9">
        <v>0.161</v>
      </c>
      <c r="I44" s="10">
        <f t="shared" si="7"/>
        <v>98.101265822784811</v>
      </c>
      <c r="J44" s="8">
        <v>0.82</v>
      </c>
      <c r="K44" s="9">
        <v>1.0589999999999999</v>
      </c>
      <c r="L44" s="10">
        <f t="shared" si="8"/>
        <v>70.853658536585357</v>
      </c>
      <c r="M44" s="8">
        <v>0.25</v>
      </c>
      <c r="N44" s="9">
        <v>0.23799999999999999</v>
      </c>
      <c r="O44" s="10">
        <f t="shared" si="9"/>
        <v>95.199999999999989</v>
      </c>
      <c r="P44" s="11">
        <v>0.49</v>
      </c>
      <c r="Q44" s="12">
        <v>0.59599999999999997</v>
      </c>
      <c r="R44" s="10">
        <f t="shared" si="10"/>
        <v>78.367346938775512</v>
      </c>
      <c r="S44" s="13">
        <v>13</v>
      </c>
      <c r="T44" s="11">
        <v>13.95</v>
      </c>
      <c r="U44" s="10">
        <f t="shared" si="11"/>
        <v>92.692307692307693</v>
      </c>
    </row>
    <row r="45" spans="2:21" x14ac:dyDescent="0.2">
      <c r="B45" s="6" t="s">
        <v>52</v>
      </c>
      <c r="C45" s="7">
        <v>5434</v>
      </c>
      <c r="D45" s="8">
        <v>2.48</v>
      </c>
      <c r="E45" s="9">
        <v>2.5169999999999999</v>
      </c>
      <c r="F45" s="10">
        <f t="shared" si="6"/>
        <v>98.508064516129039</v>
      </c>
      <c r="G45" s="9">
        <v>0.14599999999999999</v>
      </c>
      <c r="H45" s="9">
        <v>0.16</v>
      </c>
      <c r="I45" s="10">
        <f t="shared" si="7"/>
        <v>90.410958904109577</v>
      </c>
      <c r="J45" s="8">
        <v>0.84</v>
      </c>
      <c r="K45" s="9">
        <v>1.071</v>
      </c>
      <c r="L45" s="10">
        <f t="shared" si="8"/>
        <v>72.500000000000014</v>
      </c>
      <c r="M45" s="8">
        <v>0.25</v>
      </c>
      <c r="N45" s="9">
        <v>0.23499999999999999</v>
      </c>
      <c r="O45" s="10">
        <f t="shared" si="9"/>
        <v>94</v>
      </c>
      <c r="P45" s="11">
        <v>0.59</v>
      </c>
      <c r="Q45" s="12">
        <v>0.58699999999999997</v>
      </c>
      <c r="R45" s="10">
        <f t="shared" si="10"/>
        <v>99.491525423728817</v>
      </c>
      <c r="S45" s="13">
        <v>13</v>
      </c>
      <c r="T45" s="11">
        <v>14.03</v>
      </c>
      <c r="U45" s="10">
        <f t="shared" si="11"/>
        <v>92.07692307692308</v>
      </c>
    </row>
    <row r="46" spans="2:21" x14ac:dyDescent="0.2">
      <c r="B46" s="6" t="s">
        <v>52</v>
      </c>
      <c r="C46" s="7">
        <v>5434</v>
      </c>
      <c r="D46" s="8">
        <v>2.76</v>
      </c>
      <c r="E46" s="9">
        <v>2.5169999999999999</v>
      </c>
      <c r="F46" s="10">
        <f t="shared" si="6"/>
        <v>91.195652173913047</v>
      </c>
      <c r="G46" s="9">
        <v>0.17100000000000001</v>
      </c>
      <c r="H46" s="9">
        <v>0.16</v>
      </c>
      <c r="I46" s="10">
        <f t="shared" si="7"/>
        <v>93.567251461988292</v>
      </c>
      <c r="J46" s="8">
        <v>1.1000000000000001</v>
      </c>
      <c r="K46" s="9">
        <v>1.071</v>
      </c>
      <c r="L46" s="10">
        <f t="shared" si="8"/>
        <v>97.363636363636346</v>
      </c>
      <c r="M46" s="8">
        <v>0.3</v>
      </c>
      <c r="N46" s="9">
        <v>0.23499999999999999</v>
      </c>
      <c r="O46" s="10">
        <f t="shared" si="9"/>
        <v>78.333333333333329</v>
      </c>
      <c r="P46" s="11">
        <v>0.5</v>
      </c>
      <c r="Q46" s="12">
        <v>0.58699999999999997</v>
      </c>
      <c r="R46" s="10">
        <f t="shared" si="10"/>
        <v>82.600000000000009</v>
      </c>
      <c r="S46" s="13">
        <v>14</v>
      </c>
      <c r="T46" s="11">
        <v>14.03</v>
      </c>
      <c r="U46" s="10">
        <f t="shared" si="11"/>
        <v>99.785714285714292</v>
      </c>
    </row>
    <row r="47" spans="2:21" x14ac:dyDescent="0.2">
      <c r="B47" s="6" t="s">
        <v>53</v>
      </c>
      <c r="C47" s="7">
        <v>4565</v>
      </c>
      <c r="D47" s="8">
        <v>2.6</v>
      </c>
      <c r="E47" s="9">
        <v>2.5129999999999999</v>
      </c>
      <c r="F47" s="10">
        <f t="shared" si="6"/>
        <v>96.653846153846146</v>
      </c>
      <c r="G47" s="9">
        <v>0.16200000000000001</v>
      </c>
      <c r="H47" s="9">
        <v>0.16</v>
      </c>
      <c r="I47" s="10">
        <f t="shared" si="7"/>
        <v>98.76543209876543</v>
      </c>
      <c r="J47" s="8">
        <v>0.83</v>
      </c>
      <c r="K47" s="9">
        <v>1.07</v>
      </c>
      <c r="L47" s="10">
        <f t="shared" si="8"/>
        <v>71.084337349397572</v>
      </c>
      <c r="M47" s="8">
        <v>0.26</v>
      </c>
      <c r="N47" s="9">
        <v>0.23400000000000001</v>
      </c>
      <c r="O47" s="10">
        <f t="shared" si="9"/>
        <v>90</v>
      </c>
      <c r="P47" s="11">
        <v>0.52</v>
      </c>
      <c r="Q47" s="12">
        <v>0.58699999999999997</v>
      </c>
      <c r="R47" s="10">
        <f t="shared" si="10"/>
        <v>87.115384615384627</v>
      </c>
      <c r="S47" s="13">
        <v>13</v>
      </c>
      <c r="T47" s="11">
        <v>13.99</v>
      </c>
      <c r="U47" s="10">
        <f t="shared" si="11"/>
        <v>92.384615384615387</v>
      </c>
    </row>
    <row r="48" spans="2:21" x14ac:dyDescent="0.2">
      <c r="B48" s="6" t="s">
        <v>54</v>
      </c>
      <c r="C48" s="7">
        <v>5055</v>
      </c>
      <c r="D48" s="8">
        <v>2.61</v>
      </c>
      <c r="E48" s="9">
        <v>2.5110000000000001</v>
      </c>
      <c r="F48" s="10">
        <f t="shared" si="6"/>
        <v>96.206896551724142</v>
      </c>
      <c r="G48" s="9">
        <v>0.154</v>
      </c>
      <c r="H48" s="9">
        <v>0.16</v>
      </c>
      <c r="I48" s="10">
        <f t="shared" si="7"/>
        <v>96.103896103896105</v>
      </c>
      <c r="J48" s="8">
        <v>0.84</v>
      </c>
      <c r="K48" s="9">
        <v>1.071</v>
      </c>
      <c r="L48" s="10">
        <f t="shared" si="8"/>
        <v>72.500000000000014</v>
      </c>
      <c r="M48" s="8">
        <v>0.25</v>
      </c>
      <c r="N48" s="9">
        <v>0.23300000000000001</v>
      </c>
      <c r="O48" s="10">
        <f t="shared" si="9"/>
        <v>93.2</v>
      </c>
      <c r="P48" s="11">
        <v>0.5</v>
      </c>
      <c r="Q48" s="12">
        <v>0.58499999999999996</v>
      </c>
      <c r="R48" s="10">
        <f t="shared" si="10"/>
        <v>83</v>
      </c>
      <c r="S48" s="13">
        <v>13</v>
      </c>
      <c r="T48" s="11">
        <v>14.02</v>
      </c>
      <c r="U48" s="10">
        <f t="shared" si="11"/>
        <v>92.153846153846146</v>
      </c>
    </row>
    <row r="49" spans="2:21" x14ac:dyDescent="0.2">
      <c r="B49" s="6" t="s">
        <v>55</v>
      </c>
      <c r="C49" s="7">
        <v>4896</v>
      </c>
      <c r="D49" s="8">
        <v>2.58</v>
      </c>
      <c r="E49" s="9">
        <v>2.512</v>
      </c>
      <c r="F49" s="10">
        <f t="shared" si="6"/>
        <v>97.364341085271306</v>
      </c>
      <c r="G49" s="9">
        <v>0.157</v>
      </c>
      <c r="H49" s="9">
        <v>0.16</v>
      </c>
      <c r="I49" s="10">
        <f t="shared" si="7"/>
        <v>98.089171974522287</v>
      </c>
      <c r="J49" s="8">
        <v>0.85</v>
      </c>
      <c r="K49" s="9">
        <v>1.0649999999999999</v>
      </c>
      <c r="L49" s="10">
        <f t="shared" si="8"/>
        <v>74.705882352941174</v>
      </c>
      <c r="M49" s="8">
        <v>0.28000000000000003</v>
      </c>
      <c r="N49" s="9">
        <v>0.23699999999999999</v>
      </c>
      <c r="O49" s="10">
        <f t="shared" si="9"/>
        <v>84.642857142857125</v>
      </c>
      <c r="P49" s="11">
        <v>0.54</v>
      </c>
      <c r="Q49" s="12">
        <v>0.59099999999999997</v>
      </c>
      <c r="R49" s="10">
        <f t="shared" si="10"/>
        <v>90.555555555555571</v>
      </c>
      <c r="S49" s="13">
        <v>13</v>
      </c>
      <c r="T49" s="11">
        <v>13.92</v>
      </c>
      <c r="U49" s="10">
        <f t="shared" si="11"/>
        <v>92.92307692307692</v>
      </c>
    </row>
    <row r="50" spans="2:21" x14ac:dyDescent="0.2">
      <c r="B50" s="6" t="s">
        <v>56</v>
      </c>
      <c r="C50" s="7">
        <v>5519</v>
      </c>
      <c r="D50" s="8">
        <v>2.5499999999999998</v>
      </c>
      <c r="E50" s="9">
        <v>2.5099999999999998</v>
      </c>
      <c r="F50" s="10">
        <f t="shared" si="6"/>
        <v>98.431372549019599</v>
      </c>
      <c r="G50" s="9">
        <v>0.155</v>
      </c>
      <c r="H50" s="9">
        <v>0.16</v>
      </c>
      <c r="I50" s="10">
        <f t="shared" si="7"/>
        <v>96.774193548387103</v>
      </c>
      <c r="J50" s="8">
        <v>0.85</v>
      </c>
      <c r="K50" s="9">
        <v>1.071</v>
      </c>
      <c r="L50" s="10">
        <f t="shared" si="8"/>
        <v>74</v>
      </c>
      <c r="M50" s="8">
        <v>0.26</v>
      </c>
      <c r="N50" s="9">
        <v>0.23300000000000001</v>
      </c>
      <c r="O50" s="10">
        <f t="shared" si="9"/>
        <v>89.615384615384613</v>
      </c>
      <c r="P50" s="11">
        <v>0.52</v>
      </c>
      <c r="Q50" s="12">
        <v>0.58399999999999996</v>
      </c>
      <c r="R50" s="10">
        <f t="shared" si="10"/>
        <v>87.692307692307708</v>
      </c>
      <c r="S50" s="13">
        <v>13</v>
      </c>
      <c r="T50" s="11">
        <v>14.03</v>
      </c>
      <c r="U50" s="10">
        <f t="shared" si="11"/>
        <v>92.07692307692308</v>
      </c>
    </row>
    <row r="51" spans="2:21" x14ac:dyDescent="0.2">
      <c r="B51" s="6" t="s">
        <v>57</v>
      </c>
      <c r="C51" s="7">
        <v>5796</v>
      </c>
      <c r="D51" s="8">
        <v>2.57</v>
      </c>
      <c r="E51" s="9">
        <v>2.516</v>
      </c>
      <c r="F51" s="10">
        <f t="shared" si="6"/>
        <v>97.89883268482491</v>
      </c>
      <c r="G51" s="9">
        <v>0.14799999999999999</v>
      </c>
      <c r="H51" s="9">
        <v>0.16</v>
      </c>
      <c r="I51" s="10">
        <f t="shared" si="7"/>
        <v>91.891891891891888</v>
      </c>
      <c r="J51" s="8">
        <v>0.84</v>
      </c>
      <c r="K51" s="9">
        <v>1.0660000000000001</v>
      </c>
      <c r="L51" s="10">
        <f t="shared" si="8"/>
        <v>73.095238095238074</v>
      </c>
      <c r="M51" s="8">
        <v>0.28999999999999998</v>
      </c>
      <c r="N51" s="9">
        <v>0.23499999999999999</v>
      </c>
      <c r="O51" s="10">
        <f t="shared" si="9"/>
        <v>81.034482758620683</v>
      </c>
      <c r="P51" s="11">
        <v>0.56999999999999995</v>
      </c>
      <c r="Q51" s="12">
        <v>0.58699999999999997</v>
      </c>
      <c r="R51" s="10">
        <f t="shared" si="10"/>
        <v>97.017543859649123</v>
      </c>
      <c r="S51" s="13">
        <v>14</v>
      </c>
      <c r="T51" s="11">
        <v>13.97</v>
      </c>
      <c r="U51" s="10">
        <f t="shared" si="11"/>
        <v>99.785714285714292</v>
      </c>
    </row>
    <row r="52" spans="2:21" x14ac:dyDescent="0.2">
      <c r="B52" s="6" t="s">
        <v>58</v>
      </c>
      <c r="C52" s="7">
        <v>7359</v>
      </c>
      <c r="D52" s="8">
        <v>2.46</v>
      </c>
      <c r="E52" s="9">
        <v>2.5179999999999998</v>
      </c>
      <c r="F52" s="10">
        <f t="shared" si="6"/>
        <v>97.642276422764226</v>
      </c>
      <c r="G52" s="9">
        <v>0.16</v>
      </c>
      <c r="H52" s="9">
        <v>0.16</v>
      </c>
      <c r="I52" s="10">
        <f t="shared" si="7"/>
        <v>100</v>
      </c>
      <c r="J52" s="8">
        <v>0.86</v>
      </c>
      <c r="K52" s="9">
        <v>1.0669999999999999</v>
      </c>
      <c r="L52" s="10">
        <f t="shared" si="8"/>
        <v>75.930232558139537</v>
      </c>
      <c r="M52" s="8">
        <v>0.3</v>
      </c>
      <c r="N52" s="9">
        <v>0.23599999999999999</v>
      </c>
      <c r="O52" s="10">
        <f t="shared" si="9"/>
        <v>78.666666666666657</v>
      </c>
      <c r="P52" s="11">
        <v>0.56999999999999995</v>
      </c>
      <c r="Q52" s="12">
        <v>0.58899999999999997</v>
      </c>
      <c r="R52" s="10">
        <f t="shared" si="10"/>
        <v>96.666666666666671</v>
      </c>
      <c r="S52" s="13">
        <v>13</v>
      </c>
      <c r="T52" s="11">
        <v>13.98</v>
      </c>
      <c r="U52" s="10">
        <f t="shared" si="11"/>
        <v>92.461538461538467</v>
      </c>
    </row>
    <row r="53" spans="2:21" x14ac:dyDescent="0.2">
      <c r="B53" s="6" t="s">
        <v>59</v>
      </c>
      <c r="C53" s="7">
        <v>7137</v>
      </c>
      <c r="D53" s="8">
        <v>2.61</v>
      </c>
      <c r="E53" s="9">
        <v>2.5110000000000001</v>
      </c>
      <c r="F53" s="10">
        <f t="shared" si="6"/>
        <v>96.206896551724142</v>
      </c>
      <c r="G53" s="9">
        <v>0.156</v>
      </c>
      <c r="H53" s="9">
        <v>0.16</v>
      </c>
      <c r="I53" s="10">
        <f t="shared" si="7"/>
        <v>97.435897435897431</v>
      </c>
      <c r="J53" s="8">
        <v>0.8</v>
      </c>
      <c r="K53" s="9">
        <v>1.0680000000000001</v>
      </c>
      <c r="L53" s="10">
        <f t="shared" si="8"/>
        <v>66.5</v>
      </c>
      <c r="M53" s="8">
        <v>0.26</v>
      </c>
      <c r="N53" s="9">
        <v>0.23400000000000001</v>
      </c>
      <c r="O53" s="10">
        <f t="shared" si="9"/>
        <v>90</v>
      </c>
      <c r="P53" s="11">
        <v>0.62</v>
      </c>
      <c r="Q53" s="12">
        <v>0.58599999999999997</v>
      </c>
      <c r="R53" s="10">
        <f t="shared" si="10"/>
        <v>94.51612903225805</v>
      </c>
      <c r="S53" s="13">
        <v>13</v>
      </c>
      <c r="T53" s="11">
        <v>13.97</v>
      </c>
      <c r="U53" s="10">
        <f t="shared" si="11"/>
        <v>92.538461538461533</v>
      </c>
    </row>
    <row r="54" spans="2:21" x14ac:dyDescent="0.2">
      <c r="B54" s="6" t="s">
        <v>60</v>
      </c>
      <c r="C54" s="7">
        <v>5928</v>
      </c>
      <c r="D54" s="8">
        <v>2.59</v>
      </c>
      <c r="E54" s="9">
        <v>2.508</v>
      </c>
      <c r="F54" s="10">
        <f t="shared" si="6"/>
        <v>96.833976833976848</v>
      </c>
      <c r="G54" s="9">
        <v>0.156</v>
      </c>
      <c r="H54" s="9">
        <v>0.16</v>
      </c>
      <c r="I54" s="10">
        <f t="shared" si="7"/>
        <v>97.435897435897431</v>
      </c>
      <c r="J54" s="8">
        <v>0.8</v>
      </c>
      <c r="K54" s="9">
        <v>1.071</v>
      </c>
      <c r="L54" s="10">
        <f t="shared" si="8"/>
        <v>66.125000000000014</v>
      </c>
      <c r="M54" s="8">
        <v>0.26</v>
      </c>
      <c r="N54" s="9">
        <v>0.23300000000000001</v>
      </c>
      <c r="O54" s="10">
        <f t="shared" si="9"/>
        <v>89.615384615384613</v>
      </c>
      <c r="P54" s="11">
        <v>0.62</v>
      </c>
      <c r="Q54" s="12">
        <v>0.58299999999999996</v>
      </c>
      <c r="R54" s="10">
        <f t="shared" si="10"/>
        <v>94.032258064516128</v>
      </c>
      <c r="S54" s="13">
        <v>13</v>
      </c>
      <c r="T54" s="11">
        <v>14.02</v>
      </c>
      <c r="U54" s="10">
        <f t="shared" si="11"/>
        <v>92.153846153846146</v>
      </c>
    </row>
    <row r="55" spans="2:21" x14ac:dyDescent="0.2">
      <c r="B55" s="6" t="s">
        <v>61</v>
      </c>
      <c r="C55" s="7">
        <v>4992</v>
      </c>
      <c r="D55" s="8">
        <v>2.54</v>
      </c>
      <c r="E55" s="9">
        <v>2.5110000000000001</v>
      </c>
      <c r="F55" s="10">
        <f t="shared" si="6"/>
        <v>98.858267716535437</v>
      </c>
      <c r="G55" s="9">
        <v>0.159</v>
      </c>
      <c r="H55" s="9">
        <v>0.16</v>
      </c>
      <c r="I55" s="10">
        <f t="shared" si="7"/>
        <v>99.371069182389931</v>
      </c>
      <c r="J55" s="8">
        <v>0.8</v>
      </c>
      <c r="K55" s="9">
        <v>1.071</v>
      </c>
      <c r="L55" s="10">
        <f t="shared" si="8"/>
        <v>66.125000000000014</v>
      </c>
      <c r="M55" s="8">
        <v>0.26</v>
      </c>
      <c r="N55" s="9">
        <v>0.23300000000000001</v>
      </c>
      <c r="O55" s="10">
        <f t="shared" si="9"/>
        <v>89.615384615384613</v>
      </c>
      <c r="P55" s="11">
        <v>0.57999999999999996</v>
      </c>
      <c r="Q55" s="12">
        <v>0.58499999999999996</v>
      </c>
      <c r="R55" s="10">
        <f t="shared" si="10"/>
        <v>99.137931034482762</v>
      </c>
      <c r="S55" s="13">
        <v>15</v>
      </c>
      <c r="T55" s="11">
        <v>14.02</v>
      </c>
      <c r="U55" s="10">
        <f t="shared" si="11"/>
        <v>93.466666666666669</v>
      </c>
    </row>
    <row r="56" spans="2:21" x14ac:dyDescent="0.2">
      <c r="B56" s="6" t="s">
        <v>62</v>
      </c>
      <c r="C56" s="7">
        <v>8090</v>
      </c>
      <c r="D56" s="8">
        <v>2.63</v>
      </c>
      <c r="E56" s="9">
        <v>2.508</v>
      </c>
      <c r="F56" s="10">
        <f t="shared" si="6"/>
        <v>95.361216730038024</v>
      </c>
      <c r="G56" s="9">
        <v>0.16200000000000001</v>
      </c>
      <c r="H56" s="9">
        <v>0.16</v>
      </c>
      <c r="I56" s="10">
        <f t="shared" si="7"/>
        <v>98.76543209876543</v>
      </c>
      <c r="J56" s="8">
        <v>0.88</v>
      </c>
      <c r="K56" s="9">
        <v>1.071</v>
      </c>
      <c r="L56" s="10">
        <f t="shared" si="8"/>
        <v>78.295454545454547</v>
      </c>
      <c r="M56" s="8">
        <v>0.28999999999999998</v>
      </c>
      <c r="N56" s="9">
        <v>0.23300000000000001</v>
      </c>
      <c r="O56" s="10">
        <f t="shared" si="9"/>
        <v>80.344827586206918</v>
      </c>
      <c r="P56" s="11">
        <v>0.53</v>
      </c>
      <c r="Q56" s="12">
        <v>0.58399999999999996</v>
      </c>
      <c r="R56" s="10">
        <f t="shared" si="10"/>
        <v>89.811320754716988</v>
      </c>
      <c r="S56" s="13">
        <v>13</v>
      </c>
      <c r="T56" s="11">
        <v>14.03</v>
      </c>
      <c r="U56" s="10">
        <f t="shared" si="11"/>
        <v>92.07692307692308</v>
      </c>
    </row>
    <row r="57" spans="2:21" x14ac:dyDescent="0.2">
      <c r="B57" s="6" t="s">
        <v>63</v>
      </c>
      <c r="C57" s="7">
        <v>4867</v>
      </c>
      <c r="D57" s="8">
        <v>2.5299999999999998</v>
      </c>
      <c r="E57" s="9">
        <v>2.5110000000000001</v>
      </c>
      <c r="F57" s="10">
        <f t="shared" si="6"/>
        <v>99.249011857707529</v>
      </c>
      <c r="G57" s="9">
        <v>0.16500000000000001</v>
      </c>
      <c r="H57" s="9">
        <v>0.16</v>
      </c>
      <c r="I57" s="10">
        <f t="shared" si="7"/>
        <v>96.969696969696969</v>
      </c>
      <c r="J57" s="8">
        <v>0.82</v>
      </c>
      <c r="K57" s="9">
        <v>1.071</v>
      </c>
      <c r="L57" s="10">
        <f t="shared" si="8"/>
        <v>69.390243902439025</v>
      </c>
      <c r="M57" s="8">
        <v>0.27</v>
      </c>
      <c r="N57" s="9">
        <v>0.23300000000000001</v>
      </c>
      <c r="O57" s="10">
        <f t="shared" si="9"/>
        <v>86.296296296296291</v>
      </c>
      <c r="P57" s="11">
        <v>0.59</v>
      </c>
      <c r="Q57" s="12">
        <v>0.58399999999999996</v>
      </c>
      <c r="R57" s="10">
        <f t="shared" si="10"/>
        <v>98.983050847457619</v>
      </c>
      <c r="S57" s="13">
        <v>15</v>
      </c>
      <c r="T57" s="11">
        <v>14.02</v>
      </c>
      <c r="U57" s="10">
        <f t="shared" si="11"/>
        <v>93.466666666666669</v>
      </c>
    </row>
    <row r="58" spans="2:21" x14ac:dyDescent="0.2">
      <c r="B58" s="6" t="s">
        <v>64</v>
      </c>
      <c r="C58" s="7">
        <v>5969</v>
      </c>
      <c r="D58" s="8">
        <v>2.62</v>
      </c>
      <c r="E58" s="9">
        <v>2.512</v>
      </c>
      <c r="F58" s="10">
        <f t="shared" si="6"/>
        <v>95.877862595419842</v>
      </c>
      <c r="G58" s="9">
        <v>0.16400000000000001</v>
      </c>
      <c r="H58" s="9">
        <v>0.16</v>
      </c>
      <c r="I58" s="10">
        <f t="shared" si="7"/>
        <v>97.560975609756099</v>
      </c>
      <c r="J58" s="8">
        <v>0.84</v>
      </c>
      <c r="K58" s="9">
        <v>1.071</v>
      </c>
      <c r="L58" s="10">
        <f t="shared" si="8"/>
        <v>72.500000000000014</v>
      </c>
      <c r="M58" s="8">
        <v>0.27</v>
      </c>
      <c r="N58" s="9">
        <v>0.23300000000000001</v>
      </c>
      <c r="O58" s="10">
        <f t="shared" si="9"/>
        <v>86.296296296296291</v>
      </c>
      <c r="P58" s="11">
        <v>0.5</v>
      </c>
      <c r="Q58" s="12">
        <v>0.58499999999999996</v>
      </c>
      <c r="R58" s="10">
        <f t="shared" si="10"/>
        <v>83</v>
      </c>
      <c r="S58" s="13">
        <v>13</v>
      </c>
      <c r="T58" s="11">
        <v>14.01</v>
      </c>
      <c r="U58" s="10">
        <f t="shared" si="11"/>
        <v>92.230769230769226</v>
      </c>
    </row>
    <row r="59" spans="2:21" x14ac:dyDescent="0.2">
      <c r="B59" s="6" t="s">
        <v>65</v>
      </c>
      <c r="C59" s="7">
        <v>5516</v>
      </c>
      <c r="D59" s="8">
        <v>2.63</v>
      </c>
      <c r="E59" s="9">
        <v>2.512</v>
      </c>
      <c r="F59" s="10">
        <f t="shared" si="6"/>
        <v>95.51330798479087</v>
      </c>
      <c r="G59" s="9">
        <v>0.161</v>
      </c>
      <c r="H59" s="9">
        <v>0.16</v>
      </c>
      <c r="I59" s="10">
        <f t="shared" si="7"/>
        <v>99.378881987577643</v>
      </c>
      <c r="J59" s="8">
        <v>0.97</v>
      </c>
      <c r="K59" s="9">
        <v>1.071</v>
      </c>
      <c r="L59" s="10">
        <f t="shared" si="8"/>
        <v>89.587628865979383</v>
      </c>
      <c r="M59" s="8">
        <v>0.24</v>
      </c>
      <c r="N59" s="9">
        <v>0.23300000000000001</v>
      </c>
      <c r="O59" s="10">
        <f t="shared" si="9"/>
        <v>97.083333333333343</v>
      </c>
      <c r="P59" s="11">
        <v>0.48</v>
      </c>
      <c r="Q59" s="12">
        <v>0.58499999999999996</v>
      </c>
      <c r="R59" s="10">
        <f t="shared" si="10"/>
        <v>78.125</v>
      </c>
      <c r="S59" s="13">
        <v>13</v>
      </c>
      <c r="T59" s="11">
        <v>14.01</v>
      </c>
      <c r="U59" s="10">
        <f t="shared" si="11"/>
        <v>92.230769230769226</v>
      </c>
    </row>
    <row r="60" spans="2:21" x14ac:dyDescent="0.2">
      <c r="B60" s="6" t="s">
        <v>66</v>
      </c>
      <c r="C60" s="7">
        <v>5352</v>
      </c>
      <c r="D60" s="8">
        <v>2.65</v>
      </c>
      <c r="E60" s="9">
        <v>2.5139999999999998</v>
      </c>
      <c r="F60" s="10">
        <f t="shared" si="6"/>
        <v>94.867924528301884</v>
      </c>
      <c r="G60" s="9">
        <v>0.16</v>
      </c>
      <c r="H60" s="9">
        <v>0.16</v>
      </c>
      <c r="I60" s="10">
        <f t="shared" si="7"/>
        <v>100</v>
      </c>
      <c r="J60" s="8">
        <v>0.81</v>
      </c>
      <c r="K60" s="9">
        <v>1.0720000000000001</v>
      </c>
      <c r="L60" s="10">
        <f t="shared" si="8"/>
        <v>67.654320987654316</v>
      </c>
      <c r="M60" s="8">
        <v>0.27</v>
      </c>
      <c r="N60" s="9">
        <v>0.23300000000000001</v>
      </c>
      <c r="O60" s="10">
        <f t="shared" si="9"/>
        <v>86.296296296296291</v>
      </c>
      <c r="P60" s="11">
        <v>0.52</v>
      </c>
      <c r="Q60" s="12">
        <v>0.58499999999999996</v>
      </c>
      <c r="R60" s="10">
        <f t="shared" si="10"/>
        <v>87.500000000000014</v>
      </c>
      <c r="S60" s="13">
        <v>14</v>
      </c>
      <c r="T60" s="11">
        <v>14.03</v>
      </c>
      <c r="U60" s="10">
        <f t="shared" si="11"/>
        <v>99.785714285714292</v>
      </c>
    </row>
    <row r="61" spans="2:21" x14ac:dyDescent="0.2">
      <c r="B61" s="6" t="s">
        <v>67</v>
      </c>
      <c r="C61" s="7">
        <v>4632</v>
      </c>
      <c r="D61" s="8">
        <v>2.52</v>
      </c>
      <c r="E61" s="9">
        <v>2.512</v>
      </c>
      <c r="F61" s="10">
        <f t="shared" si="6"/>
        <v>99.682539682539684</v>
      </c>
      <c r="G61" s="9">
        <v>0.156</v>
      </c>
      <c r="H61" s="9">
        <v>0.16</v>
      </c>
      <c r="I61" s="10">
        <f t="shared" si="7"/>
        <v>97.435897435897431</v>
      </c>
      <c r="J61" s="8">
        <v>0.87</v>
      </c>
      <c r="K61" s="9">
        <v>1.0720000000000001</v>
      </c>
      <c r="L61" s="10">
        <f t="shared" si="8"/>
        <v>76.781609195402297</v>
      </c>
      <c r="M61" s="8">
        <v>0.24</v>
      </c>
      <c r="N61" s="9">
        <v>0.23300000000000001</v>
      </c>
      <c r="O61" s="10">
        <f t="shared" si="9"/>
        <v>97.083333333333343</v>
      </c>
      <c r="P61" s="11">
        <v>0.52</v>
      </c>
      <c r="Q61" s="12">
        <v>0.58499999999999996</v>
      </c>
      <c r="R61" s="10">
        <f t="shared" si="10"/>
        <v>87.500000000000014</v>
      </c>
      <c r="S61" s="13">
        <v>15</v>
      </c>
      <c r="T61" s="11">
        <v>14.02</v>
      </c>
      <c r="U61" s="10">
        <f t="shared" si="11"/>
        <v>93.466666666666669</v>
      </c>
    </row>
    <row r="62" spans="2:21" x14ac:dyDescent="0.2">
      <c r="B62" s="6" t="s">
        <v>68</v>
      </c>
      <c r="C62" s="7">
        <v>4417</v>
      </c>
      <c r="D62" s="8">
        <v>2.62</v>
      </c>
      <c r="E62" s="9">
        <v>2.512</v>
      </c>
      <c r="F62" s="10">
        <f t="shared" si="6"/>
        <v>95.877862595419842</v>
      </c>
      <c r="G62" s="9">
        <v>0.16</v>
      </c>
      <c r="H62" s="9">
        <v>0.16</v>
      </c>
      <c r="I62" s="10">
        <f t="shared" si="7"/>
        <v>100</v>
      </c>
      <c r="J62" s="8">
        <v>0.85</v>
      </c>
      <c r="K62" s="9">
        <v>1.071</v>
      </c>
      <c r="L62" s="10">
        <f t="shared" si="8"/>
        <v>74</v>
      </c>
      <c r="M62" s="8">
        <v>0.24</v>
      </c>
      <c r="N62" s="9">
        <v>0.23300000000000001</v>
      </c>
      <c r="O62" s="10">
        <f t="shared" si="9"/>
        <v>97.083333333333343</v>
      </c>
      <c r="P62" s="11">
        <v>0.53</v>
      </c>
      <c r="Q62" s="12">
        <v>0.58599999999999997</v>
      </c>
      <c r="R62" s="10">
        <f t="shared" si="10"/>
        <v>89.433962264150964</v>
      </c>
      <c r="S62" s="13">
        <v>15</v>
      </c>
      <c r="T62" s="11">
        <v>14.01</v>
      </c>
      <c r="U62" s="10">
        <f t="shared" si="11"/>
        <v>93.399999999999991</v>
      </c>
    </row>
    <row r="63" spans="2:21" x14ac:dyDescent="0.2">
      <c r="B63" s="6" t="s">
        <v>69</v>
      </c>
      <c r="C63" s="7">
        <v>3783</v>
      </c>
      <c r="D63" s="8">
        <v>2.59</v>
      </c>
      <c r="E63" s="9">
        <v>2.5129999999999999</v>
      </c>
      <c r="F63" s="10">
        <f t="shared" si="6"/>
        <v>97.027027027027017</v>
      </c>
      <c r="G63" s="9">
        <v>0.158</v>
      </c>
      <c r="H63" s="9">
        <v>0.16</v>
      </c>
      <c r="I63" s="10">
        <f t="shared" si="7"/>
        <v>98.734177215189874</v>
      </c>
      <c r="J63" s="8">
        <v>0.87</v>
      </c>
      <c r="K63" s="9">
        <v>1.0720000000000001</v>
      </c>
      <c r="L63" s="10">
        <f t="shared" si="8"/>
        <v>76.781609195402297</v>
      </c>
      <c r="M63" s="8">
        <v>0.23</v>
      </c>
      <c r="N63" s="9">
        <v>0.23300000000000001</v>
      </c>
      <c r="O63" s="10">
        <f t="shared" si="9"/>
        <v>98.695652173913047</v>
      </c>
      <c r="P63" s="11">
        <v>0.52</v>
      </c>
      <c r="Q63" s="12">
        <v>0.58599999999999997</v>
      </c>
      <c r="R63" s="10">
        <f t="shared" si="10"/>
        <v>87.307692307692321</v>
      </c>
      <c r="S63" s="13">
        <v>15</v>
      </c>
      <c r="T63" s="11">
        <v>14.02</v>
      </c>
      <c r="U63" s="10">
        <f t="shared" si="11"/>
        <v>93.466666666666669</v>
      </c>
    </row>
    <row r="64" spans="2:21" x14ac:dyDescent="0.2">
      <c r="B64" s="6" t="s">
        <v>70</v>
      </c>
      <c r="C64" s="7">
        <v>5201</v>
      </c>
      <c r="D64" s="8">
        <v>2.67</v>
      </c>
      <c r="E64" s="9">
        <v>2.5099999999999998</v>
      </c>
      <c r="F64" s="10">
        <f t="shared" si="6"/>
        <v>94.007490636704119</v>
      </c>
      <c r="G64" s="9">
        <v>0.16400000000000001</v>
      </c>
      <c r="H64" s="9">
        <v>0.16</v>
      </c>
      <c r="I64" s="10">
        <f t="shared" si="7"/>
        <v>97.560975609756099</v>
      </c>
      <c r="J64" s="8">
        <v>0.87</v>
      </c>
      <c r="K64" s="9">
        <v>1.071</v>
      </c>
      <c r="L64" s="10">
        <f t="shared" si="8"/>
        <v>76.896551724137936</v>
      </c>
      <c r="M64" s="8">
        <v>0.26</v>
      </c>
      <c r="N64" s="9">
        <v>0.23300000000000001</v>
      </c>
      <c r="O64" s="10">
        <f t="shared" si="9"/>
        <v>89.615384615384613</v>
      </c>
      <c r="P64" s="11">
        <v>0.42</v>
      </c>
      <c r="Q64" s="12">
        <v>0.58499999999999996</v>
      </c>
      <c r="R64" s="10">
        <f t="shared" si="10"/>
        <v>60.714285714285722</v>
      </c>
      <c r="S64" s="13">
        <v>12</v>
      </c>
      <c r="T64" s="11">
        <v>14.02</v>
      </c>
      <c r="U64" s="10">
        <f t="shared" si="11"/>
        <v>83.166666666666671</v>
      </c>
    </row>
    <row r="65" spans="1:21" x14ac:dyDescent="0.2">
      <c r="B65" s="6" t="s">
        <v>71</v>
      </c>
      <c r="C65" s="7">
        <v>6049</v>
      </c>
      <c r="D65" s="8">
        <v>2.64</v>
      </c>
      <c r="E65" s="9">
        <v>2.512</v>
      </c>
      <c r="F65" s="10">
        <f t="shared" si="6"/>
        <v>95.151515151515142</v>
      </c>
      <c r="G65" s="9">
        <v>0.16</v>
      </c>
      <c r="H65" s="9">
        <v>0.16</v>
      </c>
      <c r="I65" s="10">
        <f t="shared" si="7"/>
        <v>100</v>
      </c>
      <c r="J65" s="8">
        <v>0.85</v>
      </c>
      <c r="K65" s="9">
        <v>1.071</v>
      </c>
      <c r="L65" s="10">
        <f t="shared" si="8"/>
        <v>74</v>
      </c>
      <c r="M65" s="8">
        <v>0.25</v>
      </c>
      <c r="N65" s="9">
        <v>0.23300000000000001</v>
      </c>
      <c r="O65" s="10">
        <f t="shared" si="9"/>
        <v>93.2</v>
      </c>
      <c r="P65" s="11">
        <v>0.46</v>
      </c>
      <c r="Q65" s="12">
        <v>0.58499999999999996</v>
      </c>
      <c r="R65" s="10">
        <f t="shared" si="10"/>
        <v>72.826086956521749</v>
      </c>
      <c r="S65" s="13">
        <v>12</v>
      </c>
      <c r="T65" s="11">
        <v>14.01</v>
      </c>
      <c r="U65" s="10">
        <f t="shared" si="11"/>
        <v>83.25</v>
      </c>
    </row>
    <row r="66" spans="1:21" x14ac:dyDescent="0.2">
      <c r="B66" s="6" t="s">
        <v>72</v>
      </c>
      <c r="C66" s="7">
        <v>5844</v>
      </c>
      <c r="D66" s="8">
        <v>2.5299999999999998</v>
      </c>
      <c r="E66" s="9">
        <v>2.512</v>
      </c>
      <c r="F66" s="10">
        <f t="shared" si="6"/>
        <v>99.288537549407124</v>
      </c>
      <c r="G66" s="9">
        <v>0.159</v>
      </c>
      <c r="H66" s="9">
        <v>0.16</v>
      </c>
      <c r="I66" s="10">
        <f t="shared" si="7"/>
        <v>99.371069182389931</v>
      </c>
      <c r="J66" s="8">
        <v>0.87</v>
      </c>
      <c r="K66" s="9">
        <v>1.071</v>
      </c>
      <c r="L66" s="10">
        <f t="shared" si="8"/>
        <v>76.896551724137936</v>
      </c>
      <c r="M66" s="8">
        <v>0.24</v>
      </c>
      <c r="N66" s="9">
        <v>0.23300000000000001</v>
      </c>
      <c r="O66" s="10">
        <f t="shared" si="9"/>
        <v>97.083333333333343</v>
      </c>
      <c r="P66" s="11">
        <v>0.54</v>
      </c>
      <c r="Q66" s="12">
        <v>0.58499999999999996</v>
      </c>
      <c r="R66" s="10">
        <f t="shared" si="10"/>
        <v>91.666666666666686</v>
      </c>
      <c r="S66" s="13">
        <v>15</v>
      </c>
      <c r="T66" s="11">
        <v>14.01</v>
      </c>
      <c r="U66" s="10">
        <f t="shared" si="11"/>
        <v>93.399999999999991</v>
      </c>
    </row>
    <row r="67" spans="1:21" x14ac:dyDescent="0.2">
      <c r="B67" s="6" t="s">
        <v>73</v>
      </c>
      <c r="C67" s="7">
        <v>4073</v>
      </c>
      <c r="D67" s="8">
        <v>2.61</v>
      </c>
      <c r="E67" s="9">
        <v>2.5110000000000001</v>
      </c>
      <c r="F67" s="10">
        <f t="shared" si="6"/>
        <v>96.206896551724142</v>
      </c>
      <c r="G67" s="9">
        <v>0.161</v>
      </c>
      <c r="H67" s="9">
        <v>0.16</v>
      </c>
      <c r="I67" s="10">
        <f t="shared" si="7"/>
        <v>99.378881987577643</v>
      </c>
      <c r="J67" s="8">
        <v>0.96</v>
      </c>
      <c r="K67" s="9">
        <v>1.071</v>
      </c>
      <c r="L67" s="10">
        <f t="shared" si="8"/>
        <v>88.4375</v>
      </c>
      <c r="M67" s="8">
        <v>0.23</v>
      </c>
      <c r="N67" s="9">
        <v>0.23300000000000001</v>
      </c>
      <c r="O67" s="10">
        <f t="shared" si="9"/>
        <v>98.695652173913047</v>
      </c>
      <c r="P67" s="11">
        <v>0.45</v>
      </c>
      <c r="Q67" s="12">
        <v>0.58499999999999996</v>
      </c>
      <c r="R67" s="10">
        <f t="shared" si="10"/>
        <v>70.000000000000014</v>
      </c>
      <c r="S67" s="13">
        <v>12</v>
      </c>
      <c r="T67" s="11">
        <v>14.02</v>
      </c>
      <c r="U67" s="10">
        <f t="shared" si="11"/>
        <v>83.166666666666671</v>
      </c>
    </row>
    <row r="68" spans="1:21" x14ac:dyDescent="0.2">
      <c r="B68" s="6" t="s">
        <v>74</v>
      </c>
      <c r="C68" s="7">
        <v>4179</v>
      </c>
      <c r="D68" s="8">
        <v>2.57</v>
      </c>
      <c r="E68" s="9">
        <v>2.512</v>
      </c>
      <c r="F68" s="10">
        <f t="shared" si="6"/>
        <v>97.743190661478607</v>
      </c>
      <c r="G68" s="9">
        <v>0.155</v>
      </c>
      <c r="H68" s="9">
        <v>0.16</v>
      </c>
      <c r="I68" s="10">
        <f t="shared" si="7"/>
        <v>96.774193548387103</v>
      </c>
      <c r="J68" s="8">
        <v>0.83</v>
      </c>
      <c r="K68" s="9">
        <v>1.071</v>
      </c>
      <c r="L68" s="10">
        <f t="shared" si="8"/>
        <v>70.963855421686745</v>
      </c>
      <c r="M68" s="8">
        <v>0.24</v>
      </c>
      <c r="N68" s="9">
        <v>0.23300000000000001</v>
      </c>
      <c r="O68" s="10">
        <f t="shared" si="9"/>
        <v>97.083333333333343</v>
      </c>
      <c r="P68" s="11">
        <v>0.52</v>
      </c>
      <c r="Q68" s="12">
        <v>0.58499999999999996</v>
      </c>
      <c r="R68" s="10">
        <f t="shared" si="10"/>
        <v>87.500000000000014</v>
      </c>
      <c r="S68" s="13">
        <v>15</v>
      </c>
      <c r="T68" s="11">
        <v>14.03</v>
      </c>
      <c r="U68" s="10">
        <f t="shared" si="11"/>
        <v>93.533333333333331</v>
      </c>
    </row>
    <row r="69" spans="1:21" ht="17" thickBot="1" x14ac:dyDescent="0.25">
      <c r="B69" s="6" t="s">
        <v>75</v>
      </c>
      <c r="C69" s="7">
        <v>6184</v>
      </c>
      <c r="D69" s="8">
        <v>2.59</v>
      </c>
      <c r="E69" s="9">
        <v>2.5209999999999999</v>
      </c>
      <c r="F69" s="15">
        <f>(1-ABS(D69-E69)/D69)*100</f>
        <v>97.335907335907336</v>
      </c>
      <c r="G69" s="9">
        <v>0.16200000000000001</v>
      </c>
      <c r="H69" s="9">
        <v>0.161</v>
      </c>
      <c r="I69" s="15">
        <f>(1-ABS(G69-H69)/G69)*100</f>
        <v>99.382716049382708</v>
      </c>
      <c r="J69" s="8">
        <v>0.86</v>
      </c>
      <c r="K69" s="9">
        <v>1.073</v>
      </c>
      <c r="L69" s="15">
        <f>(1-ABS(J69-K69)/J69)*100</f>
        <v>75.232558139534888</v>
      </c>
      <c r="M69" s="8">
        <v>0.23</v>
      </c>
      <c r="N69" s="9">
        <v>0.24099999999999999</v>
      </c>
      <c r="O69" s="15">
        <f>(1-ABS(M69-N69)/M69)*100</f>
        <v>95.217391304347828</v>
      </c>
      <c r="P69" s="11">
        <v>0.43</v>
      </c>
      <c r="Q69" s="12">
        <v>0.59199999999999997</v>
      </c>
      <c r="R69" s="15">
        <f>(1-ABS(P69-Q69)/P69)*100</f>
        <v>62.325581395348841</v>
      </c>
      <c r="S69" s="13">
        <v>12</v>
      </c>
      <c r="T69" s="11">
        <v>13.98</v>
      </c>
      <c r="U69" s="15">
        <f>(1-ABS(S69-T69)/S69)*100</f>
        <v>83.5</v>
      </c>
    </row>
    <row r="70" spans="1:21" ht="35" thickBot="1" x14ac:dyDescent="0.25">
      <c r="A70" s="1" t="s">
        <v>79</v>
      </c>
      <c r="F70" s="32">
        <f>AVERAGE(F7:F69)</f>
        <v>97.037425243245792</v>
      </c>
      <c r="I70" s="32">
        <f>AVERAGE(I7:I69)</f>
        <v>97.246280598823859</v>
      </c>
      <c r="L70" s="33">
        <f>AVERAGE(L7:L69)</f>
        <v>74.326206111196981</v>
      </c>
      <c r="O70" s="32">
        <f>AVERAGE(O7:O69)</f>
        <v>92.112345498375106</v>
      </c>
      <c r="R70" s="32">
        <f>AVERAGE(R7:R69)</f>
        <v>85.600258568444715</v>
      </c>
      <c r="U70" s="32">
        <f>AVERAGE(U7:U69)</f>
        <v>91.895613373554525</v>
      </c>
    </row>
    <row r="71" spans="1:21" ht="40" customHeight="1" x14ac:dyDescent="0.2">
      <c r="A71" s="14" t="s">
        <v>24</v>
      </c>
      <c r="B71" s="28" t="s">
        <v>76</v>
      </c>
      <c r="C71" s="25"/>
      <c r="D71" s="21">
        <f>RSQ(E7:E69, D7:D69)</f>
        <v>5.2150377463207884E-4</v>
      </c>
      <c r="E71" s="19"/>
      <c r="F71" s="22"/>
      <c r="G71" s="21">
        <f>RSQ(H7:H69, G7:G69)</f>
        <v>4.4993608406475169E-3</v>
      </c>
      <c r="H71" s="19"/>
      <c r="I71" s="22"/>
      <c r="J71" s="21">
        <f>RSQ(K7:K69, J7:J69)</f>
        <v>2.6918255301542408E-6</v>
      </c>
      <c r="K71" s="19"/>
      <c r="L71" s="22"/>
      <c r="M71" s="21">
        <f>RSQ(N7:N69, M7:M69)</f>
        <v>3.3183775980570613E-3</v>
      </c>
      <c r="N71" s="19"/>
      <c r="O71" s="22"/>
      <c r="P71" s="18">
        <f>RSQ(Q7:Q69, P7:P69)</f>
        <v>7.2164499200330547E-3</v>
      </c>
      <c r="Q71" s="19"/>
      <c r="R71" s="22"/>
      <c r="S71" s="18">
        <f>RSQ(T7:T69, S7:S69)</f>
        <v>7.1355941274063904E-3</v>
      </c>
      <c r="T71" s="19"/>
      <c r="U71" s="22"/>
    </row>
    <row r="72" spans="1:21" ht="39" customHeight="1" x14ac:dyDescent="0.2">
      <c r="A72" s="14" t="s">
        <v>22</v>
      </c>
      <c r="B72" s="28" t="s">
        <v>77</v>
      </c>
      <c r="C72" s="25"/>
      <c r="D72" s="21">
        <f>SUMPRODUCT(ABS(D7:D69-E7:E69))/COUNT(D7:D69)</f>
        <v>7.7396825396825339E-2</v>
      </c>
      <c r="E72" s="19"/>
      <c r="F72" s="20"/>
      <c r="G72" s="21">
        <f>SUMPRODUCT(ABS(G7:G69-H7:H69))/COUNT(G7:G69)</f>
        <v>4.3174603174603214E-3</v>
      </c>
      <c r="H72" s="19"/>
      <c r="I72" s="20"/>
      <c r="J72" s="21">
        <f>SUMPRODUCT(ABS(J7:J69-K7:K69))/COUNT(J7:J69)</f>
        <v>0.2160952380952382</v>
      </c>
      <c r="K72" s="19"/>
      <c r="L72" s="20"/>
      <c r="M72" s="21">
        <f>SUMPRODUCT(ABS(M7:M69-N7:N69))/COUNT(M7:M69)</f>
        <v>2.0857142857142852E-2</v>
      </c>
      <c r="N72" s="19"/>
      <c r="O72" s="20"/>
      <c r="P72" s="18">
        <f>SUMPRODUCT(ABS(P7:P69-Q7:Q69))/COUNT(P7:P69)</f>
        <v>7.0650793650793617E-2</v>
      </c>
      <c r="Q72" s="19"/>
      <c r="R72" s="20"/>
      <c r="S72" s="18">
        <f>SUMPRODUCT(ABS(S7:S69-T7:T69))/COUNT(S7:S69)</f>
        <v>1.0893650793650795</v>
      </c>
      <c r="T72" s="19"/>
      <c r="U72" s="20"/>
    </row>
    <row r="73" spans="1:21" ht="66" customHeight="1" x14ac:dyDescent="0.2">
      <c r="A73" s="14" t="s">
        <v>22</v>
      </c>
      <c r="B73" s="28" t="s">
        <v>78</v>
      </c>
      <c r="C73" s="25"/>
      <c r="D73" s="21">
        <f>SQRT(SUMXMY2(D7:D69, E7:E69)/COUNT(D7:D69))</f>
        <v>9.0604670680966268E-2</v>
      </c>
      <c r="E73" s="19"/>
      <c r="F73" s="20"/>
      <c r="G73" s="21">
        <f>SQRT(SUMXMY2(G7:G69, H7:H69)/COUNT(G7:G69))</f>
        <v>5.3034879208860436E-3</v>
      </c>
      <c r="H73" s="19"/>
      <c r="I73" s="20"/>
      <c r="J73" s="21">
        <f>SQRT(SUMXMY2(J7:J69, K7:K69)/COUNT(J7:J69))</f>
        <v>0.22137492437685241</v>
      </c>
      <c r="K73" s="19"/>
      <c r="L73" s="20"/>
      <c r="M73" s="21">
        <f>SQRT(SUMXMY2(M7:M69, N7:N69)/COUNT(M7:M69))</f>
        <v>2.5919901038415832E-2</v>
      </c>
      <c r="N73" s="19"/>
      <c r="O73" s="20"/>
      <c r="P73" s="18">
        <f>SQRT(SUMXMY2(P7:P69, Q7:Q69)/COUNT(P7:P69))</f>
        <v>8.1359187928084997E-2</v>
      </c>
      <c r="Q73" s="19"/>
      <c r="R73" s="20"/>
      <c r="S73" s="18">
        <f>SQRT(SUMXMY2(S7:S69, T7:T69)/COUNT(S7:S69))</f>
        <v>1.2162673839277076</v>
      </c>
      <c r="T73" s="19"/>
      <c r="U73" s="20"/>
    </row>
  </sheetData>
  <mergeCells count="31">
    <mergeCell ref="B4:O4"/>
    <mergeCell ref="B73:C73"/>
    <mergeCell ref="D71:F71"/>
    <mergeCell ref="J71:L71"/>
    <mergeCell ref="P71:R71"/>
    <mergeCell ref="P73:R73"/>
    <mergeCell ref="B72:C72"/>
    <mergeCell ref="D73:F73"/>
    <mergeCell ref="B71:C71"/>
    <mergeCell ref="G5:I5"/>
    <mergeCell ref="D72:F72"/>
    <mergeCell ref="M73:O73"/>
    <mergeCell ref="G73:I73"/>
    <mergeCell ref="B5:B6"/>
    <mergeCell ref="P4:U4"/>
    <mergeCell ref="J73:L73"/>
    <mergeCell ref="C5:C6"/>
    <mergeCell ref="S73:U73"/>
    <mergeCell ref="G71:I71"/>
    <mergeCell ref="S72:U72"/>
    <mergeCell ref="M5:O5"/>
    <mergeCell ref="M71:O71"/>
    <mergeCell ref="S71:U71"/>
    <mergeCell ref="S5:U5"/>
    <mergeCell ref="J72:L72"/>
    <mergeCell ref="D5:F5"/>
    <mergeCell ref="P72:R72"/>
    <mergeCell ref="P5:R5"/>
    <mergeCell ref="M72:O72"/>
    <mergeCell ref="J5:L5"/>
    <mergeCell ref="G72:I72"/>
  </mergeCells>
  <conditionalFormatting sqref="F7:F69 I7:I69 L7:L69 O7:O69 R7:R69 U7:U69">
    <cfRule type="cellIs" dxfId="0" priority="1" operator="lessThanOrEqual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Aisyah Jaafar</dc:creator>
  <cp:lastModifiedBy>Siti Aisyah Jaafar</cp:lastModifiedBy>
  <dcterms:created xsi:type="dcterms:W3CDTF">2026-10-15T02:48:57Z</dcterms:created>
  <dcterms:modified xsi:type="dcterms:W3CDTF">2026-10-15T03:51:26Z</dcterms:modified>
</cp:coreProperties>
</file>