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1F4E78"/>
      <sz val="16"/>
    </font>
    <font>
      <name val="Aptos Narrow"/>
      <i val="1"/>
      <color rgb="00595959"/>
      <sz val="11"/>
    </font>
    <font>
      <name val="Aptos Narrow"/>
      <b val="1"/>
      <color rgb="00FFFFFF"/>
      <sz val="12"/>
    </font>
    <font>
      <name val="Aptos Narrow"/>
      <b val="1"/>
      <sz val="11"/>
    </font>
    <font>
      <name val="Aptos Narrow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/>
    </xf>
    <xf numFmtId="2" fontId="4" fillId="4" borderId="2" applyAlignment="1" pivotButton="0" quotePrefix="0" xfId="0">
      <alignment horizontal="center" vertical="center"/>
    </xf>
    <xf numFmtId="2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Aptos Narrow"/>
        <color rgb="FF7F6000"/>
        <sz val="11"/>
      </font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5" customWidth="1" min="8" max="8"/>
  </cols>
  <sheetData>
    <row r="1" ht="25" customHeight="1">
      <c r="A1" s="1" t="inlineStr">
        <is>
          <t>BENTA ESTATE NUTRIENT VALIDATION SUMMARY - 2021</t>
        </is>
      </c>
    </row>
    <row r="2" ht="18" customHeight="1">
      <c r="A2" s="2" t="inlineStr">
        <is>
          <t>Comparison between Sentinel-2 Random Forest Predictions (training_v3) and Laboratory Actuals (LSU)</t>
        </is>
      </c>
    </row>
    <row r="3" ht="10" customHeight="1"/>
    <row r="4" ht="28" customHeight="1">
      <c r="A4" s="3" t="inlineStr">
        <is>
          <t>Estate</t>
        </is>
      </c>
      <c r="B4" s="3" t="inlineStr">
        <is>
          <t>Samples</t>
        </is>
      </c>
      <c r="C4" s="3" t="inlineStr">
        <is>
          <t>Mean N (%)</t>
        </is>
      </c>
      <c r="D4" s="3" t="inlineStr">
        <is>
          <t>Mean P (%)</t>
        </is>
      </c>
      <c r="E4" s="3" t="inlineStr">
        <is>
          <t>Mean K (%)</t>
        </is>
      </c>
      <c r="F4" s="3" t="inlineStr">
        <is>
          <t>Mean Mg (%)</t>
        </is>
      </c>
      <c r="G4" s="3" t="inlineStr">
        <is>
          <t>Mean Ca (%)</t>
        </is>
      </c>
      <c r="H4" s="3" t="inlineStr">
        <is>
          <t>Mean B (%)</t>
        </is>
      </c>
    </row>
    <row r="5" ht="22" customHeight="1">
      <c r="A5" s="4" t="inlineStr">
        <is>
          <t>Agathis</t>
        </is>
      </c>
      <c r="B5" s="5" t="n">
        <v>63</v>
      </c>
      <c r="C5" s="6" t="n">
        <v>97.04000000000001</v>
      </c>
      <c r="D5" s="6" t="n">
        <v>97.25</v>
      </c>
      <c r="E5" s="6" t="n">
        <v>74.33</v>
      </c>
      <c r="F5" s="6" t="n">
        <v>92.11</v>
      </c>
      <c r="G5" s="6" t="n">
        <v>85.59999999999999</v>
      </c>
      <c r="H5" s="6" t="n">
        <v>91.90000000000001</v>
      </c>
    </row>
    <row r="6" ht="22" customHeight="1">
      <c r="A6" s="4" t="inlineStr">
        <is>
          <t>Belian</t>
        </is>
      </c>
      <c r="B6" s="5" t="n">
        <v>95</v>
      </c>
      <c r="C6" s="6" t="n">
        <v>97.06</v>
      </c>
      <c r="D6" s="6" t="n">
        <v>94.2</v>
      </c>
      <c r="E6" s="6" t="n">
        <v>80.91</v>
      </c>
      <c r="F6" s="6" t="n">
        <v>86.65000000000001</v>
      </c>
      <c r="G6" s="6" t="n">
        <v>82.61</v>
      </c>
      <c r="H6" s="6" t="n">
        <v>83.88</v>
      </c>
    </row>
    <row r="7" ht="22" customHeight="1">
      <c r="A7" s="4" t="inlineStr">
        <is>
          <t>Binuang</t>
        </is>
      </c>
      <c r="B7" s="5" t="n">
        <v>65</v>
      </c>
      <c r="C7" s="6" t="n">
        <v>97.51000000000001</v>
      </c>
      <c r="D7" s="6" t="n">
        <v>98.18000000000001</v>
      </c>
      <c r="E7" s="6" t="n">
        <v>95.13</v>
      </c>
      <c r="F7" s="6" t="n">
        <v>95.78</v>
      </c>
      <c r="G7" s="6" t="n">
        <v>82.29000000000001</v>
      </c>
      <c r="H7" s="6" t="n">
        <v>91.48999999999999</v>
      </c>
    </row>
    <row r="8" ht="22" customHeight="1">
      <c r="A8" s="4" t="inlineStr">
        <is>
          <t>Gaharu</t>
        </is>
      </c>
      <c r="B8" s="5" t="n">
        <v>47</v>
      </c>
      <c r="C8" s="6" t="n">
        <v>98.01000000000001</v>
      </c>
      <c r="D8" s="6" t="n">
        <v>94.69</v>
      </c>
      <c r="E8" s="6" t="n">
        <v>81.77</v>
      </c>
      <c r="F8" s="6" t="n">
        <v>91.48</v>
      </c>
      <c r="G8" s="6" t="n">
        <v>71.47</v>
      </c>
      <c r="H8" s="6" t="n">
        <v>86.91</v>
      </c>
    </row>
    <row r="9" ht="22" customHeight="1">
      <c r="A9" s="4" t="inlineStr">
        <is>
          <t>Kapur</t>
        </is>
      </c>
      <c r="B9" s="5" t="n">
        <v>44</v>
      </c>
      <c r="C9" s="6" t="n">
        <v>97.39</v>
      </c>
      <c r="D9" s="6" t="n">
        <v>93.92</v>
      </c>
      <c r="E9" s="6" t="n">
        <v>83.09999999999999</v>
      </c>
      <c r="F9" s="6" t="n">
        <v>89.26000000000001</v>
      </c>
      <c r="G9" s="6" t="n">
        <v>85.68000000000001</v>
      </c>
      <c r="H9" s="6" t="n">
        <v>84.81999999999999</v>
      </c>
    </row>
    <row r="10" ht="22" customHeight="1">
      <c r="A10" s="4" t="inlineStr">
        <is>
          <t>Keruing</t>
        </is>
      </c>
      <c r="B10" s="5" t="n">
        <v>50</v>
      </c>
      <c r="C10" s="6" t="n">
        <v>97.56</v>
      </c>
      <c r="D10" s="6" t="n">
        <v>93.92</v>
      </c>
      <c r="E10" s="6" t="n">
        <v>89.01000000000001</v>
      </c>
      <c r="F10" s="6" t="n">
        <v>88.43000000000001</v>
      </c>
      <c r="G10" s="6" t="n">
        <v>71.69</v>
      </c>
      <c r="H10" s="6" t="n">
        <v>84.81</v>
      </c>
    </row>
    <row r="11" ht="22" customHeight="1">
      <c r="A11" s="4" t="inlineStr">
        <is>
          <t>Menggaris</t>
        </is>
      </c>
      <c r="B11" s="5" t="n">
        <v>58</v>
      </c>
      <c r="C11" s="6" t="n">
        <v>98.48999999999999</v>
      </c>
      <c r="D11" s="6" t="n">
        <v>92.56</v>
      </c>
      <c r="E11" s="6" t="n">
        <v>87.31</v>
      </c>
      <c r="F11" s="6" t="n">
        <v>90.13</v>
      </c>
      <c r="G11" s="6" t="n">
        <v>71.23</v>
      </c>
      <c r="H11" s="6" t="n">
        <v>67.15000000000001</v>
      </c>
    </row>
    <row r="12" ht="22" customHeight="1">
      <c r="A12" s="4" t="inlineStr">
        <is>
          <t>Merbau</t>
        </is>
      </c>
      <c r="B12" s="5" t="n">
        <v>54</v>
      </c>
      <c r="C12" s="6" t="n">
        <v>97.31</v>
      </c>
      <c r="D12" s="6" t="n">
        <v>92.47</v>
      </c>
      <c r="E12" s="6" t="n">
        <v>77.39</v>
      </c>
      <c r="F12" s="6" t="n">
        <v>88.79000000000001</v>
      </c>
      <c r="G12" s="6" t="n">
        <v>76.37</v>
      </c>
      <c r="H12" s="6" t="n">
        <v>89.95999999999999</v>
      </c>
    </row>
    <row r="13" ht="22" customHeight="1">
      <c r="A13" s="4" t="inlineStr">
        <is>
          <t>Ramin</t>
        </is>
      </c>
      <c r="B13" s="5" t="n">
        <v>36</v>
      </c>
      <c r="C13" s="6" t="n">
        <v>97.3</v>
      </c>
      <c r="D13" s="6" t="n">
        <v>93.55</v>
      </c>
      <c r="E13" s="6" t="n">
        <v>95.09999999999999</v>
      </c>
      <c r="F13" s="6" t="n">
        <v>79.36</v>
      </c>
      <c r="G13" s="6" t="n">
        <v>73.93000000000001</v>
      </c>
      <c r="H13" s="6" t="n">
        <v>83.31999999999999</v>
      </c>
    </row>
    <row r="14" ht="22" customHeight="1">
      <c r="A14" s="4" t="inlineStr">
        <is>
          <t>Selangan Batu</t>
        </is>
      </c>
      <c r="B14" s="5" t="n">
        <v>64</v>
      </c>
      <c r="C14" s="6" t="n">
        <v>95.88</v>
      </c>
      <c r="D14" s="6" t="n">
        <v>92.79000000000001</v>
      </c>
      <c r="E14" s="6" t="n">
        <v>83.84999999999999</v>
      </c>
      <c r="F14" s="6" t="n">
        <v>93.11</v>
      </c>
      <c r="G14" s="6" t="n">
        <v>76.78</v>
      </c>
      <c r="H14" s="6" t="n">
        <v>77.98999999999999</v>
      </c>
    </row>
    <row r="15" ht="22" customHeight="1">
      <c r="A15" s="4" t="inlineStr">
        <is>
          <t>Seraya</t>
        </is>
      </c>
      <c r="B15" s="5" t="n">
        <v>56</v>
      </c>
      <c r="C15" s="6" t="n">
        <v>97.22</v>
      </c>
      <c r="D15" s="6" t="n">
        <v>96.29000000000001</v>
      </c>
      <c r="E15" s="6" t="n">
        <v>94.33</v>
      </c>
      <c r="F15" s="6" t="n">
        <v>84.68000000000001</v>
      </c>
      <c r="G15" s="6" t="n">
        <v>81.38</v>
      </c>
      <c r="H15" s="6" t="n">
        <v>81.64</v>
      </c>
    </row>
    <row r="16" ht="26" customHeight="1">
      <c r="A16" s="7" t="inlineStr">
        <is>
          <t>Mean (%)</t>
        </is>
      </c>
      <c r="B16" s="8">
        <f>SUM(B5:B15)</f>
        <v/>
      </c>
      <c r="C16" s="9">
        <f>AVERAGE(C5:C15)</f>
        <v/>
      </c>
      <c r="D16" s="9">
        <f>AVERAGE(D5:D15)</f>
        <v/>
      </c>
      <c r="E16" s="9">
        <f>AVERAGE(E5:E15)</f>
        <v/>
      </c>
      <c r="F16" s="9">
        <f>AVERAGE(F5:F15)</f>
        <v/>
      </c>
      <c r="G16" s="10">
        <f>AVERAGE(G5:G15)</f>
        <v/>
      </c>
      <c r="H16" s="9">
        <f>AVERAGE(H5:H15)</f>
        <v/>
      </c>
    </row>
  </sheetData>
  <conditionalFormatting sqref="C5:H16">
    <cfRule type="cellIs" priority="1" operator="lessThanOrEqual" dxfId="0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2026-10-15T04:16:35Z</dcterms:created>
  <dcterms:modified xmlns:dcterms="http://purl.org/dc/terms/" xmlns:xsi="http://www.w3.org/2001/XMLSchema-instance" xsi:type="dcterms:W3CDTF">2026-10-15T04:16:35Z</dcterms:modified>
</cp:coreProperties>
</file>