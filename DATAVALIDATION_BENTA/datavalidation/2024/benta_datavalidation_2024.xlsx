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gathis" sheetId="2" state="visible" r:id="rId2"/>
    <sheet xmlns:r="http://schemas.openxmlformats.org/officeDocument/2006/relationships" name="Belian" sheetId="3" state="visible" r:id="rId3"/>
    <sheet xmlns:r="http://schemas.openxmlformats.org/officeDocument/2006/relationships" name="Binuang" sheetId="4" state="visible" r:id="rId4"/>
    <sheet xmlns:r="http://schemas.openxmlformats.org/officeDocument/2006/relationships" name="Gaharu" sheetId="5" state="visible" r:id="rId5"/>
    <sheet xmlns:r="http://schemas.openxmlformats.org/officeDocument/2006/relationships" name="Kapur" sheetId="6" state="visible" r:id="rId6"/>
    <sheet xmlns:r="http://schemas.openxmlformats.org/officeDocument/2006/relationships" name="Keruing" sheetId="7" state="visible" r:id="rId7"/>
    <sheet xmlns:r="http://schemas.openxmlformats.org/officeDocument/2006/relationships" name="Menggaris" sheetId="8" state="visible" r:id="rId8"/>
    <sheet xmlns:r="http://schemas.openxmlformats.org/officeDocument/2006/relationships" name="Merbau" sheetId="9" state="visible" r:id="rId9"/>
    <sheet xmlns:r="http://schemas.openxmlformats.org/officeDocument/2006/relationships" name="Ramin" sheetId="10" state="visible" r:id="rId10"/>
    <sheet xmlns:r="http://schemas.openxmlformats.org/officeDocument/2006/relationships" name="Selangan Batu" sheetId="11" state="visible" r:id="rId11"/>
    <sheet xmlns:r="http://schemas.openxmlformats.org/officeDocument/2006/relationships" name="Seray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1">
    <font>
      <name val="Calibri"/>
      <family val="2"/>
      <color theme="1"/>
      <sz val="11"/>
      <scheme val="minor"/>
    </font>
    <font>
      <name val="Aptos Narrow"/>
      <b val="1"/>
      <color rgb="001F4E78"/>
      <sz val="16"/>
    </font>
    <font>
      <name val="Aptos Narrow"/>
      <i val="1"/>
      <color rgb="00595959"/>
      <sz val="11"/>
    </font>
    <font>
      <name val="Aptos Narrow"/>
      <b val="1"/>
      <color rgb="00FFFFFF"/>
      <sz val="12"/>
    </font>
    <font>
      <name val="Aptos Narrow"/>
      <b val="1"/>
      <sz val="11"/>
    </font>
    <font>
      <name val="Aptos Narrow"/>
      <sz val="11"/>
    </font>
    <font>
      <name val="Aptos Narrow"/>
      <family val="2"/>
      <color theme="1"/>
      <sz val="12"/>
      <scheme val="minor"/>
    </font>
    <font>
      <name val="Aptos Narrow"/>
      <family val="2"/>
      <color theme="1"/>
      <sz val="20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sz val="12"/>
    </font>
  </fonts>
  <fills count="10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1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center" vertical="center"/>
    </xf>
    <xf numFmtId="2" fontId="4" fillId="4" borderId="2" applyAlignment="1" pivotButton="0" quotePrefix="0" xfId="0">
      <alignment horizontal="center" vertical="center"/>
    </xf>
    <xf numFmtId="2" fontId="4" fillId="5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6" fillId="0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2" fontId="10" fillId="4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0" fillId="0" borderId="9" pivotButton="0" quotePrefix="0" xfId="0"/>
    <xf numFmtId="166" fontId="6" fillId="0" borderId="1" applyAlignment="1" pivotButton="0" quotePrefix="0" xfId="0">
      <alignment horizontal="center" vertical="center"/>
    </xf>
    <xf numFmtId="0" fontId="0" fillId="0" borderId="10" pivotButton="0" quotePrefix="0" xfId="0"/>
    <xf numFmtId="166" fontId="6" fillId="6" borderId="1" applyAlignment="1" pivotButton="0" quotePrefix="0" xfId="0">
      <alignment horizontal="center" vertical="center"/>
    </xf>
    <xf numFmtId="0" fontId="10" fillId="9" borderId="3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ptos Narrow"/>
        <color rgb="FF7F6000"/>
        <sz val="11"/>
      </font>
      <fill>
        <patternFill patternType="solid">
          <fgColor rgb="FFFFF2CC"/>
          <bgColor rgb="FFFFF2CC"/>
        </patternFill>
      </fill>
    </dxf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15" customWidth="1" min="8" max="8"/>
  </cols>
  <sheetData>
    <row r="1" ht="25" customHeight="1">
      <c r="A1" s="1" t="inlineStr">
        <is>
          <t>BENTA ESTATE NUTRIENT VALIDATION SUMMARY - 2024</t>
        </is>
      </c>
    </row>
    <row r="2" ht="18" customHeight="1">
      <c r="A2" s="2" t="inlineStr">
        <is>
          <t>Comparison between Sentinel-2 Random Forest Predictions (training_v3) and Laboratory Actuals (LSU)</t>
        </is>
      </c>
    </row>
    <row r="3" ht="10" customHeight="1"/>
    <row r="4" ht="28" customHeight="1">
      <c r="A4" s="3" t="inlineStr">
        <is>
          <t>Estate</t>
        </is>
      </c>
      <c r="B4" s="3" t="inlineStr">
        <is>
          <t>Samples</t>
        </is>
      </c>
      <c r="C4" s="3" t="inlineStr">
        <is>
          <t>Mean N (%)</t>
        </is>
      </c>
      <c r="D4" s="3" t="inlineStr">
        <is>
          <t>Mean P (%)</t>
        </is>
      </c>
      <c r="E4" s="3" t="inlineStr">
        <is>
          <t>Mean K (%)</t>
        </is>
      </c>
      <c r="F4" s="3" t="inlineStr">
        <is>
          <t>Mean Mg (%)</t>
        </is>
      </c>
      <c r="G4" s="3" t="inlineStr">
        <is>
          <t>Mean Ca (%)</t>
        </is>
      </c>
      <c r="H4" s="3" t="inlineStr">
        <is>
          <t>Mean B (%)</t>
        </is>
      </c>
    </row>
    <row r="5" ht="22" customHeight="1">
      <c r="A5" s="4" t="inlineStr">
        <is>
          <t>Agathis</t>
        </is>
      </c>
      <c r="B5" s="5" t="n">
        <v>50</v>
      </c>
      <c r="C5" s="6" t="n">
        <v>91.22</v>
      </c>
      <c r="D5" s="6" t="n">
        <v>88.84999999999999</v>
      </c>
      <c r="E5" s="6" t="n">
        <v>91.33</v>
      </c>
      <c r="F5" s="6" t="n">
        <v>75.05</v>
      </c>
      <c r="G5" s="7" t="inlineStr">
        <is>
          <t>-</t>
        </is>
      </c>
      <c r="H5" s="6" t="n">
        <v>81.7</v>
      </c>
    </row>
    <row r="6" ht="22" customHeight="1">
      <c r="A6" s="4" t="inlineStr">
        <is>
          <t>Belian</t>
        </is>
      </c>
      <c r="B6" s="5" t="n">
        <v>29</v>
      </c>
      <c r="C6" s="6" t="n">
        <v>89.7</v>
      </c>
      <c r="D6" s="6" t="n">
        <v>89.68000000000001</v>
      </c>
      <c r="E6" s="6" t="n">
        <v>91.66</v>
      </c>
      <c r="F6" s="6" t="n">
        <v>75.31</v>
      </c>
      <c r="G6" s="7" t="inlineStr">
        <is>
          <t>-</t>
        </is>
      </c>
      <c r="H6" s="6" t="n">
        <v>78.68000000000001</v>
      </c>
    </row>
    <row r="7" ht="22" customHeight="1">
      <c r="A7" s="4" t="inlineStr">
        <is>
          <t>Binuang</t>
        </is>
      </c>
      <c r="B7" s="5" t="n">
        <v>24</v>
      </c>
      <c r="C7" s="6" t="n">
        <v>88.04000000000001</v>
      </c>
      <c r="D7" s="6" t="n">
        <v>84.19</v>
      </c>
      <c r="E7" s="6" t="n">
        <v>78.59</v>
      </c>
      <c r="F7" s="6" t="n">
        <v>80.64</v>
      </c>
      <c r="G7" s="7" t="inlineStr">
        <is>
          <t>-</t>
        </is>
      </c>
      <c r="H7" s="6" t="n">
        <v>73.8</v>
      </c>
    </row>
    <row r="8" ht="22" customHeight="1">
      <c r="A8" s="4" t="inlineStr">
        <is>
          <t>Gaharu</t>
        </is>
      </c>
      <c r="B8" s="5" t="n">
        <v>12</v>
      </c>
      <c r="C8" s="6" t="n">
        <v>89.88</v>
      </c>
      <c r="D8" s="6" t="n">
        <v>96.45</v>
      </c>
      <c r="E8" s="6" t="n">
        <v>92.64</v>
      </c>
      <c r="F8" s="6" t="n">
        <v>91.36</v>
      </c>
      <c r="G8" s="7" t="inlineStr">
        <is>
          <t>-</t>
        </is>
      </c>
      <c r="H8" s="6" t="n">
        <v>94.17</v>
      </c>
    </row>
    <row r="9" ht="22" customHeight="1">
      <c r="A9" s="4" t="inlineStr">
        <is>
          <t>Kapur</t>
        </is>
      </c>
      <c r="B9" s="5" t="n">
        <v>17</v>
      </c>
      <c r="C9" s="6" t="n">
        <v>91.55</v>
      </c>
      <c r="D9" s="6" t="n">
        <v>87.02</v>
      </c>
      <c r="E9" s="6" t="n">
        <v>84.01000000000001</v>
      </c>
      <c r="F9" s="6" t="n">
        <v>77.95</v>
      </c>
      <c r="G9" s="7" t="inlineStr">
        <is>
          <t>-</t>
        </is>
      </c>
      <c r="H9" s="6" t="n">
        <v>70.38</v>
      </c>
    </row>
    <row r="10" ht="22" customHeight="1">
      <c r="A10" s="4" t="inlineStr">
        <is>
          <t>Keruing</t>
        </is>
      </c>
      <c r="B10" s="5" t="n">
        <v>12</v>
      </c>
      <c r="C10" s="6" t="n">
        <v>94.59999999999999</v>
      </c>
      <c r="D10" s="6" t="n">
        <v>94.91</v>
      </c>
      <c r="E10" s="6" t="n">
        <v>93.06</v>
      </c>
      <c r="F10" s="6" t="n">
        <v>65.78</v>
      </c>
      <c r="G10" s="7" t="inlineStr">
        <is>
          <t>-</t>
        </is>
      </c>
      <c r="H10" s="6" t="n">
        <v>87.64</v>
      </c>
    </row>
    <row r="11" ht="22" customHeight="1">
      <c r="A11" s="4" t="inlineStr">
        <is>
          <t>Menggaris</t>
        </is>
      </c>
      <c r="B11" s="5" t="n">
        <v>20</v>
      </c>
      <c r="C11" s="6" t="n">
        <v>93.73999999999999</v>
      </c>
      <c r="D11" s="6" t="n">
        <v>93.76000000000001</v>
      </c>
      <c r="E11" s="6" t="n">
        <v>94.73</v>
      </c>
      <c r="F11" s="6" t="n">
        <v>74.04000000000001</v>
      </c>
      <c r="G11" s="7" t="inlineStr">
        <is>
          <t>-</t>
        </is>
      </c>
      <c r="H11" s="6" t="n">
        <v>81.23999999999999</v>
      </c>
    </row>
    <row r="12" ht="22" customHeight="1">
      <c r="A12" s="4" t="inlineStr">
        <is>
          <t>Merbau</t>
        </is>
      </c>
      <c r="B12" s="5" t="n">
        <v>21</v>
      </c>
      <c r="C12" s="6" t="n">
        <v>89.54000000000001</v>
      </c>
      <c r="D12" s="6" t="n">
        <v>93.72</v>
      </c>
      <c r="E12" s="6" t="n">
        <v>91.81</v>
      </c>
      <c r="F12" s="6" t="n">
        <v>68.63</v>
      </c>
      <c r="G12" s="7" t="inlineStr">
        <is>
          <t>-</t>
        </is>
      </c>
      <c r="H12" s="6" t="n">
        <v>85.56999999999999</v>
      </c>
    </row>
    <row r="13" ht="22" customHeight="1">
      <c r="A13" s="4" t="inlineStr">
        <is>
          <t>Ramin</t>
        </is>
      </c>
      <c r="B13" s="5" t="n">
        <v>43</v>
      </c>
      <c r="C13" s="6" t="n">
        <v>81.67</v>
      </c>
      <c r="D13" s="6" t="n">
        <v>79.23</v>
      </c>
      <c r="E13" s="6" t="n">
        <v>65.94</v>
      </c>
      <c r="F13" s="6" t="n">
        <v>77.11</v>
      </c>
      <c r="G13" s="7" t="inlineStr">
        <is>
          <t>-</t>
        </is>
      </c>
      <c r="H13" s="6" t="n">
        <v>67.79000000000001</v>
      </c>
    </row>
    <row r="14" ht="22" customHeight="1">
      <c r="A14" s="4" t="inlineStr">
        <is>
          <t>Selangan Batu</t>
        </is>
      </c>
      <c r="B14" s="5" t="n">
        <v>62</v>
      </c>
      <c r="C14" s="6" t="n">
        <v>88.39</v>
      </c>
      <c r="D14" s="6" t="n">
        <v>91.14</v>
      </c>
      <c r="E14" s="6" t="n">
        <v>89.51000000000001</v>
      </c>
      <c r="F14" s="6" t="n">
        <v>81.18000000000001</v>
      </c>
      <c r="G14" s="7" t="inlineStr">
        <is>
          <t>-</t>
        </is>
      </c>
      <c r="H14" s="6" t="n">
        <v>73.64</v>
      </c>
    </row>
    <row r="15" ht="22" customHeight="1">
      <c r="A15" s="4" t="inlineStr">
        <is>
          <t>Seraya</t>
        </is>
      </c>
      <c r="B15" s="5" t="n">
        <v>56</v>
      </c>
      <c r="C15" s="6" t="n">
        <v>90.87</v>
      </c>
      <c r="D15" s="6" t="n">
        <v>92.34</v>
      </c>
      <c r="E15" s="6" t="n">
        <v>94.56</v>
      </c>
      <c r="F15" s="6" t="n">
        <v>82.84</v>
      </c>
      <c r="G15" s="7" t="inlineStr">
        <is>
          <t>-</t>
        </is>
      </c>
      <c r="H15" s="6" t="n">
        <v>81.94</v>
      </c>
    </row>
    <row r="16" ht="26" customHeight="1">
      <c r="A16" s="8" t="inlineStr">
        <is>
          <t>Mean (%)</t>
        </is>
      </c>
      <c r="B16" s="9">
        <f>SUM(B5:B15)</f>
        <v/>
      </c>
      <c r="C16" s="10">
        <f>AVERAGE(C5:C15)</f>
        <v/>
      </c>
      <c r="D16" s="10">
        <f>AVERAGE(D5:D15)</f>
        <v/>
      </c>
      <c r="E16" s="10">
        <f>AVERAGE(E5:E15)</f>
        <v/>
      </c>
      <c r="F16" s="11">
        <f>AVERAGE(F5:F15)</f>
        <v/>
      </c>
      <c r="G16" s="12" t="inlineStr">
        <is>
          <t>-</t>
        </is>
      </c>
      <c r="H16" s="11">
        <f>AVERAGE(H5:H15)</f>
        <v/>
      </c>
    </row>
  </sheetData>
  <conditionalFormatting sqref="C5:H16">
    <cfRule type="cellIs" priority="1" operator="lessThanOrEqual" dxfId="0">
      <formula>80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3" t="n"/>
      <c r="P4" s="14" t="inlineStr">
        <is>
          <t>On-going Research for Ca and B Models</t>
        </is>
      </c>
      <c r="Q4" s="15" t="n"/>
      <c r="R4" s="15" t="n"/>
      <c r="S4" s="15" t="n"/>
      <c r="T4" s="15" t="n"/>
      <c r="U4" s="16" t="n"/>
    </row>
    <row r="5" ht="34" customHeight="1">
      <c r="B5" s="17" t="inlineStr">
        <is>
          <t>Plot</t>
        </is>
      </c>
      <c r="C5" s="18" t="inlineStr">
        <is>
          <t>Pixels sampled</t>
        </is>
      </c>
      <c r="D5" s="19" t="inlineStr">
        <is>
          <t>N</t>
        </is>
      </c>
      <c r="E5" s="15" t="n"/>
      <c r="F5" s="16" t="n"/>
      <c r="G5" s="19" t="inlineStr">
        <is>
          <t>P (%)</t>
        </is>
      </c>
      <c r="H5" s="15" t="n"/>
      <c r="I5" s="16" t="n"/>
      <c r="J5" s="19" t="inlineStr">
        <is>
          <t>K (%)</t>
        </is>
      </c>
      <c r="K5" s="15" t="n"/>
      <c r="L5" s="16" t="n"/>
      <c r="M5" s="19" t="inlineStr">
        <is>
          <t>Mg (%)</t>
        </is>
      </c>
      <c r="N5" s="15" t="n"/>
      <c r="O5" s="16" t="n"/>
      <c r="P5" s="20" t="inlineStr">
        <is>
          <t>Ca (%)</t>
        </is>
      </c>
      <c r="Q5" s="15" t="n"/>
      <c r="R5" s="16" t="n"/>
      <c r="S5" s="20" t="inlineStr">
        <is>
          <t>B (%)</t>
        </is>
      </c>
      <c r="T5" s="15" t="n"/>
      <c r="U5" s="16" t="n"/>
    </row>
    <row r="6" ht="34" customHeight="1">
      <c r="B6" s="21" t="n"/>
      <c r="C6" s="22" t="n"/>
      <c r="D6" s="23" t="inlineStr">
        <is>
          <t>Lab Actual (%)</t>
        </is>
      </c>
      <c r="E6" s="24" t="inlineStr">
        <is>
          <t>Prediction (%)</t>
        </is>
      </c>
      <c r="F6" s="25" t="inlineStr">
        <is>
          <t>Accuracy (%)</t>
        </is>
      </c>
      <c r="G6" s="23" t="inlineStr">
        <is>
          <t>Lab Actual (%)</t>
        </is>
      </c>
      <c r="H6" s="24" t="inlineStr">
        <is>
          <t>Prediction (%)</t>
        </is>
      </c>
      <c r="I6" s="25" t="inlineStr">
        <is>
          <t>Accuracy (%)</t>
        </is>
      </c>
      <c r="J6" s="23" t="inlineStr">
        <is>
          <t>Lab Actual (%)</t>
        </is>
      </c>
      <c r="K6" s="24" t="inlineStr">
        <is>
          <t>Prediction (%)</t>
        </is>
      </c>
      <c r="L6" s="25" t="inlineStr">
        <is>
          <t>Accuracy (%)</t>
        </is>
      </c>
      <c r="M6" s="23" t="inlineStr">
        <is>
          <t>Lab Actual (%)</t>
        </is>
      </c>
      <c r="N6" s="24" t="inlineStr">
        <is>
          <t>Prediction (%)</t>
        </is>
      </c>
      <c r="O6" s="25" t="inlineStr">
        <is>
          <t>Accuracy (%)</t>
        </is>
      </c>
      <c r="P6" s="14" t="inlineStr">
        <is>
          <t>Lab Actual (%)</t>
        </is>
      </c>
      <c r="Q6" s="14" t="inlineStr">
        <is>
          <t>Prediction (%)</t>
        </is>
      </c>
      <c r="R6" s="25" t="inlineStr">
        <is>
          <t>Accuracy (%)</t>
        </is>
      </c>
      <c r="S6" s="14" t="inlineStr">
        <is>
          <t>Lab Actual (%)</t>
        </is>
      </c>
      <c r="T6" s="14" t="inlineStr">
        <is>
          <t>Prediction (%)</t>
        </is>
      </c>
      <c r="U6" s="25" t="inlineStr">
        <is>
          <t>Accuracy (%)</t>
        </is>
      </c>
    </row>
    <row r="7">
      <c r="B7" s="26" t="inlineStr">
        <is>
          <t>08/13</t>
        </is>
      </c>
      <c r="C7" s="27" t="n">
        <v>2486</v>
      </c>
      <c r="D7" s="28" t="n">
        <v>2.93</v>
      </c>
      <c r="E7" s="29" t="n">
        <v>2.501</v>
      </c>
      <c r="F7" s="30">
        <f>(1-ABS(D7-E7)/D7)*100</f>
        <v/>
      </c>
      <c r="G7" s="29" t="n">
        <v>0.182</v>
      </c>
      <c r="H7" s="29" t="n">
        <v>0.163</v>
      </c>
      <c r="I7" s="30">
        <f>(1-ABS(G7-H7)/G7)*100</f>
        <v/>
      </c>
      <c r="J7" s="28" t="n">
        <v>1.13</v>
      </c>
      <c r="K7" s="29" t="n">
        <v>0.997</v>
      </c>
      <c r="L7" s="30">
        <f>(1-ABS(J7-K7)/J7)*100</f>
        <v/>
      </c>
      <c r="M7" s="28" t="n">
        <v>0.35</v>
      </c>
      <c r="N7" s="29" t="n">
        <v>0.306</v>
      </c>
      <c r="O7" s="30">
        <f>(1-ABS(M7-N7)/M7)*100</f>
        <v/>
      </c>
      <c r="P7" s="31" t="n"/>
      <c r="Q7" s="32" t="n">
        <v>0.67</v>
      </c>
      <c r="R7" s="28" t="n"/>
      <c r="S7" s="33" t="n">
        <v>16.9</v>
      </c>
      <c r="T7" s="31" t="n">
        <v>12.63</v>
      </c>
      <c r="U7" s="30">
        <f>(1-ABS(S7-T7)/S7)*100</f>
        <v/>
      </c>
    </row>
    <row r="8">
      <c r="B8" s="26" t="inlineStr">
        <is>
          <t>08/14</t>
        </is>
      </c>
      <c r="C8" s="27" t="n">
        <v>5558</v>
      </c>
      <c r="D8" s="28" t="n">
        <v>2.98</v>
      </c>
      <c r="E8" s="29" t="n">
        <v>2.388</v>
      </c>
      <c r="F8" s="30">
        <f>(1-ABS(D8-E8)/D8)*100</f>
        <v/>
      </c>
      <c r="G8" s="29" t="n">
        <v>0.194</v>
      </c>
      <c r="H8" s="29" t="n">
        <v>0.155</v>
      </c>
      <c r="I8" s="30">
        <f>(1-ABS(G8-H8)/G8)*100</f>
        <v/>
      </c>
      <c r="J8" s="28" t="n">
        <v>1.14</v>
      </c>
      <c r="K8" s="29" t="n">
        <v>0.953</v>
      </c>
      <c r="L8" s="30">
        <f>(1-ABS(J8-K8)/J8)*100</f>
        <v/>
      </c>
      <c r="M8" s="28" t="n">
        <v>0.35</v>
      </c>
      <c r="N8" s="29" t="n">
        <v>0.28</v>
      </c>
      <c r="O8" s="30">
        <f>(1-ABS(M8-N8)/M8)*100</f>
        <v/>
      </c>
      <c r="P8" s="31" t="n"/>
      <c r="Q8" s="32" t="n">
        <v>0.634</v>
      </c>
      <c r="R8" s="28" t="n"/>
      <c r="S8" s="33" t="n">
        <v>15.5</v>
      </c>
      <c r="T8" s="31" t="n">
        <v>12.12</v>
      </c>
      <c r="U8" s="30">
        <f>(1-ABS(S8-T8)/S8)*100</f>
        <v/>
      </c>
    </row>
    <row r="9">
      <c r="B9" s="26" t="inlineStr">
        <is>
          <t>08/15</t>
        </is>
      </c>
      <c r="C9" s="27" t="n">
        <v>5142</v>
      </c>
      <c r="D9" s="28" t="n">
        <v>2.94</v>
      </c>
      <c r="E9" s="29" t="n">
        <v>2.535</v>
      </c>
      <c r="F9" s="30">
        <f>(1-ABS(D9-E9)/D9)*100</f>
        <v/>
      </c>
      <c r="G9" s="29" t="n">
        <v>0.182</v>
      </c>
      <c r="H9" s="29" t="n">
        <v>0.164</v>
      </c>
      <c r="I9" s="30">
        <f>(1-ABS(G9-H9)/G9)*100</f>
        <v/>
      </c>
      <c r="J9" s="28" t="n">
        <v>1.17</v>
      </c>
      <c r="K9" s="29" t="n">
        <v>0.998</v>
      </c>
      <c r="L9" s="30">
        <f>(1-ABS(J9-K9)/J9)*100</f>
        <v/>
      </c>
      <c r="M9" s="28" t="n">
        <v>0.35</v>
      </c>
      <c r="N9" s="29" t="n">
        <v>0.253</v>
      </c>
      <c r="O9" s="30">
        <f>(1-ABS(M9-N9)/M9)*100</f>
        <v/>
      </c>
      <c r="P9" s="31" t="n"/>
      <c r="Q9" s="32" t="n">
        <v>0.654</v>
      </c>
      <c r="R9" s="28" t="n"/>
      <c r="S9" s="33" t="n">
        <v>15.9</v>
      </c>
      <c r="T9" s="31" t="n">
        <v>14.57</v>
      </c>
      <c r="U9" s="30">
        <f>(1-ABS(S9-T9)/S9)*100</f>
        <v/>
      </c>
    </row>
    <row r="10">
      <c r="B10" s="26" t="inlineStr">
        <is>
          <t>08/16</t>
        </is>
      </c>
      <c r="C10" s="27" t="n">
        <v>5525</v>
      </c>
      <c r="D10" s="28" t="n">
        <v>2.99</v>
      </c>
      <c r="E10" s="29" t="n">
        <v>2.471</v>
      </c>
      <c r="F10" s="30">
        <f>(1-ABS(D10-E10)/D10)*100</f>
        <v/>
      </c>
      <c r="G10" s="29" t="n">
        <v>0.186</v>
      </c>
      <c r="H10" s="29" t="n">
        <v>0.161</v>
      </c>
      <c r="I10" s="30">
        <f>(1-ABS(G10-H10)/G10)*100</f>
        <v/>
      </c>
      <c r="J10" s="28" t="n">
        <v>1.15</v>
      </c>
      <c r="K10" s="29" t="n">
        <v>0.987</v>
      </c>
      <c r="L10" s="30">
        <f>(1-ABS(J10-K10)/J10)*100</f>
        <v/>
      </c>
      <c r="M10" s="28" t="n">
        <v>0.35</v>
      </c>
      <c r="N10" s="29" t="n">
        <v>0.268</v>
      </c>
      <c r="O10" s="30">
        <f>(1-ABS(M10-N10)/M10)*100</f>
        <v/>
      </c>
      <c r="P10" s="31" t="n"/>
      <c r="Q10" s="32" t="n">
        <v>0.648</v>
      </c>
      <c r="R10" s="28" t="n"/>
      <c r="S10" s="33" t="n">
        <v>16.3</v>
      </c>
      <c r="T10" s="31" t="n">
        <v>13.31</v>
      </c>
      <c r="U10" s="30">
        <f>(1-ABS(S10-T10)/S10)*100</f>
        <v/>
      </c>
    </row>
    <row r="11">
      <c r="B11" s="26" t="inlineStr">
        <is>
          <t>08/17</t>
        </is>
      </c>
      <c r="C11" s="27" t="n">
        <v>5820</v>
      </c>
      <c r="D11" s="28" t="n">
        <v>2.93</v>
      </c>
      <c r="E11" s="29" t="n">
        <v>2.526</v>
      </c>
      <c r="F11" s="30">
        <f>(1-ABS(D11-E11)/D11)*100</f>
        <v/>
      </c>
      <c r="G11" s="29" t="n">
        <v>0.182</v>
      </c>
      <c r="H11" s="29" t="n">
        <v>0.165</v>
      </c>
      <c r="I11" s="30">
        <f>(1-ABS(G11-H11)/G11)*100</f>
        <v/>
      </c>
      <c r="J11" s="28" t="n">
        <v>1.18</v>
      </c>
      <c r="K11" s="29" t="n">
        <v>1.009</v>
      </c>
      <c r="L11" s="30">
        <f>(1-ABS(J11-K11)/J11)*100</f>
        <v/>
      </c>
      <c r="M11" s="28" t="n">
        <v>0.34</v>
      </c>
      <c r="N11" s="29" t="n">
        <v>0.267</v>
      </c>
      <c r="O11" s="30">
        <f>(1-ABS(M11-N11)/M11)*100</f>
        <v/>
      </c>
      <c r="P11" s="31" t="n"/>
      <c r="Q11" s="32" t="n">
        <v>0.666</v>
      </c>
      <c r="R11" s="28" t="n"/>
      <c r="S11" s="33" t="n">
        <v>16.2</v>
      </c>
      <c r="T11" s="31" t="n">
        <v>13.73</v>
      </c>
      <c r="U11" s="30">
        <f>(1-ABS(S11-T11)/S11)*100</f>
        <v/>
      </c>
    </row>
    <row r="12">
      <c r="B12" s="26" t="inlineStr">
        <is>
          <t>08/18</t>
        </is>
      </c>
      <c r="C12" s="27" t="n">
        <v>3190</v>
      </c>
      <c r="D12" s="28" t="n">
        <v>2.87</v>
      </c>
      <c r="E12" s="29" t="n">
        <v>2.539</v>
      </c>
      <c r="F12" s="30">
        <f>(1-ABS(D12-E12)/D12)*100</f>
        <v/>
      </c>
      <c r="G12" s="29" t="n">
        <v>0.185</v>
      </c>
      <c r="H12" s="29" t="n">
        <v>0.165</v>
      </c>
      <c r="I12" s="30">
        <f>(1-ABS(G12-H12)/G12)*100</f>
        <v/>
      </c>
      <c r="J12" s="28" t="n">
        <v>1.2</v>
      </c>
      <c r="K12" s="29" t="n">
        <v>1.009</v>
      </c>
      <c r="L12" s="30">
        <f>(1-ABS(J12-K12)/J12)*100</f>
        <v/>
      </c>
      <c r="M12" s="28" t="n">
        <v>0.35</v>
      </c>
      <c r="N12" s="29" t="n">
        <v>0.254</v>
      </c>
      <c r="O12" s="30">
        <f>(1-ABS(M12-N12)/M12)*100</f>
        <v/>
      </c>
      <c r="P12" s="31" t="n"/>
      <c r="Q12" s="32" t="n">
        <v>0.657</v>
      </c>
      <c r="R12" s="28" t="n"/>
      <c r="S12" s="33" t="n">
        <v>16.7</v>
      </c>
      <c r="T12" s="31" t="n">
        <v>14.65</v>
      </c>
      <c r="U12" s="30">
        <f>(1-ABS(S12-T12)/S12)*100</f>
        <v/>
      </c>
    </row>
    <row r="13">
      <c r="B13" s="26" t="inlineStr">
        <is>
          <t>08/19</t>
        </is>
      </c>
      <c r="C13" s="27" t="n">
        <v>4312</v>
      </c>
      <c r="D13" s="28" t="n">
        <v>2.81</v>
      </c>
      <c r="E13" s="29" t="n">
        <v>2.532</v>
      </c>
      <c r="F13" s="30">
        <f>(1-ABS(D13-E13)/D13)*100</f>
        <v/>
      </c>
      <c r="G13" s="29" t="n">
        <v>0.192</v>
      </c>
      <c r="H13" s="29" t="n">
        <v>0.165</v>
      </c>
      <c r="I13" s="30">
        <f>(1-ABS(G13-H13)/G13)*100</f>
        <v/>
      </c>
      <c r="J13" s="28" t="n">
        <v>1.03</v>
      </c>
      <c r="K13" s="29" t="n">
        <v>1.009</v>
      </c>
      <c r="L13" s="30">
        <f>(1-ABS(J13-K13)/J13)*100</f>
        <v/>
      </c>
      <c r="M13" s="28" t="n">
        <v>0.35</v>
      </c>
      <c r="N13" s="29" t="n">
        <v>0.264</v>
      </c>
      <c r="O13" s="30">
        <f>(1-ABS(M13-N13)/M13)*100</f>
        <v/>
      </c>
      <c r="P13" s="31" t="n"/>
      <c r="Q13" s="32" t="n">
        <v>0.667</v>
      </c>
      <c r="R13" s="28" t="n"/>
      <c r="S13" s="33" t="n">
        <v>17.4</v>
      </c>
      <c r="T13" s="31" t="n">
        <v>13.86</v>
      </c>
      <c r="U13" s="30">
        <f>(1-ABS(S13-T13)/S13)*100</f>
        <v/>
      </c>
    </row>
    <row r="14">
      <c r="B14" s="26" t="inlineStr">
        <is>
          <t>09/1</t>
        </is>
      </c>
      <c r="C14" s="27" t="n">
        <v>5265</v>
      </c>
      <c r="D14" s="28" t="n">
        <v>2.69</v>
      </c>
      <c r="E14" s="29" t="n">
        <v>2.499</v>
      </c>
      <c r="F14" s="30">
        <f>(1-ABS(D14-E14)/D14)*100</f>
        <v/>
      </c>
      <c r="G14" s="29" t="n">
        <v>0.181</v>
      </c>
      <c r="H14" s="29" t="n">
        <v>0.161</v>
      </c>
      <c r="I14" s="30">
        <f>(1-ABS(G14-H14)/G14)*100</f>
        <v/>
      </c>
      <c r="J14" s="28" t="n">
        <v>1.1</v>
      </c>
      <c r="K14" s="29" t="n">
        <v>1.003</v>
      </c>
      <c r="L14" s="30">
        <f>(1-ABS(J14-K14)/J14)*100</f>
        <v/>
      </c>
      <c r="M14" s="28" t="n">
        <v>0.35</v>
      </c>
      <c r="N14" s="29" t="n">
        <v>0.263</v>
      </c>
      <c r="O14" s="30">
        <f>(1-ABS(M14-N14)/M14)*100</f>
        <v/>
      </c>
      <c r="P14" s="31" t="n"/>
      <c r="Q14" s="32" t="n">
        <v>0.655</v>
      </c>
      <c r="R14" s="28" t="n"/>
      <c r="S14" s="33" t="n">
        <v>16.9</v>
      </c>
      <c r="T14" s="31" t="n">
        <v>13.5</v>
      </c>
      <c r="U14" s="30">
        <f>(1-ABS(S14-T14)/S14)*100</f>
        <v/>
      </c>
    </row>
    <row r="15">
      <c r="B15" s="26" t="inlineStr">
        <is>
          <t>09/2</t>
        </is>
      </c>
      <c r="C15" s="27" t="n">
        <v>5180</v>
      </c>
      <c r="D15" s="28" t="n">
        <v>2.61</v>
      </c>
      <c r="E15" s="29" t="n">
        <v>2.492</v>
      </c>
      <c r="F15" s="30">
        <f>(1-ABS(D15-E15)/D15)*100</f>
        <v/>
      </c>
      <c r="G15" s="29" t="n">
        <v>0.181</v>
      </c>
      <c r="H15" s="29" t="n">
        <v>0.162</v>
      </c>
      <c r="I15" s="30">
        <f>(1-ABS(G15-H15)/G15)*100</f>
        <v/>
      </c>
      <c r="J15" s="28" t="n">
        <v>1.1</v>
      </c>
      <c r="K15" s="29" t="n">
        <v>0.99</v>
      </c>
      <c r="L15" s="30">
        <f>(1-ABS(J15-K15)/J15)*100</f>
        <v/>
      </c>
      <c r="M15" s="28" t="n">
        <v>0.36</v>
      </c>
      <c r="N15" s="29" t="n">
        <v>0.254</v>
      </c>
      <c r="O15" s="30">
        <f>(1-ABS(M15-N15)/M15)*100</f>
        <v/>
      </c>
      <c r="P15" s="31" t="n"/>
      <c r="Q15" s="32" t="n">
        <v>0.655</v>
      </c>
      <c r="R15" s="28" t="n"/>
      <c r="S15" s="33" t="n">
        <v>16</v>
      </c>
      <c r="T15" s="31" t="n">
        <v>13.48</v>
      </c>
      <c r="U15" s="30">
        <f>(1-ABS(S15-T15)/S15)*100</f>
        <v/>
      </c>
    </row>
    <row r="16">
      <c r="B16" s="26" t="inlineStr">
        <is>
          <t>09/3</t>
        </is>
      </c>
      <c r="C16" s="27" t="n">
        <v>6908</v>
      </c>
      <c r="D16" s="28" t="n">
        <v>2.82</v>
      </c>
      <c r="E16" s="29" t="n">
        <v>2.445</v>
      </c>
      <c r="F16" s="30">
        <f>(1-ABS(D16-E16)/D16)*100</f>
        <v/>
      </c>
      <c r="G16" s="29" t="n">
        <v>0.195</v>
      </c>
      <c r="H16" s="29" t="n">
        <v>0.158</v>
      </c>
      <c r="I16" s="30">
        <f>(1-ABS(G16-H16)/G16)*100</f>
        <v/>
      </c>
      <c r="J16" s="28" t="n">
        <v>1.19</v>
      </c>
      <c r="K16" s="29" t="n">
        <v>0.973</v>
      </c>
      <c r="L16" s="30">
        <f>(1-ABS(J16-K16)/J16)*100</f>
        <v/>
      </c>
      <c r="M16" s="28" t="n">
        <v>0.36</v>
      </c>
      <c r="N16" s="29" t="n">
        <v>0.255</v>
      </c>
      <c r="O16" s="30">
        <f>(1-ABS(M16-N16)/M16)*100</f>
        <v/>
      </c>
      <c r="P16" s="31" t="n"/>
      <c r="Q16" s="32" t="n">
        <v>0.637</v>
      </c>
      <c r="R16" s="28" t="n"/>
      <c r="S16" s="33" t="n">
        <v>15.3</v>
      </c>
      <c r="T16" s="31" t="n">
        <v>13.35</v>
      </c>
      <c r="U16" s="30">
        <f>(1-ABS(S16-T16)/S16)*100</f>
        <v/>
      </c>
    </row>
    <row r="17" ht="40" customHeight="1">
      <c r="A17" s="34" t="inlineStr">
        <is>
          <t>Best result closer to 1</t>
        </is>
      </c>
      <c r="B17" s="26" t="inlineStr">
        <is>
          <t>09/4</t>
        </is>
      </c>
      <c r="C17" s="27" t="n">
        <v>5284</v>
      </c>
      <c r="D17" s="28" t="n">
        <v>2.91</v>
      </c>
      <c r="E17" s="29" t="n">
        <v>2.475</v>
      </c>
      <c r="F17" s="30">
        <f>(1-ABS(D17-E17)/D17)*100</f>
        <v/>
      </c>
      <c r="G17" s="29" t="n">
        <v>0.195</v>
      </c>
      <c r="H17" s="29" t="n">
        <v>0.159</v>
      </c>
      <c r="I17" s="30">
        <f>(1-ABS(G17-H17)/G17)*100</f>
        <v/>
      </c>
      <c r="J17" s="28" t="n">
        <v>1.18</v>
      </c>
      <c r="K17" s="29" t="n">
        <v>0.994</v>
      </c>
      <c r="L17" s="30">
        <f>(1-ABS(J17-K17)/J17)*100</f>
        <v/>
      </c>
      <c r="M17" s="28" t="n">
        <v>0.37</v>
      </c>
      <c r="N17" s="29" t="n">
        <v>0.26</v>
      </c>
      <c r="O17" s="30">
        <f>(1-ABS(M17-N17)/M17)*100</f>
        <v/>
      </c>
      <c r="P17" s="31" t="n"/>
      <c r="Q17" s="32" t="n">
        <v>0.639</v>
      </c>
      <c r="R17" s="28" t="n"/>
      <c r="S17" s="33" t="n">
        <v>15.1</v>
      </c>
      <c r="T17" s="31" t="n">
        <v>13.69</v>
      </c>
      <c r="U17" s="30">
        <f>(1-ABS(S17-T17)/S17)*100</f>
        <v/>
      </c>
    </row>
    <row r="18" ht="39" customHeight="1">
      <c r="A18" s="34" t="inlineStr">
        <is>
          <t>Best result closer to 0</t>
        </is>
      </c>
      <c r="B18" s="26" t="inlineStr">
        <is>
          <t>09/5</t>
        </is>
      </c>
      <c r="C18" s="27" t="n">
        <v>5877</v>
      </c>
      <c r="D18" s="28" t="n">
        <v>2.87</v>
      </c>
      <c r="E18" s="29" t="n">
        <v>2.432</v>
      </c>
      <c r="F18" s="30">
        <f>(1-ABS(D18-E18)/D18)*100</f>
        <v/>
      </c>
      <c r="G18" s="29" t="n">
        <v>0.181</v>
      </c>
      <c r="H18" s="29" t="n">
        <v>0.156</v>
      </c>
      <c r="I18" s="30">
        <f>(1-ABS(G18-H18)/G18)*100</f>
        <v/>
      </c>
      <c r="J18" s="28" t="n">
        <v>1.07</v>
      </c>
      <c r="K18" s="29" t="n">
        <v>0.987</v>
      </c>
      <c r="L18" s="30">
        <f>(1-ABS(J18-K18)/J18)*100</f>
        <v/>
      </c>
      <c r="M18" s="28" t="n">
        <v>0.35</v>
      </c>
      <c r="N18" s="29" t="n">
        <v>0.262</v>
      </c>
      <c r="O18" s="30">
        <f>(1-ABS(M18-N18)/M18)*100</f>
        <v/>
      </c>
      <c r="P18" s="31" t="n"/>
      <c r="Q18" s="32" t="n">
        <v>0.624</v>
      </c>
      <c r="R18" s="28" t="n"/>
      <c r="S18" s="33" t="n">
        <v>17.5</v>
      </c>
      <c r="T18" s="31" t="n">
        <v>12.89</v>
      </c>
      <c r="U18" s="30">
        <f>(1-ABS(S18-T18)/S18)*100</f>
        <v/>
      </c>
    </row>
    <row r="19" ht="66" customHeight="1">
      <c r="A19" s="34" t="inlineStr">
        <is>
          <t>Best result closer to 1</t>
        </is>
      </c>
      <c r="B19" s="26" t="inlineStr">
        <is>
          <t>09/6</t>
        </is>
      </c>
      <c r="C19" s="27" t="n">
        <v>5282</v>
      </c>
      <c r="D19" s="28" t="n">
        <v>2.86</v>
      </c>
      <c r="E19" s="29" t="n">
        <v>2.475</v>
      </c>
      <c r="F19" s="30">
        <f>(1-ABS(D19-E19)/D19)*100</f>
        <v/>
      </c>
      <c r="G19" s="29" t="n">
        <v>0.183</v>
      </c>
      <c r="H19" s="29" t="n">
        <v>0.16</v>
      </c>
      <c r="I19" s="30">
        <f>(1-ABS(G19-H19)/G19)*100</f>
        <v/>
      </c>
      <c r="J19" s="28" t="n">
        <v>1.08</v>
      </c>
      <c r="K19" s="29" t="n">
        <v>1.019</v>
      </c>
      <c r="L19" s="30">
        <f>(1-ABS(J19-K19)/J19)*100</f>
        <v/>
      </c>
      <c r="M19" s="28" t="n">
        <v>0.36</v>
      </c>
      <c r="N19" s="29" t="n">
        <v>0.266</v>
      </c>
      <c r="O19" s="30">
        <f>(1-ABS(M19-N19)/M19)*100</f>
        <v/>
      </c>
      <c r="P19" s="31" t="n"/>
      <c r="Q19" s="32" t="n">
        <v>0.627</v>
      </c>
      <c r="R19" s="28" t="n"/>
      <c r="S19" s="33" t="n">
        <v>15.6</v>
      </c>
      <c r="T19" s="31" t="n">
        <v>13.14</v>
      </c>
      <c r="U19" s="30">
        <f>(1-ABS(S19-T19)/S19)*100</f>
        <v/>
      </c>
    </row>
    <row r="20">
      <c r="B20" s="26" t="inlineStr">
        <is>
          <t>09/7</t>
        </is>
      </c>
      <c r="C20" s="27" t="n">
        <v>5209</v>
      </c>
      <c r="D20" s="28" t="n">
        <v>2.63</v>
      </c>
      <c r="E20" s="29" t="n">
        <v>2.508</v>
      </c>
      <c r="F20" s="30">
        <f>(1-ABS(D20-E20)/D20)*100</f>
        <v/>
      </c>
      <c r="G20" s="29" t="n">
        <v>0.183</v>
      </c>
      <c r="H20" s="29" t="n">
        <v>0.163</v>
      </c>
      <c r="I20" s="30">
        <f>(1-ABS(G20-H20)/G20)*100</f>
        <v/>
      </c>
      <c r="J20" s="28" t="n">
        <v>1.06</v>
      </c>
      <c r="K20" s="29" t="n">
        <v>1.023</v>
      </c>
      <c r="L20" s="30">
        <f>(1-ABS(J20-K20)/J20)*100</f>
        <v/>
      </c>
      <c r="M20" s="28" t="n">
        <v>0.36</v>
      </c>
      <c r="N20" s="29" t="n">
        <v>0.264</v>
      </c>
      <c r="O20" s="30">
        <f>(1-ABS(M20-N20)/M20)*100</f>
        <v/>
      </c>
      <c r="P20" s="31" t="n"/>
      <c r="Q20" s="32" t="n">
        <v>0.635</v>
      </c>
      <c r="R20" s="28" t="n"/>
      <c r="S20" s="33" t="n">
        <v>17.1</v>
      </c>
      <c r="T20" s="31" t="n">
        <v>13.22</v>
      </c>
      <c r="U20" s="30">
        <f>(1-ABS(S20-T20)/S20)*100</f>
        <v/>
      </c>
    </row>
    <row r="21">
      <c r="B21" s="26" t="inlineStr">
        <is>
          <t>09/8</t>
        </is>
      </c>
      <c r="C21" s="27" t="n">
        <v>5993</v>
      </c>
      <c r="D21" s="28" t="n">
        <v>2.71</v>
      </c>
      <c r="E21" s="29" t="n">
        <v>2.494</v>
      </c>
      <c r="F21" s="30">
        <f>(1-ABS(D21-E21)/D21)*100</f>
        <v/>
      </c>
      <c r="G21" s="29" t="n">
        <v>0.183</v>
      </c>
      <c r="H21" s="29" t="n">
        <v>0.162</v>
      </c>
      <c r="I21" s="30">
        <f>(1-ABS(G21-H21)/G21)*100</f>
        <v/>
      </c>
      <c r="J21" s="28" t="n">
        <v>1.07</v>
      </c>
      <c r="K21" s="29" t="n">
        <v>1.016</v>
      </c>
      <c r="L21" s="30">
        <f>(1-ABS(J21-K21)/J21)*100</f>
        <v/>
      </c>
      <c r="M21" s="28" t="n">
        <v>0.34</v>
      </c>
      <c r="N21" s="29" t="n">
        <v>0.285</v>
      </c>
      <c r="O21" s="30">
        <f>(1-ABS(M21-N21)/M21)*100</f>
        <v/>
      </c>
      <c r="P21" s="31" t="n"/>
      <c r="Q21" s="32" t="n">
        <v>0.648</v>
      </c>
      <c r="R21" s="28" t="n"/>
      <c r="S21" s="33" t="n">
        <v>18</v>
      </c>
      <c r="T21" s="31" t="n">
        <v>12.35</v>
      </c>
      <c r="U21" s="30">
        <f>(1-ABS(S21-T21)/S21)*100</f>
        <v/>
      </c>
    </row>
    <row r="22">
      <c r="B22" s="26" t="inlineStr">
        <is>
          <t>09/9</t>
        </is>
      </c>
      <c r="C22" s="27" t="n">
        <v>5092</v>
      </c>
      <c r="D22" s="28" t="n">
        <v>2.72</v>
      </c>
      <c r="E22" s="29" t="n">
        <v>2.466</v>
      </c>
      <c r="F22" s="30">
        <f>(1-ABS(D22-E22)/D22)*100</f>
        <v/>
      </c>
      <c r="G22" s="29" t="n">
        <v>0.186</v>
      </c>
      <c r="H22" s="29" t="n">
        <v>0.161</v>
      </c>
      <c r="I22" s="30">
        <f>(1-ABS(G22-H22)/G22)*100</f>
        <v/>
      </c>
      <c r="J22" s="28" t="n">
        <v>1.16</v>
      </c>
      <c r="K22" s="29" t="n">
        <v>0.994</v>
      </c>
      <c r="L22" s="30">
        <f>(1-ABS(J22-K22)/J22)*100</f>
        <v/>
      </c>
      <c r="M22" s="28" t="n">
        <v>0.34</v>
      </c>
      <c r="N22" s="29" t="n">
        <v>0.293</v>
      </c>
      <c r="O22" s="30">
        <f>(1-ABS(M22-N22)/M22)*100</f>
        <v/>
      </c>
      <c r="P22" s="31" t="n"/>
      <c r="Q22" s="32" t="n">
        <v>0.659</v>
      </c>
      <c r="R22" s="28" t="n"/>
      <c r="S22" s="33" t="n">
        <v>16.2</v>
      </c>
      <c r="T22" s="31" t="n">
        <v>11.87</v>
      </c>
      <c r="U22" s="30">
        <f>(1-ABS(S22-T22)/S22)*100</f>
        <v/>
      </c>
    </row>
    <row r="23">
      <c r="B23" s="26" t="inlineStr">
        <is>
          <t>09/10</t>
        </is>
      </c>
      <c r="C23" s="27" t="n">
        <v>4668</v>
      </c>
      <c r="D23" s="28" t="n">
        <v>2.61</v>
      </c>
      <c r="E23" s="29" t="n">
        <v>2.536</v>
      </c>
      <c r="F23" s="30">
        <f>(1-ABS(D23-E23)/D23)*100</f>
        <v/>
      </c>
      <c r="G23" s="29" t="n">
        <v>0.176</v>
      </c>
      <c r="H23" s="29" t="n">
        <v>0.165</v>
      </c>
      <c r="I23" s="30">
        <f>(1-ABS(G23-H23)/G23)*100</f>
        <v/>
      </c>
      <c r="J23" s="28" t="n">
        <v>1.04</v>
      </c>
      <c r="K23" s="29" t="n">
        <v>1.016</v>
      </c>
      <c r="L23" s="30">
        <f>(1-ABS(J23-K23)/J23)*100</f>
        <v/>
      </c>
      <c r="M23" s="28" t="n">
        <v>0.36</v>
      </c>
      <c r="N23" s="29" t="n">
        <v>0.274</v>
      </c>
      <c r="O23" s="30">
        <f>(1-ABS(M23-N23)/M23)*100</f>
        <v/>
      </c>
      <c r="P23" s="31" t="n"/>
      <c r="Q23" s="32" t="n">
        <v>0.658</v>
      </c>
      <c r="R23" s="28" t="n"/>
      <c r="S23" s="33" t="n">
        <v>16.3</v>
      </c>
      <c r="T23" s="31" t="n">
        <v>13.82</v>
      </c>
      <c r="U23" s="30">
        <f>(1-ABS(S23-T23)/S23)*100</f>
        <v/>
      </c>
    </row>
    <row r="24">
      <c r="B24" s="26" t="inlineStr">
        <is>
          <t>09/11</t>
        </is>
      </c>
      <c r="C24" s="27" t="n">
        <v>5528</v>
      </c>
      <c r="D24" s="28" t="n">
        <v>2.63</v>
      </c>
      <c r="E24" s="29" t="n">
        <v>2.491</v>
      </c>
      <c r="F24" s="30">
        <f>(1-ABS(D24-E24)/D24)*100</f>
        <v/>
      </c>
      <c r="G24" s="29" t="n">
        <v>0.174</v>
      </c>
      <c r="H24" s="29" t="n">
        <v>0.163</v>
      </c>
      <c r="I24" s="30">
        <f>(1-ABS(G24-H24)/G24)*100</f>
        <v/>
      </c>
      <c r="J24" s="28" t="n">
        <v>1.06</v>
      </c>
      <c r="K24" s="29" t="n">
        <v>1.007</v>
      </c>
      <c r="L24" s="30">
        <f>(1-ABS(J24-K24)/J24)*100</f>
        <v/>
      </c>
      <c r="M24" s="28" t="n">
        <v>0.35</v>
      </c>
      <c r="N24" s="29" t="n">
        <v>0.292</v>
      </c>
      <c r="O24" s="30">
        <f>(1-ABS(M24-N24)/M24)*100</f>
        <v/>
      </c>
      <c r="P24" s="31" t="n"/>
      <c r="Q24" s="32" t="n">
        <v>0.662</v>
      </c>
      <c r="R24" s="28" t="n"/>
      <c r="S24" s="33" t="n">
        <v>16</v>
      </c>
      <c r="T24" s="31" t="n">
        <v>12.56</v>
      </c>
      <c r="U24" s="30">
        <f>(1-ABS(S24-T24)/S24)*100</f>
        <v/>
      </c>
    </row>
    <row r="25">
      <c r="B25" s="26" t="inlineStr">
        <is>
          <t>09/12</t>
        </is>
      </c>
      <c r="C25" s="27" t="n">
        <v>4382</v>
      </c>
      <c r="D25" s="28" t="n">
        <v>2.67</v>
      </c>
      <c r="E25" s="29" t="n">
        <v>2.511</v>
      </c>
      <c r="F25" s="30">
        <f>(1-ABS(D25-E25)/D25)*100</f>
        <v/>
      </c>
      <c r="G25" s="29" t="n">
        <v>0.173</v>
      </c>
      <c r="H25" s="29" t="n">
        <v>0.163</v>
      </c>
      <c r="I25" s="30">
        <f>(1-ABS(G25-H25)/G25)*100</f>
        <v/>
      </c>
      <c r="J25" s="28" t="n">
        <v>1.06</v>
      </c>
      <c r="K25" s="29" t="n">
        <v>1.022</v>
      </c>
      <c r="L25" s="30">
        <f>(1-ABS(J25-K25)/J25)*100</f>
        <v/>
      </c>
      <c r="M25" s="28" t="n">
        <v>0.37</v>
      </c>
      <c r="N25" s="29" t="n">
        <v>0.272</v>
      </c>
      <c r="O25" s="30">
        <f>(1-ABS(M25-N25)/M25)*100</f>
        <v/>
      </c>
      <c r="P25" s="31" t="n"/>
      <c r="Q25" s="32" t="n">
        <v>0.648</v>
      </c>
      <c r="R25" s="28" t="n"/>
      <c r="S25" s="33" t="n">
        <v>16.9</v>
      </c>
      <c r="T25" s="31" t="n">
        <v>13.07</v>
      </c>
      <c r="U25" s="30">
        <f>(1-ABS(S25-T25)/S25)*100</f>
        <v/>
      </c>
    </row>
    <row r="26">
      <c r="B26" s="26" t="inlineStr">
        <is>
          <t>09/24</t>
        </is>
      </c>
      <c r="C26" s="27" t="n">
        <v>4424</v>
      </c>
      <c r="D26" s="28" t="n">
        <v>2.71</v>
      </c>
      <c r="E26" s="29" t="n">
        <v>2.499</v>
      </c>
      <c r="F26" s="30">
        <f>(1-ABS(D26-E26)/D26)*100</f>
        <v/>
      </c>
      <c r="G26" s="29" t="n">
        <v>0.176</v>
      </c>
      <c r="H26" s="29" t="n">
        <v>0.162</v>
      </c>
      <c r="I26" s="30">
        <f>(1-ABS(G26-H26)/G26)*100</f>
        <v/>
      </c>
      <c r="J26" s="28" t="n">
        <v>1.06</v>
      </c>
      <c r="K26" s="29" t="n">
        <v>0.997</v>
      </c>
      <c r="L26" s="30">
        <f>(1-ABS(J26-K26)/J26)*100</f>
        <v/>
      </c>
      <c r="M26" s="28" t="n">
        <v>0.39</v>
      </c>
      <c r="N26" s="29" t="n">
        <v>0.282</v>
      </c>
      <c r="O26" s="30">
        <f>(1-ABS(M26-N26)/M26)*100</f>
        <v/>
      </c>
      <c r="P26" s="31" t="n"/>
      <c r="Q26" s="32" t="n">
        <v>0.657</v>
      </c>
      <c r="R26" s="28" t="n"/>
      <c r="S26" s="33" t="n">
        <v>17.9</v>
      </c>
      <c r="T26" s="31" t="n">
        <v>13.1</v>
      </c>
      <c r="U26" s="30">
        <f>(1-ABS(S26-T26)/S26)*100</f>
        <v/>
      </c>
    </row>
    <row r="27">
      <c r="B27" s="26" t="inlineStr">
        <is>
          <t>10/2</t>
        </is>
      </c>
      <c r="C27" s="27" t="n">
        <v>4857</v>
      </c>
      <c r="D27" s="28" t="n">
        <v>2.8</v>
      </c>
      <c r="E27" s="29" t="n">
        <v>2.534</v>
      </c>
      <c r="F27" s="30">
        <f>(1-ABS(D27-E27)/D27)*100</f>
        <v/>
      </c>
      <c r="G27" s="29" t="n">
        <v>0.187</v>
      </c>
      <c r="H27" s="29" t="n">
        <v>0.165</v>
      </c>
      <c r="I27" s="30">
        <f>(1-ABS(G27-H27)/G27)*100</f>
        <v/>
      </c>
      <c r="J27" s="28" t="n">
        <v>1.03</v>
      </c>
      <c r="K27" s="29" t="n">
        <v>1.015</v>
      </c>
      <c r="L27" s="30">
        <f>(1-ABS(J27-K27)/J27)*100</f>
        <v/>
      </c>
      <c r="M27" s="28" t="n">
        <v>0.35</v>
      </c>
      <c r="N27" s="29" t="n">
        <v>0.281</v>
      </c>
      <c r="O27" s="30">
        <f>(1-ABS(M27-N27)/M27)*100</f>
        <v/>
      </c>
      <c r="P27" s="31" t="n"/>
      <c r="Q27" s="32" t="n">
        <v>0.658</v>
      </c>
      <c r="R27" s="28" t="n"/>
      <c r="S27" s="33" t="n">
        <v>18.7</v>
      </c>
      <c r="T27" s="31" t="n">
        <v>14.11</v>
      </c>
      <c r="U27" s="30">
        <f>(1-ABS(S27-T27)/S27)*100</f>
        <v/>
      </c>
    </row>
    <row r="28">
      <c r="B28" s="26" t="inlineStr">
        <is>
          <t>10/3</t>
        </is>
      </c>
      <c r="C28" s="27" t="n">
        <v>4941</v>
      </c>
      <c r="D28" s="28" t="n">
        <v>2.77</v>
      </c>
      <c r="E28" s="29" t="n">
        <v>2.46</v>
      </c>
      <c r="F28" s="30">
        <f>(1-ABS(D28-E28)/D28)*100</f>
        <v/>
      </c>
      <c r="G28" s="29" t="n">
        <v>0.179</v>
      </c>
      <c r="H28" s="29" t="n">
        <v>0.159</v>
      </c>
      <c r="I28" s="30">
        <f>(1-ABS(G28-H28)/G28)*100</f>
        <v/>
      </c>
      <c r="J28" s="28" t="n">
        <v>1.03</v>
      </c>
      <c r="K28" s="29" t="n">
        <v>0.982</v>
      </c>
      <c r="L28" s="30">
        <f>(1-ABS(J28-K28)/J28)*100</f>
        <v/>
      </c>
      <c r="M28" s="28" t="n">
        <v>0.39</v>
      </c>
      <c r="N28" s="29" t="n">
        <v>0.263</v>
      </c>
      <c r="O28" s="30">
        <f>(1-ABS(M28-N28)/M28)*100</f>
        <v/>
      </c>
      <c r="P28" s="31" t="n"/>
      <c r="Q28" s="32" t="n">
        <v>0.641</v>
      </c>
      <c r="R28" s="28" t="n"/>
      <c r="S28" s="33" t="n">
        <v>17.8</v>
      </c>
      <c r="T28" s="31" t="n">
        <v>13.91</v>
      </c>
      <c r="U28" s="30">
        <f>(1-ABS(S28-T28)/S28)*100</f>
        <v/>
      </c>
    </row>
    <row r="29">
      <c r="B29" s="26" t="inlineStr">
        <is>
          <t>10/4</t>
        </is>
      </c>
      <c r="C29" s="27" t="n">
        <v>4736</v>
      </c>
      <c r="D29" s="28" t="n">
        <v>2.78</v>
      </c>
      <c r="E29" s="29" t="n">
        <v>2.453</v>
      </c>
      <c r="F29" s="30">
        <f>(1-ABS(D29-E29)/D29)*100</f>
        <v/>
      </c>
      <c r="G29" s="29" t="n">
        <v>0.18</v>
      </c>
      <c r="H29" s="29" t="n">
        <v>0.159</v>
      </c>
      <c r="I29" s="30">
        <f>(1-ABS(G29-H29)/G29)*100</f>
        <v/>
      </c>
      <c r="J29" s="28" t="n">
        <v>1.09</v>
      </c>
      <c r="K29" s="29" t="n">
        <v>0.975</v>
      </c>
      <c r="L29" s="30">
        <f>(1-ABS(J29-K29)/J29)*100</f>
        <v/>
      </c>
      <c r="M29" s="28" t="n">
        <v>0.42</v>
      </c>
      <c r="N29" s="29" t="n">
        <v>0.268</v>
      </c>
      <c r="O29" s="30">
        <f>(1-ABS(M29-N29)/M29)*100</f>
        <v/>
      </c>
      <c r="P29" s="31" t="n"/>
      <c r="Q29" s="32" t="n">
        <v>0.652</v>
      </c>
      <c r="R29" s="28" t="n"/>
      <c r="S29" s="33" t="n">
        <v>17.2</v>
      </c>
      <c r="T29" s="31" t="n">
        <v>13.13</v>
      </c>
      <c r="U29" s="30">
        <f>(1-ABS(S29-T29)/S29)*100</f>
        <v/>
      </c>
    </row>
    <row r="30">
      <c r="B30" s="26" t="inlineStr">
        <is>
          <t>10/5</t>
        </is>
      </c>
      <c r="C30" s="27" t="n">
        <v>4994</v>
      </c>
      <c r="D30" s="28" t="n">
        <v>2.76</v>
      </c>
      <c r="E30" s="29" t="n">
        <v>2.534</v>
      </c>
      <c r="F30" s="30">
        <f>(1-ABS(D30-E30)/D30)*100</f>
        <v/>
      </c>
      <c r="G30" s="29" t="n">
        <v>0.184</v>
      </c>
      <c r="H30" s="29" t="n">
        <v>0.164</v>
      </c>
      <c r="I30" s="30">
        <f>(1-ABS(G30-H30)/G30)*100</f>
        <v/>
      </c>
      <c r="J30" s="28" t="n">
        <v>1.03</v>
      </c>
      <c r="K30" s="29" t="n">
        <v>1.004</v>
      </c>
      <c r="L30" s="30">
        <f>(1-ABS(J30-K30)/J30)*100</f>
        <v/>
      </c>
      <c r="M30" s="28" t="n">
        <v>0.4</v>
      </c>
      <c r="N30" s="29" t="n">
        <v>0.278</v>
      </c>
      <c r="O30" s="30">
        <f>(1-ABS(M30-N30)/M30)*100</f>
        <v/>
      </c>
      <c r="P30" s="31" t="n"/>
      <c r="Q30" s="32" t="n">
        <v>0.664</v>
      </c>
      <c r="R30" s="28" t="n"/>
      <c r="S30" s="33" t="n">
        <v>17.1</v>
      </c>
      <c r="T30" s="31" t="n">
        <v>13.9</v>
      </c>
      <c r="U30" s="30">
        <f>(1-ABS(S30-T30)/S30)*100</f>
        <v/>
      </c>
    </row>
    <row r="31">
      <c r="B31" s="26" t="inlineStr">
        <is>
          <t>10/6</t>
        </is>
      </c>
      <c r="C31" s="27" t="n">
        <v>5115</v>
      </c>
      <c r="D31" s="28" t="n">
        <v>2.71</v>
      </c>
      <c r="E31" s="29" t="n">
        <v>2.54</v>
      </c>
      <c r="F31" s="30">
        <f>(1-ABS(D31-E31)/D31)*100</f>
        <v/>
      </c>
      <c r="G31" s="29" t="n">
        <v>0.191</v>
      </c>
      <c r="H31" s="29" t="n">
        <v>0.164</v>
      </c>
      <c r="I31" s="30">
        <f>(1-ABS(G31-H31)/G31)*100</f>
        <v/>
      </c>
      <c r="J31" s="28" t="n">
        <v>1.14</v>
      </c>
      <c r="K31" s="29" t="n">
        <v>0.997</v>
      </c>
      <c r="L31" s="30">
        <f>(1-ABS(J31-K31)/J31)*100</f>
        <v/>
      </c>
      <c r="M31" s="28" t="n">
        <v>0.4</v>
      </c>
      <c r="N31" s="29" t="n">
        <v>0.253</v>
      </c>
      <c r="O31" s="30">
        <f>(1-ABS(M31-N31)/M31)*100</f>
        <v/>
      </c>
      <c r="P31" s="31" t="n"/>
      <c r="Q31" s="32" t="n">
        <v>0.658</v>
      </c>
      <c r="R31" s="28" t="n"/>
      <c r="S31" s="33" t="n">
        <v>17.4</v>
      </c>
      <c r="T31" s="31" t="n">
        <v>14.47</v>
      </c>
      <c r="U31" s="30">
        <f>(1-ABS(S31-T31)/S31)*100</f>
        <v/>
      </c>
    </row>
    <row r="32">
      <c r="B32" s="26" t="inlineStr">
        <is>
          <t>10/7</t>
        </is>
      </c>
      <c r="C32" s="27" t="n">
        <v>5043</v>
      </c>
      <c r="D32" s="28" t="n">
        <v>2.78</v>
      </c>
      <c r="E32" s="29" t="n">
        <v>2.537</v>
      </c>
      <c r="F32" s="30">
        <f>(1-ABS(D32-E32)/D32)*100</f>
        <v/>
      </c>
      <c r="G32" s="29" t="n">
        <v>0.176</v>
      </c>
      <c r="H32" s="29" t="n">
        <v>0.165</v>
      </c>
      <c r="I32" s="30">
        <f>(1-ABS(G32-H32)/G32)*100</f>
        <v/>
      </c>
      <c r="J32" s="28" t="n">
        <v>1.14</v>
      </c>
      <c r="K32" s="29" t="n">
        <v>1.01</v>
      </c>
      <c r="L32" s="30">
        <f>(1-ABS(J32-K32)/J32)*100</f>
        <v/>
      </c>
      <c r="M32" s="28" t="n">
        <v>0.36</v>
      </c>
      <c r="N32" s="29" t="n">
        <v>0.255</v>
      </c>
      <c r="O32" s="30">
        <f>(1-ABS(M32-N32)/M32)*100</f>
        <v/>
      </c>
      <c r="P32" s="31" t="n"/>
      <c r="Q32" s="32" t="n">
        <v>0.656</v>
      </c>
      <c r="R32" s="28" t="n"/>
      <c r="S32" s="33" t="n">
        <v>18.9</v>
      </c>
      <c r="T32" s="31" t="n">
        <v>14.73</v>
      </c>
      <c r="U32" s="30">
        <f>(1-ABS(S32-T32)/S32)*100</f>
        <v/>
      </c>
    </row>
    <row r="33">
      <c r="B33" s="26" t="inlineStr">
        <is>
          <t>10/8</t>
        </is>
      </c>
      <c r="C33" s="27" t="n">
        <v>5171</v>
      </c>
      <c r="D33" s="28" t="n">
        <v>2.66</v>
      </c>
      <c r="E33" s="29" t="n">
        <v>2.545</v>
      </c>
      <c r="F33" s="30">
        <f>(1-ABS(D33-E33)/D33)*100</f>
        <v/>
      </c>
      <c r="G33" s="29" t="n">
        <v>0.181</v>
      </c>
      <c r="H33" s="29" t="n">
        <v>0.165</v>
      </c>
      <c r="I33" s="30">
        <f>(1-ABS(G33-H33)/G33)*100</f>
        <v/>
      </c>
      <c r="J33" s="28" t="n">
        <v>1.08</v>
      </c>
      <c r="K33" s="29" t="n">
        <v>1.014</v>
      </c>
      <c r="L33" s="30">
        <f>(1-ABS(J33-K33)/J33)*100</f>
        <v/>
      </c>
      <c r="M33" s="28" t="n">
        <v>0.4</v>
      </c>
      <c r="N33" s="29" t="n">
        <v>0.262</v>
      </c>
      <c r="O33" s="30">
        <f>(1-ABS(M33-N33)/M33)*100</f>
        <v/>
      </c>
      <c r="P33" s="31" t="n"/>
      <c r="Q33" s="32" t="n">
        <v>0.654</v>
      </c>
      <c r="R33" s="28" t="n"/>
      <c r="S33" s="33" t="n">
        <v>19.2</v>
      </c>
      <c r="T33" s="31" t="n">
        <v>14.58</v>
      </c>
      <c r="U33" s="30">
        <f>(1-ABS(S33-T33)/S33)*100</f>
        <v/>
      </c>
    </row>
    <row r="34">
      <c r="B34" s="26" t="inlineStr">
        <is>
          <t>10/9</t>
        </is>
      </c>
      <c r="C34" s="27" t="n">
        <v>4462</v>
      </c>
      <c r="D34" s="28" t="n">
        <v>2.86</v>
      </c>
      <c r="E34" s="29" t="n">
        <v>2.551</v>
      </c>
      <c r="F34" s="30">
        <f>(1-ABS(D34-E34)/D34)*100</f>
        <v/>
      </c>
      <c r="G34" s="29" t="n">
        <v>0.174</v>
      </c>
      <c r="H34" s="29" t="n">
        <v>0.164</v>
      </c>
      <c r="I34" s="30">
        <f>(1-ABS(G34-H34)/G34)*100</f>
        <v/>
      </c>
      <c r="J34" s="28" t="n">
        <v>1.05</v>
      </c>
      <c r="K34" s="29" t="n">
        <v>0.998</v>
      </c>
      <c r="L34" s="30">
        <f>(1-ABS(J34-K34)/J34)*100</f>
        <v/>
      </c>
      <c r="M34" s="28" t="n">
        <v>0.36</v>
      </c>
      <c r="N34" s="29" t="n">
        <v>0.264</v>
      </c>
      <c r="O34" s="30">
        <f>(1-ABS(M34-N34)/M34)*100</f>
        <v/>
      </c>
      <c r="P34" s="31" t="n"/>
      <c r="Q34" s="32" t="n">
        <v>0.649</v>
      </c>
      <c r="R34" s="28" t="n"/>
      <c r="S34" s="33" t="n">
        <v>16.7</v>
      </c>
      <c r="T34" s="31" t="n">
        <v>14.28</v>
      </c>
      <c r="U34" s="30">
        <f>(1-ABS(S34-T34)/S34)*100</f>
        <v/>
      </c>
    </row>
    <row r="35">
      <c r="B35" s="26" t="inlineStr">
        <is>
          <t>10/20</t>
        </is>
      </c>
      <c r="C35" s="27" t="n">
        <v>5437</v>
      </c>
      <c r="D35" s="28" t="n">
        <v>2.76</v>
      </c>
      <c r="E35" s="29" t="n">
        <v>2.54</v>
      </c>
      <c r="F35" s="30">
        <f>(1-ABS(D35-E35)/D35)*100</f>
        <v/>
      </c>
      <c r="G35" s="29" t="n">
        <v>0.174</v>
      </c>
      <c r="H35" s="29" t="n">
        <v>0.166</v>
      </c>
      <c r="I35" s="30">
        <f>(1-ABS(G35-H35)/G35)*100</f>
        <v/>
      </c>
      <c r="J35" s="28" t="n">
        <v>1.09</v>
      </c>
      <c r="K35" s="29" t="n">
        <v>1.013</v>
      </c>
      <c r="L35" s="30">
        <f>(1-ABS(J35-K35)/J35)*100</f>
        <v/>
      </c>
      <c r="M35" s="28" t="n">
        <v>0.39</v>
      </c>
      <c r="N35" s="29" t="n">
        <v>0.306</v>
      </c>
      <c r="O35" s="30">
        <f>(1-ABS(M35-N35)/M35)*100</f>
        <v/>
      </c>
      <c r="P35" s="31" t="n"/>
      <c r="Q35" s="32" t="n">
        <v>0.672</v>
      </c>
      <c r="R35" s="28" t="n"/>
      <c r="S35" s="33" t="n">
        <v>16.5</v>
      </c>
      <c r="T35" s="31" t="n">
        <v>14.4</v>
      </c>
      <c r="U35" s="30">
        <f>(1-ABS(S35-T35)/S35)*100</f>
        <v/>
      </c>
    </row>
    <row r="36">
      <c r="B36" s="26" t="inlineStr">
        <is>
          <t>10/25</t>
        </is>
      </c>
      <c r="C36" s="27" t="n">
        <v>5542</v>
      </c>
      <c r="D36" s="28" t="n">
        <v>2.77</v>
      </c>
      <c r="E36" s="29" t="n">
        <v>2.451</v>
      </c>
      <c r="F36" s="30">
        <f>(1-ABS(D36-E36)/D36)*100</f>
        <v/>
      </c>
      <c r="G36" s="29" t="n">
        <v>0.18</v>
      </c>
      <c r="H36" s="29" t="n">
        <v>0.159</v>
      </c>
      <c r="I36" s="30">
        <f>(1-ABS(G36-H36)/G36)*100</f>
        <v/>
      </c>
      <c r="J36" s="28" t="n">
        <v>1.08</v>
      </c>
      <c r="K36" s="29" t="n">
        <v>0.983</v>
      </c>
      <c r="L36" s="30">
        <f>(1-ABS(J36-K36)/J36)*100</f>
        <v/>
      </c>
      <c r="M36" s="28" t="n">
        <v>0.42</v>
      </c>
      <c r="N36" s="29" t="n">
        <v>0.298</v>
      </c>
      <c r="O36" s="30">
        <f>(1-ABS(M36-N36)/M36)*100</f>
        <v/>
      </c>
      <c r="P36" s="31" t="n"/>
      <c r="Q36" s="32" t="n">
        <v>0.659</v>
      </c>
      <c r="R36" s="28" t="n"/>
      <c r="S36" s="33" t="n">
        <v>16.3</v>
      </c>
      <c r="T36" s="31" t="n">
        <v>11.94</v>
      </c>
      <c r="U36" s="30">
        <f>(1-ABS(S36-T36)/S36)*100</f>
        <v/>
      </c>
    </row>
    <row r="37">
      <c r="B37" s="26" t="inlineStr">
        <is>
          <t>10/26</t>
        </is>
      </c>
      <c r="C37" s="27" t="n">
        <v>6644</v>
      </c>
      <c r="D37" s="28" t="n">
        <v>2.65</v>
      </c>
      <c r="E37" s="29" t="n">
        <v>2.498</v>
      </c>
      <c r="F37" s="30">
        <f>(1-ABS(D37-E37)/D37)*100</f>
        <v/>
      </c>
      <c r="G37" s="29" t="n">
        <v>0.194</v>
      </c>
      <c r="H37" s="29" t="n">
        <v>0.163</v>
      </c>
      <c r="I37" s="30">
        <f>(1-ABS(G37-H37)/G37)*100</f>
        <v/>
      </c>
      <c r="J37" s="28" t="n">
        <v>1.14</v>
      </c>
      <c r="K37" s="29" t="n">
        <v>1.01</v>
      </c>
      <c r="L37" s="30">
        <f>(1-ABS(J37-K37)/J37)*100</f>
        <v/>
      </c>
      <c r="M37" s="28" t="n">
        <v>0.39</v>
      </c>
      <c r="N37" s="29" t="n">
        <v>0.291</v>
      </c>
      <c r="O37" s="30">
        <f>(1-ABS(M37-N37)/M37)*100</f>
        <v/>
      </c>
      <c r="P37" s="31" t="n"/>
      <c r="Q37" s="32" t="n">
        <v>0.663</v>
      </c>
      <c r="R37" s="28" t="n"/>
      <c r="S37" s="33" t="n">
        <v>13.2</v>
      </c>
      <c r="T37" s="31" t="n">
        <v>12.5</v>
      </c>
      <c r="U37" s="30">
        <f>(1-ABS(S37-T37)/S37)*100</f>
        <v/>
      </c>
    </row>
    <row r="38">
      <c r="B38" s="26" t="inlineStr">
        <is>
          <t>11/11</t>
        </is>
      </c>
      <c r="C38" s="27" t="n">
        <v>4369</v>
      </c>
      <c r="D38" s="28" t="n">
        <v>2.59</v>
      </c>
      <c r="E38" s="29" t="n">
        <v>2.488</v>
      </c>
      <c r="F38" s="30">
        <f>(1-ABS(D38-E38)/D38)*100</f>
        <v/>
      </c>
      <c r="G38" s="29" t="n">
        <v>0.183</v>
      </c>
      <c r="H38" s="29" t="n">
        <v>0.16</v>
      </c>
      <c r="I38" s="30">
        <f>(1-ABS(G38-H38)/G38)*100</f>
        <v/>
      </c>
      <c r="J38" s="28" t="n">
        <v>1.04</v>
      </c>
      <c r="K38" s="29" t="n">
        <v>0.978</v>
      </c>
      <c r="L38" s="30">
        <f>(1-ABS(J38-K38)/J38)*100</f>
        <v/>
      </c>
      <c r="M38" s="28" t="n">
        <v>0.39</v>
      </c>
      <c r="N38" s="29" t="n">
        <v>0.256</v>
      </c>
      <c r="O38" s="30">
        <f>(1-ABS(M38-N38)/M38)*100</f>
        <v/>
      </c>
      <c r="P38" s="31" t="n"/>
      <c r="Q38" s="32" t="n">
        <v>0.635</v>
      </c>
      <c r="R38" s="28" t="n"/>
      <c r="S38" s="33" t="n">
        <v>15.1</v>
      </c>
      <c r="T38" s="31" t="n">
        <v>13.81</v>
      </c>
      <c r="U38" s="30">
        <f>(1-ABS(S38-T38)/S38)*100</f>
        <v/>
      </c>
    </row>
    <row r="39">
      <c r="B39" s="26" t="inlineStr">
        <is>
          <t>11/12</t>
        </is>
      </c>
      <c r="C39" s="27" t="n">
        <v>3760</v>
      </c>
      <c r="D39" s="28" t="n">
        <v>2.83</v>
      </c>
      <c r="E39" s="29" t="n">
        <v>2.548</v>
      </c>
      <c r="F39" s="30">
        <f>(1-ABS(D39-E39)/D39)*100</f>
        <v/>
      </c>
      <c r="G39" s="29" t="n">
        <v>0.181</v>
      </c>
      <c r="H39" s="29" t="n">
        <v>0.166</v>
      </c>
      <c r="I39" s="30">
        <f>(1-ABS(G39-H39)/G39)*100</f>
        <v/>
      </c>
      <c r="J39" s="28" t="n">
        <v>1.04</v>
      </c>
      <c r="K39" s="29" t="n">
        <v>1.022</v>
      </c>
      <c r="L39" s="30">
        <f>(1-ABS(J39-K39)/J39)*100</f>
        <v/>
      </c>
      <c r="M39" s="28" t="n">
        <v>0.38</v>
      </c>
      <c r="N39" s="29" t="n">
        <v>0.28</v>
      </c>
      <c r="O39" s="30">
        <f>(1-ABS(M39-N39)/M39)*100</f>
        <v/>
      </c>
      <c r="P39" s="31" t="n"/>
      <c r="Q39" s="32" t="n">
        <v>0.658</v>
      </c>
      <c r="R39" s="28" t="n"/>
      <c r="S39" s="33" t="n">
        <v>18.4</v>
      </c>
      <c r="T39" s="31" t="n">
        <v>14.3</v>
      </c>
      <c r="U39" s="30">
        <f>(1-ABS(S39-T39)/S39)*100</f>
        <v/>
      </c>
    </row>
    <row r="40">
      <c r="B40" s="26" t="inlineStr">
        <is>
          <t>11/13</t>
        </is>
      </c>
      <c r="C40" s="27" t="n">
        <v>5434</v>
      </c>
      <c r="D40" s="28" t="n">
        <v>2.83</v>
      </c>
      <c r="E40" s="29" t="n">
        <v>2.538</v>
      </c>
      <c r="F40" s="30">
        <f>(1-ABS(D40-E40)/D40)*100</f>
        <v/>
      </c>
      <c r="G40" s="29" t="n">
        <v>0.179</v>
      </c>
      <c r="H40" s="29" t="n">
        <v>0.165</v>
      </c>
      <c r="I40" s="30">
        <f>(1-ABS(G40-H40)/G40)*100</f>
        <v/>
      </c>
      <c r="J40" s="28" t="n">
        <v>1.04</v>
      </c>
      <c r="K40" s="29" t="n">
        <v>1.024</v>
      </c>
      <c r="L40" s="30">
        <f>(1-ABS(J40-K40)/J40)*100</f>
        <v/>
      </c>
      <c r="M40" s="28" t="n">
        <v>0.41</v>
      </c>
      <c r="N40" s="29" t="n">
        <v>0.288</v>
      </c>
      <c r="O40" s="30">
        <f>(1-ABS(M40-N40)/M40)*100</f>
        <v/>
      </c>
      <c r="P40" s="31" t="n"/>
      <c r="Q40" s="32" t="n">
        <v>0.651</v>
      </c>
      <c r="R40" s="28" t="n"/>
      <c r="S40" s="33" t="n">
        <v>16</v>
      </c>
      <c r="T40" s="31" t="n">
        <v>13.99</v>
      </c>
      <c r="U40" s="30">
        <f>(1-ABS(S40-T40)/S40)*100</f>
        <v/>
      </c>
    </row>
    <row r="41">
      <c r="B41" s="26" t="inlineStr">
        <is>
          <t>11/14</t>
        </is>
      </c>
      <c r="C41" s="27" t="n">
        <v>4565</v>
      </c>
      <c r="D41" s="28" t="n">
        <v>2.89</v>
      </c>
      <c r="E41" s="29" t="n">
        <v>2.519</v>
      </c>
      <c r="F41" s="30">
        <f>(1-ABS(D41-E41)/D41)*100</f>
        <v/>
      </c>
      <c r="G41" s="29" t="n">
        <v>0.18</v>
      </c>
      <c r="H41" s="29" t="n">
        <v>0.163</v>
      </c>
      <c r="I41" s="30">
        <f>(1-ABS(G41-H41)/G41)*100</f>
        <v/>
      </c>
      <c r="J41" s="28" t="n">
        <v>1.06</v>
      </c>
      <c r="K41" s="29" t="n">
        <v>1.017</v>
      </c>
      <c r="L41" s="30">
        <f>(1-ABS(J41-K41)/J41)*100</f>
        <v/>
      </c>
      <c r="M41" s="28" t="n">
        <v>0.36</v>
      </c>
      <c r="N41" s="29" t="n">
        <v>0.294</v>
      </c>
      <c r="O41" s="30">
        <f>(1-ABS(M41-N41)/M41)*100</f>
        <v/>
      </c>
      <c r="P41" s="31" t="n"/>
      <c r="Q41" s="32" t="n">
        <v>0.653</v>
      </c>
      <c r="R41" s="28" t="n"/>
      <c r="S41" s="33" t="n">
        <v>15.7</v>
      </c>
      <c r="T41" s="31" t="n">
        <v>13.59</v>
      </c>
      <c r="U41" s="30">
        <f>(1-ABS(S41-T41)/S41)*100</f>
        <v/>
      </c>
    </row>
    <row r="42">
      <c r="B42" s="26" t="inlineStr">
        <is>
          <t>12/15</t>
        </is>
      </c>
      <c r="C42" s="27" t="n">
        <v>5055</v>
      </c>
      <c r="D42" s="28" t="n">
        <v>2.7</v>
      </c>
      <c r="E42" s="29" t="n">
        <v>2.522</v>
      </c>
      <c r="F42" s="30">
        <f>(1-ABS(D42-E42)/D42)*100</f>
        <v/>
      </c>
      <c r="G42" s="29" t="n">
        <v>0.18</v>
      </c>
      <c r="H42" s="29" t="n">
        <v>0.163</v>
      </c>
      <c r="I42" s="30">
        <f>(1-ABS(G42-H42)/G42)*100</f>
        <v/>
      </c>
      <c r="J42" s="28" t="n">
        <v>1.14</v>
      </c>
      <c r="K42" s="29" t="n">
        <v>1.017</v>
      </c>
      <c r="L42" s="30">
        <f>(1-ABS(J42-K42)/J42)*100</f>
        <v/>
      </c>
      <c r="M42" s="28" t="n">
        <v>0.36</v>
      </c>
      <c r="N42" s="29" t="n">
        <v>0.303</v>
      </c>
      <c r="O42" s="30">
        <f>(1-ABS(M42-N42)/M42)*100</f>
        <v/>
      </c>
      <c r="P42" s="31" t="n"/>
      <c r="Q42" s="32" t="n">
        <v>0.662</v>
      </c>
      <c r="R42" s="28" t="n"/>
      <c r="S42" s="33" t="n">
        <v>15.4</v>
      </c>
      <c r="T42" s="31" t="n">
        <v>13.27</v>
      </c>
      <c r="U42" s="30">
        <f>(1-ABS(S42-T42)/S42)*100</f>
        <v/>
      </c>
    </row>
    <row r="43">
      <c r="B43" s="26" t="inlineStr">
        <is>
          <t>12/16</t>
        </is>
      </c>
      <c r="C43" s="27" t="n">
        <v>4896</v>
      </c>
      <c r="D43" s="28" t="n">
        <v>2.85</v>
      </c>
      <c r="E43" s="29" t="n">
        <v>2.503</v>
      </c>
      <c r="F43" s="30">
        <f>(1-ABS(D43-E43)/D43)*100</f>
        <v/>
      </c>
      <c r="G43" s="29" t="n">
        <v>0.179</v>
      </c>
      <c r="H43" s="29" t="n">
        <v>0.161</v>
      </c>
      <c r="I43" s="30">
        <f>(1-ABS(G43-H43)/G43)*100</f>
        <v/>
      </c>
      <c r="J43" s="28" t="n">
        <v>1.16</v>
      </c>
      <c r="K43" s="29" t="n">
        <v>1.011</v>
      </c>
      <c r="L43" s="30">
        <f>(1-ABS(J43-K43)/J43)*100</f>
        <v/>
      </c>
      <c r="M43" s="28" t="n">
        <v>0.37</v>
      </c>
      <c r="N43" s="29" t="n">
        <v>0.295</v>
      </c>
      <c r="O43" s="30">
        <f>(1-ABS(M43-N43)/M43)*100</f>
        <v/>
      </c>
      <c r="P43" s="31" t="n"/>
      <c r="Q43" s="32" t="n">
        <v>0.648</v>
      </c>
      <c r="R43" s="28" t="n"/>
      <c r="S43" s="33" t="n">
        <v>15.9</v>
      </c>
      <c r="T43" s="31" t="n">
        <v>13.69</v>
      </c>
      <c r="U43" s="30">
        <f>(1-ABS(S43-T43)/S43)*100</f>
        <v/>
      </c>
    </row>
    <row r="44">
      <c r="B44" s="26" t="inlineStr">
        <is>
          <t>12/17</t>
        </is>
      </c>
      <c r="C44" s="27" t="n">
        <v>5519</v>
      </c>
      <c r="D44" s="28" t="n">
        <v>2.78</v>
      </c>
      <c r="E44" s="29" t="n">
        <v>2.48</v>
      </c>
      <c r="F44" s="30">
        <f>(1-ABS(D44-E44)/D44)*100</f>
        <v/>
      </c>
      <c r="G44" s="29" t="n">
        <v>0.193</v>
      </c>
      <c r="H44" s="29" t="n">
        <v>0.16</v>
      </c>
      <c r="I44" s="30">
        <f>(1-ABS(G44-H44)/G44)*100</f>
        <v/>
      </c>
      <c r="J44" s="28" t="n">
        <v>1.1</v>
      </c>
      <c r="K44" s="29" t="n">
        <v>1.006</v>
      </c>
      <c r="L44" s="30">
        <f>(1-ABS(J44-K44)/J44)*100</f>
        <v/>
      </c>
      <c r="M44" s="28" t="n">
        <v>0.35</v>
      </c>
      <c r="N44" s="29" t="n">
        <v>0.294</v>
      </c>
      <c r="O44" s="30">
        <f>(1-ABS(M44-N44)/M44)*100</f>
        <v/>
      </c>
      <c r="P44" s="31" t="n"/>
      <c r="Q44" s="32" t="n">
        <v>0.639</v>
      </c>
      <c r="R44" s="28" t="n"/>
      <c r="S44" s="33" t="n">
        <v>13.3</v>
      </c>
      <c r="T44" s="31" t="n">
        <v>13.28</v>
      </c>
      <c r="U44" s="30">
        <f>(1-ABS(S44-T44)/S44)*100</f>
        <v/>
      </c>
    </row>
    <row r="45">
      <c r="B45" s="26" t="inlineStr">
        <is>
          <t>12/18A</t>
        </is>
      </c>
      <c r="C45" s="27" t="n">
        <v>5796</v>
      </c>
      <c r="D45" s="28" t="n">
        <v>2.88</v>
      </c>
      <c r="E45" s="29" t="n">
        <v>2.533</v>
      </c>
      <c r="F45" s="30">
        <f>(1-ABS(D45-E45)/D45)*100</f>
        <v/>
      </c>
      <c r="G45" s="29" t="n">
        <v>0.186</v>
      </c>
      <c r="H45" s="29" t="n">
        <v>0.164</v>
      </c>
      <c r="I45" s="30">
        <f>(1-ABS(G45-H45)/G45)*100</f>
        <v/>
      </c>
      <c r="J45" s="28" t="n">
        <v>1.14</v>
      </c>
      <c r="K45" s="29" t="n">
        <v>1.028</v>
      </c>
      <c r="L45" s="30">
        <f>(1-ABS(J45-K45)/J45)*100</f>
        <v/>
      </c>
      <c r="M45" s="28" t="n">
        <v>0.34</v>
      </c>
      <c r="N45" s="29" t="n">
        <v>0.301</v>
      </c>
      <c r="O45" s="30">
        <f>(1-ABS(M45-N45)/M45)*100</f>
        <v/>
      </c>
      <c r="P45" s="31" t="n"/>
      <c r="Q45" s="32" t="n">
        <v>0.655</v>
      </c>
      <c r="R45" s="28" t="n"/>
      <c r="S45" s="33" t="n">
        <v>15.1</v>
      </c>
      <c r="T45" s="31" t="n">
        <v>13.35</v>
      </c>
      <c r="U45" s="30">
        <f>(1-ABS(S45-T45)/S45)*100</f>
        <v/>
      </c>
    </row>
    <row r="46">
      <c r="B46" s="26" t="inlineStr">
        <is>
          <t>12/19A</t>
        </is>
      </c>
      <c r="C46" s="27" t="n">
        <v>7359</v>
      </c>
      <c r="D46" s="28" t="n">
        <v>2.94</v>
      </c>
      <c r="E46" s="29" t="n">
        <v>2.538</v>
      </c>
      <c r="F46" s="30">
        <f>(1-ABS(D46-E46)/D46)*100</f>
        <v/>
      </c>
      <c r="G46" s="29" t="n">
        <v>0.185</v>
      </c>
      <c r="H46" s="29" t="n">
        <v>0.164</v>
      </c>
      <c r="I46" s="30">
        <f>(1-ABS(G46-H46)/G46)*100</f>
        <v/>
      </c>
      <c r="J46" s="28" t="n">
        <v>1.13</v>
      </c>
      <c r="K46" s="29" t="n">
        <v>1.031</v>
      </c>
      <c r="L46" s="30">
        <f>(1-ABS(J46-K46)/J46)*100</f>
        <v/>
      </c>
      <c r="M46" s="28" t="n">
        <v>0.34</v>
      </c>
      <c r="N46" s="29" t="n">
        <v>0.283</v>
      </c>
      <c r="O46" s="30">
        <f>(1-ABS(M46-N46)/M46)*100</f>
        <v/>
      </c>
      <c r="P46" s="31" t="n"/>
      <c r="Q46" s="32" t="n">
        <v>0.645</v>
      </c>
      <c r="R46" s="28" t="n"/>
      <c r="S46" s="33" t="n">
        <v>15.2</v>
      </c>
      <c r="T46" s="31" t="n">
        <v>13.83</v>
      </c>
      <c r="U46" s="30">
        <f>(1-ABS(S46-T46)/S46)*100</f>
        <v/>
      </c>
    </row>
    <row r="47">
      <c r="B47" s="26" t="inlineStr">
        <is>
          <t>12/20</t>
        </is>
      </c>
      <c r="C47" s="27" t="n">
        <v>7137</v>
      </c>
      <c r="D47" s="28" t="n">
        <v>2.92</v>
      </c>
      <c r="E47" s="29" t="n">
        <v>2.517</v>
      </c>
      <c r="F47" s="30">
        <f>(1-ABS(D47-E47)/D47)*100</f>
        <v/>
      </c>
      <c r="G47" s="29" t="n">
        <v>0.186</v>
      </c>
      <c r="H47" s="29" t="n">
        <v>0.163</v>
      </c>
      <c r="I47" s="30">
        <f>(1-ABS(G47-H47)/G47)*100</f>
        <v/>
      </c>
      <c r="J47" s="28" t="n">
        <v>1.08</v>
      </c>
      <c r="K47" s="29" t="n">
        <v>1.015</v>
      </c>
      <c r="L47" s="30">
        <f>(1-ABS(J47-K47)/J47)*100</f>
        <v/>
      </c>
      <c r="M47" s="28" t="n">
        <v>0.38</v>
      </c>
      <c r="N47" s="29" t="n">
        <v>0.284</v>
      </c>
      <c r="O47" s="30">
        <f>(1-ABS(M47-N47)/M47)*100</f>
        <v/>
      </c>
      <c r="P47" s="31" t="n"/>
      <c r="Q47" s="32" t="n">
        <v>0.649</v>
      </c>
      <c r="R47" s="28" t="n"/>
      <c r="S47" s="33" t="n">
        <v>18.8</v>
      </c>
      <c r="T47" s="31" t="n">
        <v>13.96</v>
      </c>
      <c r="U47" s="30">
        <f>(1-ABS(S47-T47)/S47)*100</f>
        <v/>
      </c>
    </row>
    <row r="48">
      <c r="B48" s="26" t="inlineStr">
        <is>
          <t>12/21</t>
        </is>
      </c>
      <c r="C48" s="27" t="n">
        <v>5928</v>
      </c>
      <c r="D48" s="28" t="n">
        <v>2.53</v>
      </c>
      <c r="E48" s="29" t="n">
        <v>2.488</v>
      </c>
      <c r="F48" s="30">
        <f>(1-ABS(D48-E48)/D48)*100</f>
        <v/>
      </c>
      <c r="G48" s="29" t="n">
        <v>0.188</v>
      </c>
      <c r="H48" s="29" t="n">
        <v>0.161</v>
      </c>
      <c r="I48" s="30">
        <f>(1-ABS(G48-H48)/G48)*100</f>
        <v/>
      </c>
      <c r="J48" s="28" t="n">
        <v>1.16</v>
      </c>
      <c r="K48" s="29" t="n">
        <v>1.009</v>
      </c>
      <c r="L48" s="30">
        <f>(1-ABS(J48-K48)/J48)*100</f>
        <v/>
      </c>
      <c r="M48" s="28" t="n">
        <v>0.4</v>
      </c>
      <c r="N48" s="29" t="n">
        <v>0.283</v>
      </c>
      <c r="O48" s="30">
        <f>(1-ABS(M48-N48)/M48)*100</f>
        <v/>
      </c>
      <c r="P48" s="31" t="n"/>
      <c r="Q48" s="32" t="n">
        <v>0.641</v>
      </c>
      <c r="R48" s="28" t="n"/>
      <c r="S48" s="33" t="n">
        <v>18.2</v>
      </c>
      <c r="T48" s="31" t="n">
        <v>13.66</v>
      </c>
      <c r="U48" s="30">
        <f>(1-ABS(S48-T48)/S48)*100</f>
        <v/>
      </c>
    </row>
    <row r="49">
      <c r="B49" s="26" t="inlineStr">
        <is>
          <t>12/25A</t>
        </is>
      </c>
      <c r="C49" s="27" t="n">
        <v>5969</v>
      </c>
      <c r="D49" s="28" t="n">
        <v>2.49</v>
      </c>
      <c r="E49" s="29" t="n">
        <v>2.529</v>
      </c>
      <c r="F49" s="30">
        <f>(1-ABS(D49-E49)/D49)*100</f>
        <v/>
      </c>
      <c r="G49" s="29" t="n">
        <v>0.184</v>
      </c>
      <c r="H49" s="29" t="n">
        <v>0.164</v>
      </c>
      <c r="I49" s="30">
        <f>(1-ABS(G49-H49)/G49)*100</f>
        <v/>
      </c>
      <c r="J49" s="28" t="n">
        <v>1.1</v>
      </c>
      <c r="K49" s="29" t="n">
        <v>1.03</v>
      </c>
      <c r="L49" s="30">
        <f>(1-ABS(J49-K49)/J49)*100</f>
        <v/>
      </c>
      <c r="M49" s="28" t="n">
        <v>0.38</v>
      </c>
      <c r="N49" s="29" t="n">
        <v>0.293</v>
      </c>
      <c r="O49" s="30">
        <f>(1-ABS(M49-N49)/M49)*100</f>
        <v/>
      </c>
      <c r="P49" s="31" t="n"/>
      <c r="Q49" s="32" t="n">
        <v>0.65</v>
      </c>
      <c r="R49" s="28" t="n"/>
      <c r="S49" s="33" t="n">
        <v>16</v>
      </c>
      <c r="T49" s="31" t="n">
        <v>13.63</v>
      </c>
      <c r="U49" s="30">
        <f>(1-ABS(S49-T49)/S49)*100</f>
        <v/>
      </c>
    </row>
    <row r="50">
      <c r="B50" s="26" t="inlineStr">
        <is>
          <t>12/26</t>
        </is>
      </c>
      <c r="C50" s="27" t="n">
        <v>5516</v>
      </c>
      <c r="D50" s="28" t="n">
        <v>2.55</v>
      </c>
      <c r="E50" s="29" t="n">
        <v>2.534</v>
      </c>
      <c r="F50" s="30">
        <f>(1-ABS(D50-E50)/D50)*100</f>
        <v/>
      </c>
      <c r="G50" s="29" t="n">
        <v>0.178</v>
      </c>
      <c r="H50" s="29" t="n">
        <v>0.165</v>
      </c>
      <c r="I50" s="30">
        <f>(1-ABS(G50-H50)/G50)*100</f>
        <v/>
      </c>
      <c r="J50" s="28" t="n">
        <v>1.11</v>
      </c>
      <c r="K50" s="29" t="n">
        <v>1.016</v>
      </c>
      <c r="L50" s="30">
        <f>(1-ABS(J50-K50)/J50)*100</f>
        <v/>
      </c>
      <c r="M50" s="28" t="n">
        <v>0.39</v>
      </c>
      <c r="N50" s="29" t="n">
        <v>0.282</v>
      </c>
      <c r="O50" s="30">
        <f>(1-ABS(M50-N50)/M50)*100</f>
        <v/>
      </c>
      <c r="P50" s="31" t="n"/>
      <c r="Q50" s="32" t="n">
        <v>0.653</v>
      </c>
      <c r="R50" s="28" t="n"/>
      <c r="S50" s="33" t="n">
        <v>18.3</v>
      </c>
      <c r="T50" s="31" t="n">
        <v>14.24</v>
      </c>
      <c r="U50" s="30">
        <f>(1-ABS(S50-T50)/S50)*100</f>
        <v/>
      </c>
    </row>
    <row r="51">
      <c r="B51" s="26" t="inlineStr">
        <is>
          <t>12/27A</t>
        </is>
      </c>
      <c r="C51" s="27" t="n">
        <v>5352</v>
      </c>
      <c r="D51" s="28" t="n">
        <v>2.57</v>
      </c>
      <c r="E51" s="29" t="n">
        <v>2.514</v>
      </c>
      <c r="F51" s="30">
        <f>(1-ABS(D51-E51)/D51)*100</f>
        <v/>
      </c>
      <c r="G51" s="29" t="n">
        <v>0.191</v>
      </c>
      <c r="H51" s="29" t="n">
        <v>0.163</v>
      </c>
      <c r="I51" s="30">
        <f>(1-ABS(G51-H51)/G51)*100</f>
        <v/>
      </c>
      <c r="J51" s="28" t="n">
        <v>1.14</v>
      </c>
      <c r="K51" s="29" t="n">
        <v>1.012</v>
      </c>
      <c r="L51" s="30">
        <f>(1-ABS(J51-K51)/J51)*100</f>
        <v/>
      </c>
      <c r="M51" s="28" t="n">
        <v>0.41</v>
      </c>
      <c r="N51" s="29" t="n">
        <v>0.286</v>
      </c>
      <c r="O51" s="30">
        <f>(1-ABS(M51-N51)/M51)*100</f>
        <v/>
      </c>
      <c r="P51" s="31" t="n"/>
      <c r="Q51" s="32" t="n">
        <v>0.646</v>
      </c>
      <c r="R51" s="28" t="n"/>
      <c r="S51" s="33" t="n">
        <v>16</v>
      </c>
      <c r="T51" s="31" t="n">
        <v>13.89</v>
      </c>
      <c r="U51" s="30">
        <f>(1-ABS(S51-T51)/S51)*100</f>
        <v/>
      </c>
    </row>
    <row r="52">
      <c r="B52" s="26" t="inlineStr">
        <is>
          <t>12/28</t>
        </is>
      </c>
      <c r="C52" s="27" t="n">
        <v>4632</v>
      </c>
      <c r="D52" s="28" t="n">
        <v>2.71</v>
      </c>
      <c r="E52" s="29" t="n">
        <v>2.529</v>
      </c>
      <c r="F52" s="30">
        <f>(1-ABS(D52-E52)/D52)*100</f>
        <v/>
      </c>
      <c r="G52" s="29" t="n">
        <v>0.18</v>
      </c>
      <c r="H52" s="29" t="n">
        <v>0.164</v>
      </c>
      <c r="I52" s="30">
        <f>(1-ABS(G52-H52)/G52)*100</f>
        <v/>
      </c>
      <c r="J52" s="28" t="n">
        <v>1.09</v>
      </c>
      <c r="K52" s="29" t="n">
        <v>1.012</v>
      </c>
      <c r="L52" s="30">
        <f>(1-ABS(J52-K52)/J52)*100</f>
        <v/>
      </c>
      <c r="M52" s="28" t="n">
        <v>0.4</v>
      </c>
      <c r="N52" s="29" t="n">
        <v>0.266</v>
      </c>
      <c r="O52" s="30">
        <f>(1-ABS(M52-N52)/M52)*100</f>
        <v/>
      </c>
      <c r="P52" s="31" t="n"/>
      <c r="Q52" s="32" t="n">
        <v>0.653</v>
      </c>
      <c r="R52" s="28" t="n"/>
      <c r="S52" s="33" t="n">
        <v>18.7</v>
      </c>
      <c r="T52" s="31" t="n">
        <v>14.62</v>
      </c>
      <c r="U52" s="30">
        <f>(1-ABS(S52-T52)/S52)*100</f>
        <v/>
      </c>
    </row>
    <row r="53">
      <c r="B53" s="26" t="inlineStr">
        <is>
          <t>12/29</t>
        </is>
      </c>
      <c r="C53" s="27" t="n">
        <v>4417</v>
      </c>
      <c r="D53" s="28" t="n">
        <v>2.51</v>
      </c>
      <c r="E53" s="29" t="n">
        <v>2.548</v>
      </c>
      <c r="F53" s="30">
        <f>(1-ABS(D53-E53)/D53)*100</f>
        <v/>
      </c>
      <c r="G53" s="29" t="n">
        <v>0.186</v>
      </c>
      <c r="H53" s="29" t="n">
        <v>0.165</v>
      </c>
      <c r="I53" s="30">
        <f>(1-ABS(G53-H53)/G53)*100</f>
        <v/>
      </c>
      <c r="J53" s="28" t="n">
        <v>1.14</v>
      </c>
      <c r="K53" s="29" t="n">
        <v>1.022</v>
      </c>
      <c r="L53" s="30">
        <f>(1-ABS(J53-K53)/J53)*100</f>
        <v/>
      </c>
      <c r="M53" s="28" t="n">
        <v>0.38</v>
      </c>
      <c r="N53" s="29" t="n">
        <v>0.278</v>
      </c>
      <c r="O53" s="30">
        <f>(1-ABS(M53-N53)/M53)*100</f>
        <v/>
      </c>
      <c r="P53" s="31" t="n"/>
      <c r="Q53" s="32" t="n">
        <v>0.655</v>
      </c>
      <c r="R53" s="28" t="n"/>
      <c r="S53" s="33" t="n">
        <v>18.4</v>
      </c>
      <c r="T53" s="31" t="n">
        <v>14.45</v>
      </c>
      <c r="U53" s="30">
        <f>(1-ABS(S53-T53)/S53)*100</f>
        <v/>
      </c>
    </row>
    <row r="54">
      <c r="B54" s="26" t="inlineStr">
        <is>
          <t>12/32</t>
        </is>
      </c>
      <c r="C54" s="27" t="n">
        <v>6049</v>
      </c>
      <c r="D54" s="28" t="n">
        <v>2.49</v>
      </c>
      <c r="E54" s="29" t="n">
        <v>2.538</v>
      </c>
      <c r="F54" s="30">
        <f>(1-ABS(D54-E54)/D54)*100</f>
        <v/>
      </c>
      <c r="G54" s="29" t="n">
        <v>0.18</v>
      </c>
      <c r="H54" s="29" t="n">
        <v>0.165</v>
      </c>
      <c r="I54" s="30">
        <f>(1-ABS(G54-H54)/G54)*100</f>
        <v/>
      </c>
      <c r="J54" s="28" t="n">
        <v>1.13</v>
      </c>
      <c r="K54" s="29" t="n">
        <v>1.021</v>
      </c>
      <c r="L54" s="30">
        <f>(1-ABS(J54-K54)/J54)*100</f>
        <v/>
      </c>
      <c r="M54" s="28" t="n">
        <v>0.41</v>
      </c>
      <c r="N54" s="29" t="n">
        <v>0.293</v>
      </c>
      <c r="O54" s="30">
        <f>(1-ABS(M54-N54)/M54)*100</f>
        <v/>
      </c>
      <c r="P54" s="31" t="n"/>
      <c r="Q54" s="32" t="n">
        <v>0.661</v>
      </c>
      <c r="R54" s="28" t="n"/>
      <c r="S54" s="33" t="n">
        <v>16</v>
      </c>
      <c r="T54" s="31" t="n">
        <v>13.62</v>
      </c>
      <c r="U54" s="30">
        <f>(1-ABS(S54-T54)/S54)*100</f>
        <v/>
      </c>
    </row>
    <row r="55">
      <c r="B55" s="26" t="inlineStr">
        <is>
          <t>12/33</t>
        </is>
      </c>
      <c r="C55" s="27" t="n">
        <v>5844</v>
      </c>
      <c r="D55" s="28" t="n">
        <v>2.6</v>
      </c>
      <c r="E55" s="29" t="n">
        <v>2.482</v>
      </c>
      <c r="F55" s="30">
        <f>(1-ABS(D55-E55)/D55)*100</f>
        <v/>
      </c>
      <c r="G55" s="29" t="n">
        <v>0.187</v>
      </c>
      <c r="H55" s="29" t="n">
        <v>0.162</v>
      </c>
      <c r="I55" s="30">
        <f>(1-ABS(G55-H55)/G55)*100</f>
        <v/>
      </c>
      <c r="J55" s="28" t="n">
        <v>1.11</v>
      </c>
      <c r="K55" s="29" t="n">
        <v>1</v>
      </c>
      <c r="L55" s="30">
        <f>(1-ABS(J55-K55)/J55)*100</f>
        <v/>
      </c>
      <c r="M55" s="28" t="n">
        <v>0.38</v>
      </c>
      <c r="N55" s="29" t="n">
        <v>0.296</v>
      </c>
      <c r="O55" s="30">
        <f>(1-ABS(M55-N55)/M55)*100</f>
        <v/>
      </c>
      <c r="P55" s="31" t="n"/>
      <c r="Q55" s="32" t="n">
        <v>0.656</v>
      </c>
      <c r="R55" s="28" t="n"/>
      <c r="S55" s="33" t="n">
        <v>18.5</v>
      </c>
      <c r="T55" s="31" t="n">
        <v>12.68</v>
      </c>
      <c r="U55" s="30">
        <f>(1-ABS(S55-T55)/S55)*100</f>
        <v/>
      </c>
    </row>
    <row r="56">
      <c r="B56" s="26" t="inlineStr">
        <is>
          <t>12/34</t>
        </is>
      </c>
      <c r="C56" s="27" t="n">
        <v>4073</v>
      </c>
      <c r="D56" s="28" t="n">
        <v>2.44</v>
      </c>
      <c r="E56" s="29" t="n">
        <v>2.51</v>
      </c>
      <c r="F56" s="30">
        <f>(1-ABS(D56-E56)/D56)*100</f>
        <v/>
      </c>
      <c r="G56" s="29" t="n">
        <v>0.18</v>
      </c>
      <c r="H56" s="29" t="n">
        <v>0.162</v>
      </c>
      <c r="I56" s="30">
        <f>(1-ABS(G56-H56)/G56)*100</f>
        <v/>
      </c>
      <c r="J56" s="28" t="n">
        <v>1.14</v>
      </c>
      <c r="K56" s="29" t="n">
        <v>1.024</v>
      </c>
      <c r="L56" s="30">
        <f>(1-ABS(J56-K56)/J56)*100</f>
        <v/>
      </c>
      <c r="M56" s="28" t="n">
        <v>0.36</v>
      </c>
      <c r="N56" s="29" t="n">
        <v>0.298</v>
      </c>
      <c r="O56" s="30">
        <f>(1-ABS(M56-N56)/M56)*100</f>
        <v/>
      </c>
      <c r="P56" s="31" t="n"/>
      <c r="Q56" s="32" t="n">
        <v>0.636</v>
      </c>
      <c r="R56" s="28" t="n"/>
      <c r="S56" s="33" t="n">
        <v>16.9</v>
      </c>
      <c r="T56" s="31" t="n">
        <v>13.6</v>
      </c>
      <c r="U56" s="30">
        <f>(1-ABS(S56-T56)/S56)*100</f>
        <v/>
      </c>
    </row>
    <row r="57" ht="35" customHeight="1">
      <c r="A57" s="35" t="inlineStr">
        <is>
          <t>AVG ACCURACY</t>
        </is>
      </c>
      <c r="F57" s="36">
        <f>AVERAGE(F7:F56)</f>
        <v/>
      </c>
      <c r="I57" s="36">
        <f>AVERAGE(I7:I56)</f>
        <v/>
      </c>
      <c r="L57" s="36">
        <f>AVERAGE(L7:L56)</f>
        <v/>
      </c>
      <c r="O57" s="37">
        <f>AVERAGE(O7:O56)</f>
        <v/>
      </c>
      <c r="R57" s="38" t="inlineStr">
        <is>
          <t>-</t>
        </is>
      </c>
      <c r="U57" s="36">
        <f>AVERAGE(U7:U56)</f>
        <v/>
      </c>
    </row>
    <row r="58" ht="40" customHeight="1">
      <c r="A58" s="39" t="inlineStr">
        <is>
          <t>Best result closer to 0</t>
        </is>
      </c>
      <c r="B58" s="26" t="inlineStr">
        <is>
          <t>R^2 (Coefficient of determination)</t>
        </is>
      </c>
      <c r="C58" s="40" t="n"/>
      <c r="D58" s="41">
        <f>RSQ(E7:E56, D7:D56)</f>
        <v/>
      </c>
      <c r="E58" s="42" t="n"/>
      <c r="F58" s="40" t="n"/>
      <c r="G58" s="41">
        <f>RSQ(H7:H56, G7:G56)</f>
        <v/>
      </c>
      <c r="H58" s="42" t="n"/>
      <c r="I58" s="40" t="n"/>
      <c r="J58" s="41">
        <f>RSQ(K7:K56, J7:J56)</f>
        <v/>
      </c>
      <c r="K58" s="42" t="n"/>
      <c r="L58" s="40" t="n"/>
      <c r="M58" s="41">
        <f>RSQ(N7:N56, M7:M56)</f>
        <v/>
      </c>
      <c r="N58" s="42" t="n"/>
      <c r="O58" s="40" t="n"/>
      <c r="P58" s="43" t="inlineStr">
        <is>
          <t>-</t>
        </is>
      </c>
      <c r="Q58" s="42" t="n"/>
      <c r="R58" s="40" t="n"/>
      <c r="S58" s="43">
        <f>RSQ(T7:T56, S7:S56)</f>
        <v/>
      </c>
      <c r="T58" s="42" t="n"/>
      <c r="U58" s="40" t="n"/>
    </row>
    <row r="59" ht="39" customHeight="1">
      <c r="A59" s="39" t="inlineStr">
        <is>
          <t>Best result closer to 1</t>
        </is>
      </c>
      <c r="B59" s="26" t="inlineStr">
        <is>
          <t>MAE (Average size of prediction errors)</t>
        </is>
      </c>
      <c r="C59" s="40" t="n"/>
      <c r="D59" s="41">
        <f>SUMPRODUCT(ABS(D7:D56-E7:E56))/COUNT(D7:D56)</f>
        <v/>
      </c>
      <c r="E59" s="42" t="n"/>
      <c r="F59" s="40" t="n"/>
      <c r="G59" s="41">
        <f>SUMPRODUCT(ABS(G7:G56-H7:H56))/COUNT(G7:G56)</f>
        <v/>
      </c>
      <c r="H59" s="42" t="n"/>
      <c r="I59" s="40" t="n"/>
      <c r="J59" s="41">
        <f>SUMPRODUCT(ABS(J7:J56-K7:K56))/COUNT(J7:J56)</f>
        <v/>
      </c>
      <c r="K59" s="42" t="n"/>
      <c r="L59" s="40" t="n"/>
      <c r="M59" s="41">
        <f>SUMPRODUCT(ABS(M7:M56-N7:N56))/COUNT(M7:M56)</f>
        <v/>
      </c>
      <c r="N59" s="42" t="n"/>
      <c r="O59" s="40" t="n"/>
      <c r="P59" s="43" t="inlineStr">
        <is>
          <t>-</t>
        </is>
      </c>
      <c r="Q59" s="42" t="n"/>
      <c r="R59" s="40" t="n"/>
      <c r="S59" s="43">
        <f>SUMPRODUCT(ABS(S7:S56-T7:T56))/COUNT(S7:S56)</f>
        <v/>
      </c>
      <c r="T59" s="42" t="n"/>
      <c r="U59" s="40" t="n"/>
    </row>
    <row r="60" ht="66" customHeight="1">
      <c r="A60" s="39" t="inlineStr">
        <is>
          <t>Best result closer to 1</t>
        </is>
      </c>
      <c r="B60" s="26" t="inlineStr">
        <is>
          <t>RMSE (Prediction error, with larger mistakes penalised more)</t>
        </is>
      </c>
      <c r="C60" s="40" t="n"/>
      <c r="D60" s="41">
        <f>SQRT(SUMXMY2(D7:D56, E7:E56)/COUNT(D7:D56))</f>
        <v/>
      </c>
      <c r="E60" s="42" t="n"/>
      <c r="F60" s="40" t="n"/>
      <c r="G60" s="41">
        <f>SQRT(SUMXMY2(G7:G56, H7:H56)/COUNT(G7:G56))</f>
        <v/>
      </c>
      <c r="H60" s="42" t="n"/>
      <c r="I60" s="40" t="n"/>
      <c r="J60" s="41">
        <f>SQRT(SUMXMY2(J7:J56, K7:K56)/COUNT(J7:J56))</f>
        <v/>
      </c>
      <c r="K60" s="42" t="n"/>
      <c r="L60" s="40" t="n"/>
      <c r="M60" s="41">
        <f>SQRT(SUMXMY2(M7:M56, N7:N56)/COUNT(M7:M56))</f>
        <v/>
      </c>
      <c r="N60" s="42" t="n"/>
      <c r="O60" s="40" t="n"/>
      <c r="P60" s="43" t="inlineStr">
        <is>
          <t>-</t>
        </is>
      </c>
      <c r="Q60" s="42" t="n"/>
      <c r="R60" s="40" t="n"/>
      <c r="S60" s="43">
        <f>SQRT(SUMXMY2(S7:S56, T7:T56)/COUNT(S7:S56))</f>
        <v/>
      </c>
      <c r="T60" s="42" t="n"/>
      <c r="U60" s="40" t="n"/>
    </row>
  </sheetData>
  <mergeCells count="31">
    <mergeCell ref="P59:R59"/>
    <mergeCell ref="B4:O4"/>
    <mergeCell ref="B59:C59"/>
    <mergeCell ref="B58:C58"/>
    <mergeCell ref="G58:I58"/>
    <mergeCell ref="G5:I5"/>
    <mergeCell ref="D58:F58"/>
    <mergeCell ref="B60:C60"/>
    <mergeCell ref="S5:U5"/>
    <mergeCell ref="D5:F5"/>
    <mergeCell ref="P5:R5"/>
    <mergeCell ref="J58:L58"/>
    <mergeCell ref="P58:R58"/>
    <mergeCell ref="G60:I60"/>
    <mergeCell ref="S60:U60"/>
    <mergeCell ref="D59:F59"/>
    <mergeCell ref="D60:F60"/>
    <mergeCell ref="M58:O58"/>
    <mergeCell ref="G59:I59"/>
    <mergeCell ref="B5:B6"/>
    <mergeCell ref="P4:U4"/>
    <mergeCell ref="J5:L5"/>
    <mergeCell ref="M59:O59"/>
    <mergeCell ref="S59:U59"/>
    <mergeCell ref="M5:O5"/>
    <mergeCell ref="J59:L59"/>
    <mergeCell ref="J60:L60"/>
    <mergeCell ref="S58:U58"/>
    <mergeCell ref="P60:R60"/>
    <mergeCell ref="M60:O60"/>
    <mergeCell ref="C5:C6"/>
  </mergeCells>
  <conditionalFormatting sqref="F7:F56 I7:I56 L7:L56 O7:O56 U7:U56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9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3" t="n"/>
      <c r="P4" s="14" t="inlineStr">
        <is>
          <t>On-going Research for Ca and B Models</t>
        </is>
      </c>
      <c r="Q4" s="15" t="n"/>
      <c r="R4" s="15" t="n"/>
      <c r="S4" s="15" t="n"/>
      <c r="T4" s="15" t="n"/>
      <c r="U4" s="16" t="n"/>
    </row>
    <row r="5" ht="34" customHeight="1">
      <c r="B5" s="17" t="inlineStr">
        <is>
          <t>Plot</t>
        </is>
      </c>
      <c r="C5" s="18" t="inlineStr">
        <is>
          <t>Pixels sampled</t>
        </is>
      </c>
      <c r="D5" s="19" t="inlineStr">
        <is>
          <t>N</t>
        </is>
      </c>
      <c r="E5" s="15" t="n"/>
      <c r="F5" s="16" t="n"/>
      <c r="G5" s="19" t="inlineStr">
        <is>
          <t>P (%)</t>
        </is>
      </c>
      <c r="H5" s="15" t="n"/>
      <c r="I5" s="16" t="n"/>
      <c r="J5" s="19" t="inlineStr">
        <is>
          <t>K (%)</t>
        </is>
      </c>
      <c r="K5" s="15" t="n"/>
      <c r="L5" s="16" t="n"/>
      <c r="M5" s="19" t="inlineStr">
        <is>
          <t>Mg (%)</t>
        </is>
      </c>
      <c r="N5" s="15" t="n"/>
      <c r="O5" s="16" t="n"/>
      <c r="P5" s="20" t="inlineStr">
        <is>
          <t>Ca (%)</t>
        </is>
      </c>
      <c r="Q5" s="15" t="n"/>
      <c r="R5" s="16" t="n"/>
      <c r="S5" s="20" t="inlineStr">
        <is>
          <t>B (%)</t>
        </is>
      </c>
      <c r="T5" s="15" t="n"/>
      <c r="U5" s="16" t="n"/>
    </row>
    <row r="6" ht="34" customHeight="1">
      <c r="B6" s="21" t="n"/>
      <c r="C6" s="22" t="n"/>
      <c r="D6" s="23" t="inlineStr">
        <is>
          <t>Lab Actual (%)</t>
        </is>
      </c>
      <c r="E6" s="24" t="inlineStr">
        <is>
          <t>Prediction (%)</t>
        </is>
      </c>
      <c r="F6" s="25" t="inlineStr">
        <is>
          <t>Accuracy (%)</t>
        </is>
      </c>
      <c r="G6" s="23" t="inlineStr">
        <is>
          <t>Lab Actual (%)</t>
        </is>
      </c>
      <c r="H6" s="24" t="inlineStr">
        <is>
          <t>Prediction (%)</t>
        </is>
      </c>
      <c r="I6" s="25" t="inlineStr">
        <is>
          <t>Accuracy (%)</t>
        </is>
      </c>
      <c r="J6" s="23" t="inlineStr">
        <is>
          <t>Lab Actual (%)</t>
        </is>
      </c>
      <c r="K6" s="24" t="inlineStr">
        <is>
          <t>Prediction (%)</t>
        </is>
      </c>
      <c r="L6" s="25" t="inlineStr">
        <is>
          <t>Accuracy (%)</t>
        </is>
      </c>
      <c r="M6" s="23" t="inlineStr">
        <is>
          <t>Lab Actual (%)</t>
        </is>
      </c>
      <c r="N6" s="24" t="inlineStr">
        <is>
          <t>Prediction (%)</t>
        </is>
      </c>
      <c r="O6" s="25" t="inlineStr">
        <is>
          <t>Accuracy (%)</t>
        </is>
      </c>
      <c r="P6" s="14" t="inlineStr">
        <is>
          <t>Lab Actual (%)</t>
        </is>
      </c>
      <c r="Q6" s="14" t="inlineStr">
        <is>
          <t>Prediction (%)</t>
        </is>
      </c>
      <c r="R6" s="25" t="inlineStr">
        <is>
          <t>Accuracy (%)</t>
        </is>
      </c>
      <c r="S6" s="14" t="inlineStr">
        <is>
          <t>Lab Actual (%)</t>
        </is>
      </c>
      <c r="T6" s="14" t="inlineStr">
        <is>
          <t>Prediction (%)</t>
        </is>
      </c>
      <c r="U6" s="25" t="inlineStr">
        <is>
          <t>Accuracy (%)</t>
        </is>
      </c>
    </row>
    <row r="7">
      <c r="B7" s="26" t="inlineStr">
        <is>
          <t>10/01</t>
        </is>
      </c>
      <c r="C7" s="27" t="n">
        <v>5220</v>
      </c>
      <c r="D7" s="28" t="n">
        <v>2.73</v>
      </c>
      <c r="E7" s="29" t="n">
        <v>2.539</v>
      </c>
      <c r="F7" s="30">
        <f>(1-ABS(D7-E7)/D7)*100</f>
        <v/>
      </c>
      <c r="G7" s="29" t="n">
        <v>0.177</v>
      </c>
      <c r="H7" s="29" t="n">
        <v>0.165</v>
      </c>
      <c r="I7" s="30">
        <f>(1-ABS(G7-H7)/G7)*100</f>
        <v/>
      </c>
      <c r="J7" s="28" t="n">
        <v>0.9</v>
      </c>
      <c r="K7" s="29" t="n">
        <v>1.032</v>
      </c>
      <c r="L7" s="30">
        <f>(1-ABS(J7-K7)/J7)*100</f>
        <v/>
      </c>
      <c r="M7" s="28" t="n">
        <v>0.4</v>
      </c>
      <c r="N7" s="29" t="n">
        <v>0.312</v>
      </c>
      <c r="O7" s="30">
        <f>(1-ABS(M7-N7)/M7)*100</f>
        <v/>
      </c>
      <c r="P7" s="31" t="n"/>
      <c r="Q7" s="32" t="n">
        <v>0.66</v>
      </c>
      <c r="R7" s="28" t="n"/>
      <c r="S7" s="33" t="n">
        <v>18</v>
      </c>
      <c r="T7" s="31" t="n">
        <v>12.41</v>
      </c>
      <c r="U7" s="30">
        <f>(1-ABS(S7-T7)/S7)*100</f>
        <v/>
      </c>
    </row>
    <row r="8">
      <c r="B8" s="26" t="inlineStr">
        <is>
          <t>10/02</t>
        </is>
      </c>
      <c r="C8" s="27" t="n">
        <v>3475</v>
      </c>
      <c r="D8" s="28" t="n">
        <v>2.64</v>
      </c>
      <c r="E8" s="29" t="n">
        <v>2.535</v>
      </c>
      <c r="F8" s="30">
        <f>(1-ABS(D8-E8)/D8)*100</f>
        <v/>
      </c>
      <c r="G8" s="29" t="n">
        <v>0.172</v>
      </c>
      <c r="H8" s="29" t="n">
        <v>0.165</v>
      </c>
      <c r="I8" s="30">
        <f>(1-ABS(G8-H8)/G8)*100</f>
        <v/>
      </c>
      <c r="J8" s="28" t="n">
        <v>0.92</v>
      </c>
      <c r="K8" s="29" t="n">
        <v>1.012</v>
      </c>
      <c r="L8" s="30">
        <f>(1-ABS(J8-K8)/J8)*100</f>
        <v/>
      </c>
      <c r="M8" s="28" t="n">
        <v>0.37</v>
      </c>
      <c r="N8" s="29" t="n">
        <v>0.284</v>
      </c>
      <c r="O8" s="30">
        <f>(1-ABS(M8-N8)/M8)*100</f>
        <v/>
      </c>
      <c r="P8" s="31" t="n"/>
      <c r="Q8" s="32" t="n">
        <v>0.66</v>
      </c>
      <c r="R8" s="28" t="n"/>
      <c r="S8" s="33" t="n">
        <v>16.9</v>
      </c>
      <c r="T8" s="31" t="n">
        <v>14.28</v>
      </c>
      <c r="U8" s="30">
        <f>(1-ABS(S8-T8)/S8)*100</f>
        <v/>
      </c>
    </row>
    <row r="9">
      <c r="B9" s="26" t="inlineStr">
        <is>
          <t>10/03</t>
        </is>
      </c>
      <c r="C9" s="27" t="n">
        <v>4877</v>
      </c>
      <c r="D9" s="28" t="n">
        <v>2.76</v>
      </c>
      <c r="E9" s="29" t="n">
        <v>2.528</v>
      </c>
      <c r="F9" s="30">
        <f>(1-ABS(D9-E9)/D9)*100</f>
        <v/>
      </c>
      <c r="G9" s="29" t="n">
        <v>0.178</v>
      </c>
      <c r="H9" s="29" t="n">
        <v>0.164</v>
      </c>
      <c r="I9" s="30">
        <f>(1-ABS(G9-H9)/G9)*100</f>
        <v/>
      </c>
      <c r="J9" s="28" t="n">
        <v>0.95</v>
      </c>
      <c r="K9" s="29" t="n">
        <v>1.008</v>
      </c>
      <c r="L9" s="30">
        <f>(1-ABS(J9-K9)/J9)*100</f>
        <v/>
      </c>
      <c r="M9" s="28" t="n">
        <v>0.38</v>
      </c>
      <c r="N9" s="29" t="n">
        <v>0.272</v>
      </c>
      <c r="O9" s="30">
        <f>(1-ABS(M9-N9)/M9)*100</f>
        <v/>
      </c>
      <c r="P9" s="31" t="n"/>
      <c r="Q9" s="32" t="n">
        <v>0.658</v>
      </c>
      <c r="R9" s="28" t="n"/>
      <c r="S9" s="33" t="n">
        <v>17.5</v>
      </c>
      <c r="T9" s="31" t="n">
        <v>14.3</v>
      </c>
      <c r="U9" s="30">
        <f>(1-ABS(S9-T9)/S9)*100</f>
        <v/>
      </c>
    </row>
    <row r="10">
      <c r="B10" s="26" t="inlineStr">
        <is>
          <t>10/04</t>
        </is>
      </c>
      <c r="C10" s="27" t="n">
        <v>3991</v>
      </c>
      <c r="D10" s="28" t="n">
        <v>2.71</v>
      </c>
      <c r="E10" s="29" t="n">
        <v>2.551</v>
      </c>
      <c r="F10" s="30">
        <f>(1-ABS(D10-E10)/D10)*100</f>
        <v/>
      </c>
      <c r="G10" s="29" t="n">
        <v>0.175</v>
      </c>
      <c r="H10" s="29" t="n">
        <v>0.166</v>
      </c>
      <c r="I10" s="30">
        <f>(1-ABS(G10-H10)/G10)*100</f>
        <v/>
      </c>
      <c r="J10" s="28" t="n">
        <v>0.93</v>
      </c>
      <c r="K10" s="29" t="n">
        <v>1.031</v>
      </c>
      <c r="L10" s="30">
        <f>(1-ABS(J10-K10)/J10)*100</f>
        <v/>
      </c>
      <c r="M10" s="28" t="n">
        <v>0.38</v>
      </c>
      <c r="N10" s="29" t="n">
        <v>0.295</v>
      </c>
      <c r="O10" s="30">
        <f>(1-ABS(M10-N10)/M10)*100</f>
        <v/>
      </c>
      <c r="P10" s="31" t="n"/>
      <c r="Q10" s="32" t="n">
        <v>0.66</v>
      </c>
      <c r="R10" s="28" t="n"/>
      <c r="S10" s="33" t="n">
        <v>16.7</v>
      </c>
      <c r="T10" s="31" t="n">
        <v>13.51</v>
      </c>
      <c r="U10" s="30">
        <f>(1-ABS(S10-T10)/S10)*100</f>
        <v/>
      </c>
    </row>
    <row r="11">
      <c r="B11" s="26" t="inlineStr">
        <is>
          <t>10/05</t>
        </is>
      </c>
      <c r="C11" s="27" t="n">
        <v>6011</v>
      </c>
      <c r="D11" s="28" t="n">
        <v>2.71</v>
      </c>
      <c r="E11" s="29" t="n">
        <v>2.563</v>
      </c>
      <c r="F11" s="30">
        <f>(1-ABS(D11-E11)/D11)*100</f>
        <v/>
      </c>
      <c r="G11" s="29" t="n">
        <v>0.172</v>
      </c>
      <c r="H11" s="29" t="n">
        <v>0.167</v>
      </c>
      <c r="I11" s="30">
        <f>(1-ABS(G11-H11)/G11)*100</f>
        <v/>
      </c>
      <c r="J11" s="28" t="n">
        <v>0.98</v>
      </c>
      <c r="K11" s="29" t="n">
        <v>1.03</v>
      </c>
      <c r="L11" s="30">
        <f>(1-ABS(J11-K11)/J11)*100</f>
        <v/>
      </c>
      <c r="M11" s="28" t="n">
        <v>0.37</v>
      </c>
      <c r="N11" s="29" t="n">
        <v>0.282</v>
      </c>
      <c r="O11" s="30">
        <f>(1-ABS(M11-N11)/M11)*100</f>
        <v/>
      </c>
      <c r="P11" s="31" t="n"/>
      <c r="Q11" s="32" t="n">
        <v>0.658</v>
      </c>
      <c r="R11" s="28" t="n"/>
      <c r="S11" s="33" t="n">
        <v>16.3</v>
      </c>
      <c r="T11" s="31" t="n">
        <v>14.25</v>
      </c>
      <c r="U11" s="30">
        <f>(1-ABS(S11-T11)/S11)*100</f>
        <v/>
      </c>
    </row>
    <row r="12">
      <c r="B12" s="26" t="inlineStr">
        <is>
          <t>10/06</t>
        </is>
      </c>
      <c r="C12" s="27" t="n">
        <v>5397</v>
      </c>
      <c r="D12" s="28" t="n">
        <v>2.72</v>
      </c>
      <c r="E12" s="29" t="n">
        <v>2.565</v>
      </c>
      <c r="F12" s="30">
        <f>(1-ABS(D12-E12)/D12)*100</f>
        <v/>
      </c>
      <c r="G12" s="29" t="n">
        <v>0.174</v>
      </c>
      <c r="H12" s="29" t="n">
        <v>0.166</v>
      </c>
      <c r="I12" s="30">
        <f>(1-ABS(G12-H12)/G12)*100</f>
        <v/>
      </c>
      <c r="J12" s="28" t="n">
        <v>0.99</v>
      </c>
      <c r="K12" s="29" t="n">
        <v>1.055</v>
      </c>
      <c r="L12" s="30">
        <f>(1-ABS(J12-K12)/J12)*100</f>
        <v/>
      </c>
      <c r="M12" s="28" t="n">
        <v>0.36</v>
      </c>
      <c r="N12" s="29" t="n">
        <v>0.274</v>
      </c>
      <c r="O12" s="30">
        <f>(1-ABS(M12-N12)/M12)*100</f>
        <v/>
      </c>
      <c r="P12" s="31" t="n"/>
      <c r="Q12" s="32" t="n">
        <v>0.641</v>
      </c>
      <c r="R12" s="28" t="n"/>
      <c r="S12" s="33" t="n">
        <v>16.9</v>
      </c>
      <c r="T12" s="31" t="n">
        <v>14.05</v>
      </c>
      <c r="U12" s="30">
        <f>(1-ABS(S12-T12)/S12)*100</f>
        <v/>
      </c>
    </row>
    <row r="13">
      <c r="B13" s="26" t="inlineStr">
        <is>
          <t>11/21</t>
        </is>
      </c>
      <c r="C13" s="27" t="n">
        <v>3395</v>
      </c>
      <c r="D13" s="28" t="n">
        <v>2.76</v>
      </c>
      <c r="E13" s="29" t="n">
        <v>2.297</v>
      </c>
      <c r="F13" s="30">
        <f>(1-ABS(D13-E13)/D13)*100</f>
        <v/>
      </c>
      <c r="G13" s="29" t="n">
        <v>0.178</v>
      </c>
      <c r="H13" s="29" t="n">
        <v>0.149</v>
      </c>
      <c r="I13" s="30">
        <f>(1-ABS(G13-H13)/G13)*100</f>
        <v/>
      </c>
      <c r="J13" s="28" t="n">
        <v>0.93</v>
      </c>
      <c r="K13" s="29" t="n">
        <v>0.913</v>
      </c>
      <c r="L13" s="30">
        <f>(1-ABS(J13-K13)/J13)*100</f>
        <v/>
      </c>
      <c r="M13" s="28" t="n">
        <v>0.4</v>
      </c>
      <c r="N13" s="29" t="n">
        <v>0.291</v>
      </c>
      <c r="O13" s="30">
        <f>(1-ABS(M13-N13)/M13)*100</f>
        <v/>
      </c>
      <c r="P13" s="31" t="n"/>
      <c r="Q13" s="32" t="n">
        <v>0.632</v>
      </c>
      <c r="R13" s="28" t="n"/>
      <c r="S13" s="33" t="n">
        <v>18.2</v>
      </c>
      <c r="T13" s="31" t="n">
        <v>9.970000000000001</v>
      </c>
      <c r="U13" s="30">
        <f>(1-ABS(S13-T13)/S13)*100</f>
        <v/>
      </c>
    </row>
    <row r="14">
      <c r="B14" s="26" t="inlineStr">
        <is>
          <t>11/22</t>
        </is>
      </c>
      <c r="C14" s="27" t="n">
        <v>4562</v>
      </c>
      <c r="D14" s="28" t="n">
        <v>2.7</v>
      </c>
      <c r="E14" s="29" t="n">
        <v>2.069</v>
      </c>
      <c r="F14" s="30">
        <f>(1-ABS(D14-E14)/D14)*100</f>
        <v/>
      </c>
      <c r="G14" s="29" t="n">
        <v>0.162</v>
      </c>
      <c r="H14" s="29" t="n">
        <v>0.134</v>
      </c>
      <c r="I14" s="30">
        <f>(1-ABS(G14-H14)/G14)*100</f>
        <v/>
      </c>
      <c r="J14" s="28" t="n">
        <v>0.96</v>
      </c>
      <c r="K14" s="29" t="n">
        <v>0.8139999999999999</v>
      </c>
      <c r="L14" s="30">
        <f>(1-ABS(J14-K14)/J14)*100</f>
        <v/>
      </c>
      <c r="M14" s="28" t="n">
        <v>0.38</v>
      </c>
      <c r="N14" s="29" t="n">
        <v>0.273</v>
      </c>
      <c r="O14" s="30">
        <f>(1-ABS(M14-N14)/M14)*100</f>
        <v/>
      </c>
      <c r="P14" s="31" t="n"/>
      <c r="Q14" s="32" t="n">
        <v>0.572</v>
      </c>
      <c r="R14" s="28" t="n"/>
      <c r="S14" s="33" t="n">
        <v>16.9</v>
      </c>
      <c r="T14" s="31" t="n">
        <v>8.58</v>
      </c>
      <c r="U14" s="30">
        <f>(1-ABS(S14-T14)/S14)*100</f>
        <v/>
      </c>
    </row>
    <row r="15">
      <c r="B15" s="26" t="inlineStr">
        <is>
          <t>12/03</t>
        </is>
      </c>
      <c r="C15" s="27" t="n">
        <v>4208</v>
      </c>
      <c r="D15" s="28" t="n">
        <v>2.83</v>
      </c>
      <c r="E15" s="29" t="n">
        <v>2.319</v>
      </c>
      <c r="F15" s="30">
        <f>(1-ABS(D15-E15)/D15)*100</f>
        <v/>
      </c>
      <c r="G15" s="29" t="n">
        <v>0.185</v>
      </c>
      <c r="H15" s="29" t="n">
        <v>0.149</v>
      </c>
      <c r="I15" s="30">
        <f>(1-ABS(G15-H15)/G15)*100</f>
        <v/>
      </c>
      <c r="J15" s="28" t="n">
        <v>1.07</v>
      </c>
      <c r="K15" s="29" t="n">
        <v>0.9340000000000001</v>
      </c>
      <c r="L15" s="30">
        <f>(1-ABS(J15-K15)/J15)*100</f>
        <v/>
      </c>
      <c r="M15" s="28" t="n">
        <v>0.35</v>
      </c>
      <c r="N15" s="29" t="n">
        <v>0.287</v>
      </c>
      <c r="O15" s="30">
        <f>(1-ABS(M15-N15)/M15)*100</f>
        <v/>
      </c>
      <c r="P15" s="31" t="n"/>
      <c r="Q15" s="32" t="n">
        <v>0.611</v>
      </c>
      <c r="R15" s="28" t="n"/>
      <c r="S15" s="33" t="n">
        <v>15.6</v>
      </c>
      <c r="T15" s="31" t="n">
        <v>11.13</v>
      </c>
      <c r="U15" s="30">
        <f>(1-ABS(S15-T15)/S15)*100</f>
        <v/>
      </c>
    </row>
    <row r="16">
      <c r="B16" s="26" t="inlineStr">
        <is>
          <t>12/04</t>
        </is>
      </c>
      <c r="C16" s="27" t="n">
        <v>3439</v>
      </c>
      <c r="D16" s="28" t="n">
        <v>2.64</v>
      </c>
      <c r="E16" s="29" t="n">
        <v>2.41</v>
      </c>
      <c r="F16" s="30">
        <f>(1-ABS(D16-E16)/D16)*100</f>
        <v/>
      </c>
      <c r="G16" s="29" t="n">
        <v>0.175</v>
      </c>
      <c r="H16" s="29" t="n">
        <v>0.155</v>
      </c>
      <c r="I16" s="30">
        <f>(1-ABS(G16-H16)/G16)*100</f>
        <v/>
      </c>
      <c r="J16" s="28" t="n">
        <v>0.98</v>
      </c>
      <c r="K16" s="29" t="n">
        <v>0.973</v>
      </c>
      <c r="L16" s="30">
        <f>(1-ABS(J16-K16)/J16)*100</f>
        <v/>
      </c>
      <c r="M16" s="28" t="n">
        <v>0.34</v>
      </c>
      <c r="N16" s="29" t="n">
        <v>0.294</v>
      </c>
      <c r="O16" s="30">
        <f>(1-ABS(M16-N16)/M16)*100</f>
        <v/>
      </c>
      <c r="P16" s="31" t="n"/>
      <c r="Q16" s="32" t="n">
        <v>0.622</v>
      </c>
      <c r="R16" s="28" t="n"/>
      <c r="S16" s="33" t="n">
        <v>15.4</v>
      </c>
      <c r="T16" s="31" t="n">
        <v>11.91</v>
      </c>
      <c r="U16" s="30">
        <f>(1-ABS(S16-T16)/S16)*100</f>
        <v/>
      </c>
    </row>
    <row r="17" ht="40" customHeight="1">
      <c r="A17" s="34" t="inlineStr">
        <is>
          <t>Best result closer to 1</t>
        </is>
      </c>
      <c r="B17" s="26" t="inlineStr">
        <is>
          <t>12/09</t>
        </is>
      </c>
      <c r="C17" s="27" t="n">
        <v>4021</v>
      </c>
      <c r="D17" s="28" t="n">
        <v>2.84</v>
      </c>
      <c r="E17" s="29" t="n">
        <v>2.526</v>
      </c>
      <c r="F17" s="30">
        <f>(1-ABS(D17-E17)/D17)*100</f>
        <v/>
      </c>
      <c r="G17" s="29" t="n">
        <v>0.187</v>
      </c>
      <c r="H17" s="29" t="n">
        <v>0.163</v>
      </c>
      <c r="I17" s="30">
        <f>(1-ABS(G17-H17)/G17)*100</f>
        <v/>
      </c>
      <c r="J17" s="28" t="n">
        <v>1.04</v>
      </c>
      <c r="K17" s="29" t="n">
        <v>1.036</v>
      </c>
      <c r="L17" s="30">
        <f>(1-ABS(J17-K17)/J17)*100</f>
        <v/>
      </c>
      <c r="M17" s="28" t="n">
        <v>0.34</v>
      </c>
      <c r="N17" s="29" t="n">
        <v>0.278</v>
      </c>
      <c r="O17" s="30">
        <f>(1-ABS(M17-N17)/M17)*100</f>
        <v/>
      </c>
      <c r="P17" s="31" t="n"/>
      <c r="Q17" s="32" t="n">
        <v>0.631</v>
      </c>
      <c r="R17" s="28" t="n"/>
      <c r="S17" s="33" t="n">
        <v>15.8</v>
      </c>
      <c r="T17" s="31" t="n">
        <v>13.81</v>
      </c>
      <c r="U17" s="30">
        <f>(1-ABS(S17-T17)/S17)*100</f>
        <v/>
      </c>
    </row>
    <row r="18" ht="39" customHeight="1">
      <c r="A18" s="34" t="inlineStr">
        <is>
          <t>Best result closer to 0</t>
        </is>
      </c>
      <c r="B18" s="26" t="inlineStr">
        <is>
          <t>12/10</t>
        </is>
      </c>
      <c r="C18" s="27" t="n">
        <v>2772</v>
      </c>
      <c r="D18" s="28" t="n">
        <v>2.82</v>
      </c>
      <c r="E18" s="29" t="n">
        <v>2.506</v>
      </c>
      <c r="F18" s="30">
        <f>(1-ABS(D18-E18)/D18)*100</f>
        <v/>
      </c>
      <c r="G18" s="29" t="n">
        <v>0.181</v>
      </c>
      <c r="H18" s="29" t="n">
        <v>0.161</v>
      </c>
      <c r="I18" s="30">
        <f>(1-ABS(G18-H18)/G18)*100</f>
        <v/>
      </c>
      <c r="J18" s="28" t="n">
        <v>1</v>
      </c>
      <c r="K18" s="29" t="n">
        <v>1.024</v>
      </c>
      <c r="L18" s="30">
        <f>(1-ABS(J18-K18)/J18)*100</f>
        <v/>
      </c>
      <c r="M18" s="28" t="n">
        <v>0.36</v>
      </c>
      <c r="N18" s="29" t="n">
        <v>0.275</v>
      </c>
      <c r="O18" s="30">
        <f>(1-ABS(M18-N18)/M18)*100</f>
        <v/>
      </c>
      <c r="P18" s="31" t="n"/>
      <c r="Q18" s="32" t="n">
        <v>0.639</v>
      </c>
      <c r="R18" s="28" t="n"/>
      <c r="S18" s="33" t="n">
        <v>16.9</v>
      </c>
      <c r="T18" s="31" t="n">
        <v>13.42</v>
      </c>
      <c r="U18" s="30">
        <f>(1-ABS(S18-T18)/S18)*100</f>
        <v/>
      </c>
    </row>
    <row r="19" ht="66" customHeight="1">
      <c r="A19" s="34" t="inlineStr">
        <is>
          <t>Best result closer to 1</t>
        </is>
      </c>
      <c r="B19" s="26" t="inlineStr">
        <is>
          <t>12/11</t>
        </is>
      </c>
      <c r="C19" s="27" t="n">
        <v>4908</v>
      </c>
      <c r="D19" s="28" t="n">
        <v>2.72</v>
      </c>
      <c r="E19" s="29" t="n">
        <v>2.519</v>
      </c>
      <c r="F19" s="30">
        <f>(1-ABS(D19-E19)/D19)*100</f>
        <v/>
      </c>
      <c r="G19" s="29" t="n">
        <v>0.188</v>
      </c>
      <c r="H19" s="29" t="n">
        <v>0.162</v>
      </c>
      <c r="I19" s="30">
        <f>(1-ABS(G19-H19)/G19)*100</f>
        <v/>
      </c>
      <c r="J19" s="28" t="n">
        <v>1.16</v>
      </c>
      <c r="K19" s="29" t="n">
        <v>1.033</v>
      </c>
      <c r="L19" s="30">
        <f>(1-ABS(J19-K19)/J19)*100</f>
        <v/>
      </c>
      <c r="M19" s="28" t="n">
        <v>0.36</v>
      </c>
      <c r="N19" s="29" t="n">
        <v>0.273</v>
      </c>
      <c r="O19" s="30">
        <f>(1-ABS(M19-N19)/M19)*100</f>
        <v/>
      </c>
      <c r="P19" s="31" t="n"/>
      <c r="Q19" s="32" t="n">
        <v>0.631</v>
      </c>
      <c r="R19" s="28" t="n"/>
      <c r="S19" s="33" t="n">
        <v>15.1</v>
      </c>
      <c r="T19" s="31" t="n">
        <v>13.7</v>
      </c>
      <c r="U19" s="30">
        <f>(1-ABS(S19-T19)/S19)*100</f>
        <v/>
      </c>
    </row>
    <row r="20">
      <c r="B20" s="26" t="inlineStr">
        <is>
          <t>12/13</t>
        </is>
      </c>
      <c r="C20" s="27" t="n">
        <v>3214</v>
      </c>
      <c r="D20" s="28" t="n">
        <v>2.72</v>
      </c>
      <c r="E20" s="29" t="n">
        <v>2.506</v>
      </c>
      <c r="F20" s="30">
        <f>(1-ABS(D20-E20)/D20)*100</f>
        <v/>
      </c>
      <c r="G20" s="29" t="n">
        <v>0.189</v>
      </c>
      <c r="H20" s="29" t="n">
        <v>0.163</v>
      </c>
      <c r="I20" s="30">
        <f>(1-ABS(G20-H20)/G20)*100</f>
        <v/>
      </c>
      <c r="J20" s="28" t="n">
        <v>1.2</v>
      </c>
      <c r="K20" s="29" t="n">
        <v>1.016</v>
      </c>
      <c r="L20" s="30">
        <f>(1-ABS(J20-K20)/J20)*100</f>
        <v/>
      </c>
      <c r="M20" s="28" t="n">
        <v>0.4</v>
      </c>
      <c r="N20" s="29" t="n">
        <v>0.3</v>
      </c>
      <c r="O20" s="30">
        <f>(1-ABS(M20-N20)/M20)*100</f>
        <v/>
      </c>
      <c r="P20" s="31" t="n"/>
      <c r="Q20" s="32" t="n">
        <v>0.656</v>
      </c>
      <c r="R20" s="28" t="n"/>
      <c r="S20" s="33" t="n">
        <v>15.4</v>
      </c>
      <c r="T20" s="31" t="n">
        <v>12.74</v>
      </c>
      <c r="U20" s="30">
        <f>(1-ABS(S20-T20)/S20)*100</f>
        <v/>
      </c>
    </row>
    <row r="21">
      <c r="B21" s="26" t="inlineStr">
        <is>
          <t>12/15</t>
        </is>
      </c>
      <c r="C21" s="27" t="n">
        <v>2611</v>
      </c>
      <c r="D21" s="28" t="n">
        <v>2.88</v>
      </c>
      <c r="E21" s="29" t="n">
        <v>2.548</v>
      </c>
      <c r="F21" s="30">
        <f>(1-ABS(D21-E21)/D21)*100</f>
        <v/>
      </c>
      <c r="G21" s="29" t="n">
        <v>0.18</v>
      </c>
      <c r="H21" s="29" t="n">
        <v>0.163</v>
      </c>
      <c r="I21" s="30">
        <f>(1-ABS(G21-H21)/G21)*100</f>
        <v/>
      </c>
      <c r="J21" s="28" t="n">
        <v>1.04</v>
      </c>
      <c r="K21" s="29" t="n">
        <v>1.06</v>
      </c>
      <c r="L21" s="30">
        <f>(1-ABS(J21-K21)/J21)*100</f>
        <v/>
      </c>
      <c r="M21" s="28" t="n">
        <v>0.35</v>
      </c>
      <c r="N21" s="29" t="n">
        <v>0.257</v>
      </c>
      <c r="O21" s="30">
        <f>(1-ABS(M21-N21)/M21)*100</f>
        <v/>
      </c>
      <c r="P21" s="31" t="n"/>
      <c r="Q21" s="32" t="n">
        <v>0.625</v>
      </c>
      <c r="R21" s="28" t="n"/>
      <c r="S21" s="33" t="n">
        <v>15</v>
      </c>
      <c r="T21" s="31" t="n">
        <v>14.29</v>
      </c>
      <c r="U21" s="30">
        <f>(1-ABS(S21-T21)/S21)*100</f>
        <v/>
      </c>
    </row>
    <row r="22">
      <c r="B22" s="26" t="inlineStr">
        <is>
          <t>12/16</t>
        </is>
      </c>
      <c r="C22" s="27" t="n">
        <v>3823</v>
      </c>
      <c r="D22" s="28" t="n">
        <v>2.75</v>
      </c>
      <c r="E22" s="29" t="n">
        <v>2.564</v>
      </c>
      <c r="F22" s="30">
        <f>(1-ABS(D22-E22)/D22)*100</f>
        <v/>
      </c>
      <c r="G22" s="29" t="n">
        <v>0.177</v>
      </c>
      <c r="H22" s="29" t="n">
        <v>0.166</v>
      </c>
      <c r="I22" s="30">
        <f>(1-ABS(G22-H22)/G22)*100</f>
        <v/>
      </c>
      <c r="J22" s="28" t="n">
        <v>0.92</v>
      </c>
      <c r="K22" s="29" t="n">
        <v>1.026</v>
      </c>
      <c r="L22" s="30">
        <f>(1-ABS(J22-K22)/J22)*100</f>
        <v/>
      </c>
      <c r="M22" s="28" t="n">
        <v>0.38</v>
      </c>
      <c r="N22" s="29" t="n">
        <v>0.297</v>
      </c>
      <c r="O22" s="30">
        <f>(1-ABS(M22-N22)/M22)*100</f>
        <v/>
      </c>
      <c r="P22" s="31" t="n"/>
      <c r="Q22" s="32" t="n">
        <v>0.676</v>
      </c>
      <c r="R22" s="28" t="n"/>
      <c r="S22" s="33" t="n">
        <v>16.5</v>
      </c>
      <c r="T22" s="31" t="n">
        <v>13.89</v>
      </c>
      <c r="U22" s="30">
        <f>(1-ABS(S22-T22)/S22)*100</f>
        <v/>
      </c>
    </row>
    <row r="23">
      <c r="B23" s="26" t="inlineStr">
        <is>
          <t>12/17</t>
        </is>
      </c>
      <c r="C23" s="27" t="n">
        <v>2419</v>
      </c>
      <c r="D23" s="28" t="n">
        <v>2.73</v>
      </c>
      <c r="E23" s="29" t="n">
        <v>2.558</v>
      </c>
      <c r="F23" s="30">
        <f>(1-ABS(D23-E23)/D23)*100</f>
        <v/>
      </c>
      <c r="G23" s="29" t="n">
        <v>0.172</v>
      </c>
      <c r="H23" s="29" t="n">
        <v>0.164</v>
      </c>
      <c r="I23" s="30">
        <f>(1-ABS(G23-H23)/G23)*100</f>
        <v/>
      </c>
      <c r="J23" s="28" t="n">
        <v>1.01</v>
      </c>
      <c r="K23" s="29" t="n">
        <v>1.051</v>
      </c>
      <c r="L23" s="30">
        <f>(1-ABS(J23-K23)/J23)*100</f>
        <v/>
      </c>
      <c r="M23" s="28" t="n">
        <v>0.36</v>
      </c>
      <c r="N23" s="29" t="n">
        <v>0.267</v>
      </c>
      <c r="O23" s="30">
        <f>(1-ABS(M23-N23)/M23)*100</f>
        <v/>
      </c>
      <c r="P23" s="31" t="n"/>
      <c r="Q23" s="32" t="n">
        <v>0.641</v>
      </c>
      <c r="R23" s="28" t="n"/>
      <c r="S23" s="33" t="n">
        <v>16</v>
      </c>
      <c r="T23" s="31" t="n">
        <v>14.36</v>
      </c>
      <c r="U23" s="30">
        <f>(1-ABS(S23-T23)/S23)*100</f>
        <v/>
      </c>
    </row>
    <row r="24">
      <c r="B24" s="26" t="inlineStr">
        <is>
          <t>12/18</t>
        </is>
      </c>
      <c r="C24" s="27" t="n">
        <v>2197</v>
      </c>
      <c r="D24" s="28" t="n">
        <v>2.66</v>
      </c>
      <c r="E24" s="29" t="n">
        <v>2.538</v>
      </c>
      <c r="F24" s="30">
        <f>(1-ABS(D24-E24)/D24)*100</f>
        <v/>
      </c>
      <c r="G24" s="29" t="n">
        <v>0.174</v>
      </c>
      <c r="H24" s="29" t="n">
        <v>0.165</v>
      </c>
      <c r="I24" s="30">
        <f>(1-ABS(G24-H24)/G24)*100</f>
        <v/>
      </c>
      <c r="J24" s="28" t="n">
        <v>0.93</v>
      </c>
      <c r="K24" s="29" t="n">
        <v>1.015</v>
      </c>
      <c r="L24" s="30">
        <f>(1-ABS(J24-K24)/J24)*100</f>
        <v/>
      </c>
      <c r="M24" s="28" t="n">
        <v>0.37</v>
      </c>
      <c r="N24" s="29" t="n">
        <v>0.289</v>
      </c>
      <c r="O24" s="30">
        <f>(1-ABS(M24-N24)/M24)*100</f>
        <v/>
      </c>
      <c r="P24" s="31" t="n"/>
      <c r="Q24" s="32" t="n">
        <v>0.663</v>
      </c>
      <c r="R24" s="28" t="n"/>
      <c r="S24" s="33" t="n">
        <v>16.3</v>
      </c>
      <c r="T24" s="31" t="n">
        <v>14.11</v>
      </c>
      <c r="U24" s="30">
        <f>(1-ABS(S24-T24)/S24)*100</f>
        <v/>
      </c>
    </row>
    <row r="25">
      <c r="B25" s="26" t="inlineStr">
        <is>
          <t>12/19</t>
        </is>
      </c>
      <c r="C25" s="27" t="n">
        <v>2341</v>
      </c>
      <c r="D25" s="28" t="n">
        <v>2.85</v>
      </c>
      <c r="E25" s="29" t="n">
        <v>2.561</v>
      </c>
      <c r="F25" s="30">
        <f>(1-ABS(D25-E25)/D25)*100</f>
        <v/>
      </c>
      <c r="G25" s="29" t="n">
        <v>0.188</v>
      </c>
      <c r="H25" s="29" t="n">
        <v>0.164</v>
      </c>
      <c r="I25" s="30">
        <f>(1-ABS(G25-H25)/G25)*100</f>
        <v/>
      </c>
      <c r="J25" s="28" t="n">
        <v>0.96</v>
      </c>
      <c r="K25" s="29" t="n">
        <v>1.065</v>
      </c>
      <c r="L25" s="30">
        <f>(1-ABS(J25-K25)/J25)*100</f>
        <v/>
      </c>
      <c r="M25" s="28" t="n">
        <v>0.41</v>
      </c>
      <c r="N25" s="29" t="n">
        <v>0.267</v>
      </c>
      <c r="O25" s="30">
        <f>(1-ABS(M25-N25)/M25)*100</f>
        <v/>
      </c>
      <c r="P25" s="31" t="n"/>
      <c r="Q25" s="32" t="n">
        <v>0.634</v>
      </c>
      <c r="R25" s="28" t="n"/>
      <c r="S25" s="33" t="n">
        <v>18.6</v>
      </c>
      <c r="T25" s="31" t="n">
        <v>13.96</v>
      </c>
      <c r="U25" s="30">
        <f>(1-ABS(S25-T25)/S25)*100</f>
        <v/>
      </c>
    </row>
    <row r="26">
      <c r="B26" s="26" t="inlineStr">
        <is>
          <t>12/20A</t>
        </is>
      </c>
      <c r="C26" s="27" t="n">
        <v>2057</v>
      </c>
      <c r="D26" s="28" t="n">
        <v>2.73</v>
      </c>
      <c r="E26" s="29" t="n">
        <v>2.544</v>
      </c>
      <c r="F26" s="30">
        <f>(1-ABS(D26-E26)/D26)*100</f>
        <v/>
      </c>
      <c r="G26" s="29" t="n">
        <v>0.182</v>
      </c>
      <c r="H26" s="29" t="n">
        <v>0.166</v>
      </c>
      <c r="I26" s="30">
        <f>(1-ABS(G26-H26)/G26)*100</f>
        <v/>
      </c>
      <c r="J26" s="28" t="n">
        <v>1.16</v>
      </c>
      <c r="K26" s="29" t="n">
        <v>1.021</v>
      </c>
      <c r="L26" s="30">
        <f>(1-ABS(J26-K26)/J26)*100</f>
        <v/>
      </c>
      <c r="M26" s="28" t="n">
        <v>0.34</v>
      </c>
      <c r="N26" s="29" t="n">
        <v>0.263</v>
      </c>
      <c r="O26" s="30">
        <f>(1-ABS(M26-N26)/M26)*100</f>
        <v/>
      </c>
      <c r="P26" s="31" t="n"/>
      <c r="Q26" s="32" t="n">
        <v>0.648</v>
      </c>
      <c r="R26" s="28" t="n"/>
      <c r="S26" s="33" t="n">
        <v>15.2</v>
      </c>
      <c r="T26" s="31" t="n">
        <v>14.59</v>
      </c>
      <c r="U26" s="30">
        <f>(1-ABS(S26-T26)/S26)*100</f>
        <v/>
      </c>
    </row>
    <row r="27">
      <c r="B27" s="26" t="inlineStr">
        <is>
          <t>12/21</t>
        </is>
      </c>
      <c r="C27" s="27" t="n">
        <v>4015</v>
      </c>
      <c r="D27" s="28" t="n">
        <v>2.77</v>
      </c>
      <c r="E27" s="29" t="n">
        <v>2.552</v>
      </c>
      <c r="F27" s="30">
        <f>(1-ABS(D27-E27)/D27)*100</f>
        <v/>
      </c>
      <c r="G27" s="29" t="n">
        <v>0.177</v>
      </c>
      <c r="H27" s="29" t="n">
        <v>0.166</v>
      </c>
      <c r="I27" s="30">
        <f>(1-ABS(G27-H27)/G27)*100</f>
        <v/>
      </c>
      <c r="J27" s="28" t="n">
        <v>1.07</v>
      </c>
      <c r="K27" s="29" t="n">
        <v>1.049</v>
      </c>
      <c r="L27" s="30">
        <f>(1-ABS(J27-K27)/J27)*100</f>
        <v/>
      </c>
      <c r="M27" s="28" t="n">
        <v>0.4</v>
      </c>
      <c r="N27" s="29" t="n">
        <v>0.285</v>
      </c>
      <c r="O27" s="30">
        <f>(1-ABS(M27-N27)/M27)*100</f>
        <v/>
      </c>
      <c r="P27" s="31" t="n"/>
      <c r="Q27" s="32" t="n">
        <v>0.649</v>
      </c>
      <c r="R27" s="28" t="n"/>
      <c r="S27" s="33" t="n">
        <v>15.6</v>
      </c>
      <c r="T27" s="31" t="n">
        <v>13.51</v>
      </c>
      <c r="U27" s="30">
        <f>(1-ABS(S27-T27)/S27)*100</f>
        <v/>
      </c>
    </row>
    <row r="28">
      <c r="B28" s="26" t="inlineStr">
        <is>
          <t>12/22A</t>
        </is>
      </c>
      <c r="C28" s="27" t="n">
        <v>4305</v>
      </c>
      <c r="D28" s="28" t="n">
        <v>2.75</v>
      </c>
      <c r="E28" s="29" t="n">
        <v>2.541</v>
      </c>
      <c r="F28" s="30">
        <f>(1-ABS(D28-E28)/D28)*100</f>
        <v/>
      </c>
      <c r="G28" s="29" t="n">
        <v>0.173</v>
      </c>
      <c r="H28" s="29" t="n">
        <v>0.163</v>
      </c>
      <c r="I28" s="30">
        <f>(1-ABS(G28-H28)/G28)*100</f>
        <v/>
      </c>
      <c r="J28" s="28" t="n">
        <v>0.99</v>
      </c>
      <c r="K28" s="29" t="n">
        <v>1.038</v>
      </c>
      <c r="L28" s="30">
        <f>(1-ABS(J28-K28)/J28)*100</f>
        <v/>
      </c>
      <c r="M28" s="28" t="n">
        <v>0.4</v>
      </c>
      <c r="N28" s="29" t="n">
        <v>0.284</v>
      </c>
      <c r="O28" s="30">
        <f>(1-ABS(M28-N28)/M28)*100</f>
        <v/>
      </c>
      <c r="P28" s="31" t="n"/>
      <c r="Q28" s="32" t="n">
        <v>0.637</v>
      </c>
      <c r="R28" s="28" t="n"/>
      <c r="S28" s="33" t="n">
        <v>15.4</v>
      </c>
      <c r="T28" s="31" t="n">
        <v>14.02</v>
      </c>
      <c r="U28" s="30">
        <f>(1-ABS(S28-T28)/S28)*100</f>
        <v/>
      </c>
    </row>
    <row r="29">
      <c r="B29" s="26" t="inlineStr">
        <is>
          <t>12/23</t>
        </is>
      </c>
      <c r="C29" s="27" t="n">
        <v>3872</v>
      </c>
      <c r="D29" s="28" t="n">
        <v>2.85</v>
      </c>
      <c r="E29" s="29" t="n">
        <v>2.452</v>
      </c>
      <c r="F29" s="30">
        <f>(1-ABS(D29-E29)/D29)*100</f>
        <v/>
      </c>
      <c r="G29" s="29" t="n">
        <v>0.184</v>
      </c>
      <c r="H29" s="29" t="n">
        <v>0.159</v>
      </c>
      <c r="I29" s="30">
        <f>(1-ABS(G29-H29)/G29)*100</f>
        <v/>
      </c>
      <c r="J29" s="28" t="n">
        <v>0.92</v>
      </c>
      <c r="K29" s="29" t="n">
        <v>0.997</v>
      </c>
      <c r="L29" s="30">
        <f>(1-ABS(J29-K29)/J29)*100</f>
        <v/>
      </c>
      <c r="M29" s="28" t="n">
        <v>0.41</v>
      </c>
      <c r="N29" s="29" t="n">
        <v>0.298</v>
      </c>
      <c r="O29" s="30">
        <f>(1-ABS(M29-N29)/M29)*100</f>
        <v/>
      </c>
      <c r="P29" s="31" t="n"/>
      <c r="Q29" s="32" t="n">
        <v>0.64</v>
      </c>
      <c r="R29" s="28" t="n"/>
      <c r="S29" s="33" t="n">
        <v>15.3</v>
      </c>
      <c r="T29" s="31" t="n">
        <v>11.91</v>
      </c>
      <c r="U29" s="30">
        <f>(1-ABS(S29-T29)/S29)*100</f>
        <v/>
      </c>
    </row>
    <row r="30">
      <c r="B30" s="26" t="inlineStr">
        <is>
          <t>12/24</t>
        </is>
      </c>
      <c r="C30" s="27" t="n">
        <v>3648</v>
      </c>
      <c r="D30" s="28" t="n">
        <v>2.83</v>
      </c>
      <c r="E30" s="29" t="n">
        <v>2.511</v>
      </c>
      <c r="F30" s="30">
        <f>(1-ABS(D30-E30)/D30)*100</f>
        <v/>
      </c>
      <c r="G30" s="29" t="n">
        <v>0.187</v>
      </c>
      <c r="H30" s="29" t="n">
        <v>0.164</v>
      </c>
      <c r="I30" s="30">
        <f>(1-ABS(G30-H30)/G30)*100</f>
        <v/>
      </c>
      <c r="J30" s="28" t="n">
        <v>1.13</v>
      </c>
      <c r="K30" s="29" t="n">
        <v>1.021</v>
      </c>
      <c r="L30" s="30">
        <f>(1-ABS(J30-K30)/J30)*100</f>
        <v/>
      </c>
      <c r="M30" s="28" t="n">
        <v>0.34</v>
      </c>
      <c r="N30" s="29" t="n">
        <v>0.308</v>
      </c>
      <c r="O30" s="30">
        <f>(1-ABS(M30-N30)/M30)*100</f>
        <v/>
      </c>
      <c r="P30" s="31" t="n"/>
      <c r="Q30" s="32" t="n">
        <v>0.657</v>
      </c>
      <c r="R30" s="28" t="n"/>
      <c r="S30" s="33" t="n">
        <v>16.2</v>
      </c>
      <c r="T30" s="31" t="n">
        <v>11.77</v>
      </c>
      <c r="U30" s="30">
        <f>(1-ABS(S30-T30)/S30)*100</f>
        <v/>
      </c>
    </row>
    <row r="31">
      <c r="B31" s="26" t="inlineStr">
        <is>
          <t>12/25</t>
        </is>
      </c>
      <c r="C31" s="27" t="n">
        <v>4320</v>
      </c>
      <c r="D31" s="28" t="n">
        <v>2.73</v>
      </c>
      <c r="E31" s="29" t="n">
        <v>2.263</v>
      </c>
      <c r="F31" s="30">
        <f>(1-ABS(D31-E31)/D31)*100</f>
        <v/>
      </c>
      <c r="G31" s="29" t="n">
        <v>0.177</v>
      </c>
      <c r="H31" s="29" t="n">
        <v>0.149</v>
      </c>
      <c r="I31" s="30">
        <f>(1-ABS(G31-H31)/G31)*100</f>
        <v/>
      </c>
      <c r="J31" s="28" t="n">
        <v>1.04</v>
      </c>
      <c r="K31" s="29" t="n">
        <v>0.911</v>
      </c>
      <c r="L31" s="30">
        <f>(1-ABS(J31-K31)/J31)*100</f>
        <v/>
      </c>
      <c r="M31" s="28" t="n">
        <v>0.4</v>
      </c>
      <c r="N31" s="29" t="n">
        <v>0.293</v>
      </c>
      <c r="O31" s="30">
        <f>(1-ABS(M31-N31)/M31)*100</f>
        <v/>
      </c>
      <c r="P31" s="31" t="n"/>
      <c r="Q31" s="32" t="n">
        <v>0.634</v>
      </c>
      <c r="R31" s="28" t="n"/>
      <c r="S31" s="33" t="n">
        <v>16.9</v>
      </c>
      <c r="T31" s="31" t="n">
        <v>9.85</v>
      </c>
      <c r="U31" s="30">
        <f>(1-ABS(S31-T31)/S31)*100</f>
        <v/>
      </c>
    </row>
    <row r="32">
      <c r="B32" s="26" t="inlineStr">
        <is>
          <t>12/26</t>
        </is>
      </c>
      <c r="C32" s="27" t="n">
        <v>4595</v>
      </c>
      <c r="D32" s="28" t="n">
        <v>2.53</v>
      </c>
      <c r="E32" s="29" t="n">
        <v>2.245</v>
      </c>
      <c r="F32" s="30">
        <f>(1-ABS(D32-E32)/D32)*100</f>
        <v/>
      </c>
      <c r="G32" s="29" t="n">
        <v>0.173</v>
      </c>
      <c r="H32" s="29" t="n">
        <v>0.145</v>
      </c>
      <c r="I32" s="30">
        <f>(1-ABS(G32-H32)/G32)*100</f>
        <v/>
      </c>
      <c r="J32" s="28" t="n">
        <v>1.01</v>
      </c>
      <c r="K32" s="29" t="n">
        <v>0.9</v>
      </c>
      <c r="L32" s="30">
        <f>(1-ABS(J32-K32)/J32)*100</f>
        <v/>
      </c>
      <c r="M32" s="28" t="n">
        <v>0.41</v>
      </c>
      <c r="N32" s="29" t="n">
        <v>0.28</v>
      </c>
      <c r="O32" s="30">
        <f>(1-ABS(M32-N32)/M32)*100</f>
        <v/>
      </c>
      <c r="P32" s="31" t="n"/>
      <c r="Q32" s="32" t="n">
        <v>0.603</v>
      </c>
      <c r="R32" s="28" t="n"/>
      <c r="S32" s="33" t="n">
        <v>15.4</v>
      </c>
      <c r="T32" s="31" t="n">
        <v>10.14</v>
      </c>
      <c r="U32" s="30">
        <f>(1-ABS(S32-T32)/S32)*100</f>
        <v/>
      </c>
    </row>
    <row r="33">
      <c r="B33" s="26" t="inlineStr">
        <is>
          <t>13/03</t>
        </is>
      </c>
      <c r="C33" s="27" t="n">
        <v>3866</v>
      </c>
      <c r="D33" s="28" t="n">
        <v>2.88</v>
      </c>
      <c r="E33" s="29" t="n">
        <v>2.527</v>
      </c>
      <c r="F33" s="30">
        <f>(1-ABS(D33-E33)/D33)*100</f>
        <v/>
      </c>
      <c r="G33" s="29" t="n">
        <v>0.17</v>
      </c>
      <c r="H33" s="29" t="n">
        <v>0.162</v>
      </c>
      <c r="I33" s="30">
        <f>(1-ABS(G33-H33)/G33)*100</f>
        <v/>
      </c>
      <c r="J33" s="28" t="n">
        <v>0.95</v>
      </c>
      <c r="K33" s="29" t="n">
        <v>1.03</v>
      </c>
      <c r="L33" s="30">
        <f>(1-ABS(J33-K33)/J33)*100</f>
        <v/>
      </c>
      <c r="M33" s="28" t="n">
        <v>0.41</v>
      </c>
      <c r="N33" s="29" t="n">
        <v>0.294</v>
      </c>
      <c r="O33" s="30">
        <f>(1-ABS(M33-N33)/M33)*100</f>
        <v/>
      </c>
      <c r="P33" s="31" t="n"/>
      <c r="Q33" s="32" t="n">
        <v>0.64</v>
      </c>
      <c r="R33" s="28" t="n"/>
      <c r="S33" s="33" t="n">
        <v>15.8</v>
      </c>
      <c r="T33" s="31" t="n">
        <v>13.53</v>
      </c>
      <c r="U33" s="30">
        <f>(1-ABS(S33-T33)/S33)*100</f>
        <v/>
      </c>
    </row>
    <row r="34">
      <c r="B34" s="26" t="inlineStr">
        <is>
          <t>13/07A</t>
        </is>
      </c>
      <c r="C34" s="27" t="n">
        <v>2688</v>
      </c>
      <c r="D34" s="28" t="n">
        <v>2.7</v>
      </c>
      <c r="E34" s="29" t="n">
        <v>2.458</v>
      </c>
      <c r="F34" s="30">
        <f>(1-ABS(D34-E34)/D34)*100</f>
        <v/>
      </c>
      <c r="G34" s="29" t="n">
        <v>0.17</v>
      </c>
      <c r="H34" s="29" t="n">
        <v>0.158</v>
      </c>
      <c r="I34" s="30">
        <f>(1-ABS(G34-H34)/G34)*100</f>
        <v/>
      </c>
      <c r="J34" s="28" t="n">
        <v>0.95</v>
      </c>
      <c r="K34" s="29" t="n">
        <v>1.001</v>
      </c>
      <c r="L34" s="30">
        <f>(1-ABS(J34-K34)/J34)*100</f>
        <v/>
      </c>
      <c r="M34" s="28" t="n">
        <v>0.39</v>
      </c>
      <c r="N34" s="29" t="n">
        <v>0.288</v>
      </c>
      <c r="O34" s="30">
        <f>(1-ABS(M34-N34)/M34)*100</f>
        <v/>
      </c>
      <c r="P34" s="31" t="n"/>
      <c r="Q34" s="32" t="n">
        <v>0.624</v>
      </c>
      <c r="R34" s="28" t="n"/>
      <c r="S34" s="33" t="n">
        <v>15.6</v>
      </c>
      <c r="T34" s="31" t="n">
        <v>13.05</v>
      </c>
      <c r="U34" s="30">
        <f>(1-ABS(S34-T34)/S34)*100</f>
        <v/>
      </c>
    </row>
    <row r="35">
      <c r="B35" s="26" t="inlineStr">
        <is>
          <t>13/08</t>
        </is>
      </c>
      <c r="C35" s="27" t="n">
        <v>3310</v>
      </c>
      <c r="D35" s="28" t="n">
        <v>2.61</v>
      </c>
      <c r="E35" s="29" t="n">
        <v>2.046</v>
      </c>
      <c r="F35" s="30">
        <f>(1-ABS(D35-E35)/D35)*100</f>
        <v/>
      </c>
      <c r="G35" s="29" t="n">
        <v>0.171</v>
      </c>
      <c r="H35" s="29" t="n">
        <v>0.131</v>
      </c>
      <c r="I35" s="30">
        <f>(1-ABS(G35-H35)/G35)*100</f>
        <v/>
      </c>
      <c r="J35" s="28" t="n">
        <v>0.98</v>
      </c>
      <c r="K35" s="29" t="n">
        <v>0.8080000000000001</v>
      </c>
      <c r="L35" s="30">
        <f>(1-ABS(J35-K35)/J35)*100</f>
        <v/>
      </c>
      <c r="M35" s="28" t="n">
        <v>0.4</v>
      </c>
      <c r="N35" s="29" t="n">
        <v>0.267</v>
      </c>
      <c r="O35" s="30">
        <f>(1-ABS(M35-N35)/M35)*100</f>
        <v/>
      </c>
      <c r="P35" s="31" t="n"/>
      <c r="Q35" s="32" t="n">
        <v>0.546</v>
      </c>
      <c r="R35" s="28" t="n"/>
      <c r="S35" s="33" t="n">
        <v>16.6</v>
      </c>
      <c r="T35" s="31" t="n">
        <v>8.67</v>
      </c>
      <c r="U35" s="30">
        <f>(1-ABS(S35-T35)/S35)*100</f>
        <v/>
      </c>
    </row>
    <row r="36" ht="35" customHeight="1">
      <c r="A36" s="35" t="inlineStr">
        <is>
          <t>AVG ACCURACY</t>
        </is>
      </c>
      <c r="F36" s="36">
        <f>AVERAGE(F7:F35)</f>
        <v/>
      </c>
      <c r="I36" s="36">
        <f>AVERAGE(I7:I35)</f>
        <v/>
      </c>
      <c r="L36" s="36">
        <f>AVERAGE(L7:L35)</f>
        <v/>
      </c>
      <c r="O36" s="37">
        <f>AVERAGE(O7:O35)</f>
        <v/>
      </c>
      <c r="R36" s="38" t="inlineStr">
        <is>
          <t>-</t>
        </is>
      </c>
      <c r="U36" s="37">
        <f>AVERAGE(U7:U35)</f>
        <v/>
      </c>
    </row>
    <row r="37" ht="40" customHeight="1">
      <c r="A37" s="39" t="inlineStr">
        <is>
          <t>Best result closer to 0</t>
        </is>
      </c>
      <c r="B37" s="26" t="inlineStr">
        <is>
          <t>R^2 (Coefficient of determination)</t>
        </is>
      </c>
      <c r="C37" s="40" t="n"/>
      <c r="D37" s="41">
        <f>RSQ(E7:E35, D7:D35)</f>
        <v/>
      </c>
      <c r="E37" s="42" t="n"/>
      <c r="F37" s="40" t="n"/>
      <c r="G37" s="41">
        <f>RSQ(H7:H35, G7:G35)</f>
        <v/>
      </c>
      <c r="H37" s="42" t="n"/>
      <c r="I37" s="40" t="n"/>
      <c r="J37" s="41">
        <f>RSQ(K7:K35, J7:J35)</f>
        <v/>
      </c>
      <c r="K37" s="42" t="n"/>
      <c r="L37" s="40" t="n"/>
      <c r="M37" s="41">
        <f>RSQ(N7:N35, M7:M35)</f>
        <v/>
      </c>
      <c r="N37" s="42" t="n"/>
      <c r="O37" s="40" t="n"/>
      <c r="P37" s="43" t="inlineStr">
        <is>
          <t>-</t>
        </is>
      </c>
      <c r="Q37" s="42" t="n"/>
      <c r="R37" s="40" t="n"/>
      <c r="S37" s="43">
        <f>RSQ(T7:T35, S7:S35)</f>
        <v/>
      </c>
      <c r="T37" s="42" t="n"/>
      <c r="U37" s="40" t="n"/>
    </row>
    <row r="38" ht="39" customHeight="1">
      <c r="A38" s="39" t="inlineStr">
        <is>
          <t>Best result closer to 1</t>
        </is>
      </c>
      <c r="B38" s="26" t="inlineStr">
        <is>
          <t>MAE (Average size of prediction errors)</t>
        </is>
      </c>
      <c r="C38" s="40" t="n"/>
      <c r="D38" s="41">
        <f>SUMPRODUCT(ABS(D7:D35-E7:E35))/COUNT(D7:D35)</f>
        <v/>
      </c>
      <c r="E38" s="42" t="n"/>
      <c r="F38" s="40" t="n"/>
      <c r="G38" s="41">
        <f>SUMPRODUCT(ABS(G7:G35-H7:H35))/COUNT(G7:G35)</f>
        <v/>
      </c>
      <c r="H38" s="42" t="n"/>
      <c r="I38" s="40" t="n"/>
      <c r="J38" s="41">
        <f>SUMPRODUCT(ABS(J7:J35-K7:K35))/COUNT(J7:J35)</f>
        <v/>
      </c>
      <c r="K38" s="42" t="n"/>
      <c r="L38" s="40" t="n"/>
      <c r="M38" s="41">
        <f>SUMPRODUCT(ABS(M7:M35-N7:N35))/COUNT(M7:M35)</f>
        <v/>
      </c>
      <c r="N38" s="42" t="n"/>
      <c r="O38" s="40" t="n"/>
      <c r="P38" s="43" t="inlineStr">
        <is>
          <t>-</t>
        </is>
      </c>
      <c r="Q38" s="42" t="n"/>
      <c r="R38" s="40" t="n"/>
      <c r="S38" s="43">
        <f>SUMPRODUCT(ABS(S7:S35-T7:T35))/COUNT(S7:S35)</f>
        <v/>
      </c>
      <c r="T38" s="42" t="n"/>
      <c r="U38" s="40" t="n"/>
    </row>
    <row r="39" ht="66" customHeight="1">
      <c r="A39" s="39" t="inlineStr">
        <is>
          <t>Best result closer to 1</t>
        </is>
      </c>
      <c r="B39" s="26" t="inlineStr">
        <is>
          <t>RMSE (Prediction error, with larger mistakes penalised more)</t>
        </is>
      </c>
      <c r="C39" s="40" t="n"/>
      <c r="D39" s="41">
        <f>SQRT(SUMXMY2(D7:D35, E7:E35)/COUNT(D7:D35))</f>
        <v/>
      </c>
      <c r="E39" s="42" t="n"/>
      <c r="F39" s="40" t="n"/>
      <c r="G39" s="41">
        <f>SQRT(SUMXMY2(G7:G35, H7:H35)/COUNT(G7:G35))</f>
        <v/>
      </c>
      <c r="H39" s="42" t="n"/>
      <c r="I39" s="40" t="n"/>
      <c r="J39" s="41">
        <f>SQRT(SUMXMY2(J7:J35, K7:K35)/COUNT(J7:J35))</f>
        <v/>
      </c>
      <c r="K39" s="42" t="n"/>
      <c r="L39" s="40" t="n"/>
      <c r="M39" s="41">
        <f>SQRT(SUMXMY2(M7:M35, N7:N35)/COUNT(M7:M35))</f>
        <v/>
      </c>
      <c r="N39" s="42" t="n"/>
      <c r="O39" s="40" t="n"/>
      <c r="P39" s="43" t="inlineStr">
        <is>
          <t>-</t>
        </is>
      </c>
      <c r="Q39" s="42" t="n"/>
      <c r="R39" s="40" t="n"/>
      <c r="S39" s="43">
        <f>SQRT(SUMXMY2(S7:S35, T7:T35)/COUNT(S7:S35))</f>
        <v/>
      </c>
      <c r="T39" s="42" t="n"/>
      <c r="U39" s="40" t="n"/>
    </row>
  </sheetData>
  <mergeCells count="31">
    <mergeCell ref="G38:I38"/>
    <mergeCell ref="S38:U38"/>
    <mergeCell ref="B4:O4"/>
    <mergeCell ref="G37:I37"/>
    <mergeCell ref="S37:U37"/>
    <mergeCell ref="P39:R39"/>
    <mergeCell ref="B39:C39"/>
    <mergeCell ref="M37:O37"/>
    <mergeCell ref="D37:F37"/>
    <mergeCell ref="G5:I5"/>
    <mergeCell ref="P37:R37"/>
    <mergeCell ref="D39:F39"/>
    <mergeCell ref="D38:F38"/>
    <mergeCell ref="B38:C38"/>
    <mergeCell ref="S5:U5"/>
    <mergeCell ref="M38:O38"/>
    <mergeCell ref="D5:F5"/>
    <mergeCell ref="P5:R5"/>
    <mergeCell ref="B37:C37"/>
    <mergeCell ref="J39:L39"/>
    <mergeCell ref="B5:B6"/>
    <mergeCell ref="P38:R38"/>
    <mergeCell ref="P4:U4"/>
    <mergeCell ref="J5:L5"/>
    <mergeCell ref="J38:L38"/>
    <mergeCell ref="J37:L37"/>
    <mergeCell ref="M5:O5"/>
    <mergeCell ref="G39:I39"/>
    <mergeCell ref="M39:O39"/>
    <mergeCell ref="S39:U39"/>
    <mergeCell ref="C5:C6"/>
  </mergeCells>
  <conditionalFormatting sqref="F7:F35 I7:I35 L7:L35 O7:O35 U7:U35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4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3" t="n"/>
      <c r="P4" s="14" t="inlineStr">
        <is>
          <t>On-going Research for Ca and B Models</t>
        </is>
      </c>
      <c r="Q4" s="15" t="n"/>
      <c r="R4" s="15" t="n"/>
      <c r="S4" s="15" t="n"/>
      <c r="T4" s="15" t="n"/>
      <c r="U4" s="16" t="n"/>
    </row>
    <row r="5" ht="34" customHeight="1">
      <c r="B5" s="17" t="inlineStr">
        <is>
          <t>Plot</t>
        </is>
      </c>
      <c r="C5" s="18" t="inlineStr">
        <is>
          <t>Pixels sampled</t>
        </is>
      </c>
      <c r="D5" s="19" t="inlineStr">
        <is>
          <t>N</t>
        </is>
      </c>
      <c r="E5" s="15" t="n"/>
      <c r="F5" s="16" t="n"/>
      <c r="G5" s="19" t="inlineStr">
        <is>
          <t>P (%)</t>
        </is>
      </c>
      <c r="H5" s="15" t="n"/>
      <c r="I5" s="16" t="n"/>
      <c r="J5" s="19" t="inlineStr">
        <is>
          <t>K (%)</t>
        </is>
      </c>
      <c r="K5" s="15" t="n"/>
      <c r="L5" s="16" t="n"/>
      <c r="M5" s="19" t="inlineStr">
        <is>
          <t>Mg (%)</t>
        </is>
      </c>
      <c r="N5" s="15" t="n"/>
      <c r="O5" s="16" t="n"/>
      <c r="P5" s="20" t="inlineStr">
        <is>
          <t>Ca (%)</t>
        </is>
      </c>
      <c r="Q5" s="15" t="n"/>
      <c r="R5" s="16" t="n"/>
      <c r="S5" s="20" t="inlineStr">
        <is>
          <t>B (%)</t>
        </is>
      </c>
      <c r="T5" s="15" t="n"/>
      <c r="U5" s="16" t="n"/>
    </row>
    <row r="6" ht="34" customHeight="1">
      <c r="B6" s="21" t="n"/>
      <c r="C6" s="22" t="n"/>
      <c r="D6" s="23" t="inlineStr">
        <is>
          <t>Lab Actual (%)</t>
        </is>
      </c>
      <c r="E6" s="24" t="inlineStr">
        <is>
          <t>Prediction (%)</t>
        </is>
      </c>
      <c r="F6" s="25" t="inlineStr">
        <is>
          <t>Accuracy (%)</t>
        </is>
      </c>
      <c r="G6" s="23" t="inlineStr">
        <is>
          <t>Lab Actual (%)</t>
        </is>
      </c>
      <c r="H6" s="24" t="inlineStr">
        <is>
          <t>Prediction (%)</t>
        </is>
      </c>
      <c r="I6" s="25" t="inlineStr">
        <is>
          <t>Accuracy (%)</t>
        </is>
      </c>
      <c r="J6" s="23" t="inlineStr">
        <is>
          <t>Lab Actual (%)</t>
        </is>
      </c>
      <c r="K6" s="24" t="inlineStr">
        <is>
          <t>Prediction (%)</t>
        </is>
      </c>
      <c r="L6" s="25" t="inlineStr">
        <is>
          <t>Accuracy (%)</t>
        </is>
      </c>
      <c r="M6" s="23" t="inlineStr">
        <is>
          <t>Lab Actual (%)</t>
        </is>
      </c>
      <c r="N6" s="24" t="inlineStr">
        <is>
          <t>Prediction (%)</t>
        </is>
      </c>
      <c r="O6" s="25" t="inlineStr">
        <is>
          <t>Accuracy (%)</t>
        </is>
      </c>
      <c r="P6" s="14" t="inlineStr">
        <is>
          <t>Lab Actual (%)</t>
        </is>
      </c>
      <c r="Q6" s="14" t="inlineStr">
        <is>
          <t>Prediction (%)</t>
        </is>
      </c>
      <c r="R6" s="25" t="inlineStr">
        <is>
          <t>Accuracy (%)</t>
        </is>
      </c>
      <c r="S6" s="14" t="inlineStr">
        <is>
          <t>Lab Actual (%)</t>
        </is>
      </c>
      <c r="T6" s="14" t="inlineStr">
        <is>
          <t>Prediction (%)</t>
        </is>
      </c>
      <c r="U6" s="25" t="inlineStr">
        <is>
          <t>Accuracy (%)</t>
        </is>
      </c>
    </row>
    <row r="7">
      <c r="B7" s="26" t="inlineStr">
        <is>
          <t>07/01</t>
        </is>
      </c>
      <c r="C7" s="27" t="n">
        <v>3770</v>
      </c>
      <c r="D7" s="28" t="n">
        <v>2.87</v>
      </c>
      <c r="E7" s="29" t="n">
        <v>2.408</v>
      </c>
      <c r="F7" s="30">
        <f>(1-ABS(D7-E7)/D7)*100</f>
        <v/>
      </c>
      <c r="G7" s="29" t="n">
        <v>0.189</v>
      </c>
      <c r="H7" s="29" t="n">
        <v>0.156</v>
      </c>
      <c r="I7" s="30">
        <f>(1-ABS(G7-H7)/G7)*100</f>
        <v/>
      </c>
      <c r="J7" s="28" t="n">
        <v>1.31</v>
      </c>
      <c r="K7" s="29" t="n">
        <v>0.962</v>
      </c>
      <c r="L7" s="30">
        <f>(1-ABS(J7-K7)/J7)*100</f>
        <v/>
      </c>
      <c r="M7" s="28" t="n">
        <v>0.36</v>
      </c>
      <c r="N7" s="29" t="n">
        <v>0.301</v>
      </c>
      <c r="O7" s="30">
        <f>(1-ABS(M7-N7)/M7)*100</f>
        <v/>
      </c>
      <c r="P7" s="31" t="n"/>
      <c r="Q7" s="32" t="n">
        <v>0.658</v>
      </c>
      <c r="R7" s="28" t="n"/>
      <c r="S7" s="33" t="n">
        <v>17.4</v>
      </c>
      <c r="T7" s="31" t="n">
        <v>10.58</v>
      </c>
      <c r="U7" s="30">
        <f>(1-ABS(S7-T7)/S7)*100</f>
        <v/>
      </c>
    </row>
    <row r="8">
      <c r="B8" s="26" t="inlineStr">
        <is>
          <t>07/12</t>
        </is>
      </c>
      <c r="C8" s="27" t="n">
        <v>5726</v>
      </c>
      <c r="D8" s="28" t="n">
        <v>2.8</v>
      </c>
      <c r="E8" s="29" t="n">
        <v>2.401</v>
      </c>
      <c r="F8" s="30">
        <f>(1-ABS(D8-E8)/D8)*100</f>
        <v/>
      </c>
      <c r="G8" s="29" t="n">
        <v>0.183</v>
      </c>
      <c r="H8" s="29" t="n">
        <v>0.155</v>
      </c>
      <c r="I8" s="30">
        <f>(1-ABS(G8-H8)/G8)*100</f>
        <v/>
      </c>
      <c r="J8" s="28" t="n">
        <v>1.34</v>
      </c>
      <c r="K8" s="29" t="n">
        <v>0.966</v>
      </c>
      <c r="L8" s="30">
        <f>(1-ABS(J8-K8)/J8)*100</f>
        <v/>
      </c>
      <c r="M8" s="28" t="n">
        <v>0.38</v>
      </c>
      <c r="N8" s="29" t="n">
        <v>0.295</v>
      </c>
      <c r="O8" s="30">
        <f>(1-ABS(M8-N8)/M8)*100</f>
        <v/>
      </c>
      <c r="P8" s="31" t="n"/>
      <c r="Q8" s="32" t="n">
        <v>0.636</v>
      </c>
      <c r="R8" s="28" t="n"/>
      <c r="S8" s="33" t="n">
        <v>18.1</v>
      </c>
      <c r="T8" s="31" t="n">
        <v>10.76</v>
      </c>
      <c r="U8" s="30">
        <f>(1-ABS(S8-T8)/S8)*100</f>
        <v/>
      </c>
    </row>
    <row r="9">
      <c r="B9" s="26" t="inlineStr">
        <is>
          <t>08/07</t>
        </is>
      </c>
      <c r="C9" s="27" t="n">
        <v>3909</v>
      </c>
      <c r="D9" s="28" t="n">
        <v>2.72</v>
      </c>
      <c r="E9" s="29" t="n">
        <v>2.426</v>
      </c>
      <c r="F9" s="30">
        <f>(1-ABS(D9-E9)/D9)*100</f>
        <v/>
      </c>
      <c r="G9" s="29" t="n">
        <v>0.194</v>
      </c>
      <c r="H9" s="29" t="n">
        <v>0.158</v>
      </c>
      <c r="I9" s="30">
        <f>(1-ABS(G9-H9)/G9)*100</f>
        <v/>
      </c>
      <c r="J9" s="28" t="n">
        <v>1.32</v>
      </c>
      <c r="K9" s="29" t="n">
        <v>0.973</v>
      </c>
      <c r="L9" s="30">
        <f>(1-ABS(J9-K9)/J9)*100</f>
        <v/>
      </c>
      <c r="M9" s="28" t="n">
        <v>0.38</v>
      </c>
      <c r="N9" s="29" t="n">
        <v>0.281</v>
      </c>
      <c r="O9" s="30">
        <f>(1-ABS(M9-N9)/M9)*100</f>
        <v/>
      </c>
      <c r="P9" s="31" t="n"/>
      <c r="Q9" s="32" t="n">
        <v>0.653</v>
      </c>
      <c r="R9" s="28" t="n"/>
      <c r="S9" s="33" t="n">
        <v>16</v>
      </c>
      <c r="T9" s="31" t="n">
        <v>11.85</v>
      </c>
      <c r="U9" s="30">
        <f>(1-ABS(S9-T9)/S9)*100</f>
        <v/>
      </c>
    </row>
    <row r="10">
      <c r="B10" s="26" t="inlineStr">
        <is>
          <t>09/13</t>
        </is>
      </c>
      <c r="C10" s="27" t="n">
        <v>6734</v>
      </c>
      <c r="D10" s="28" t="n">
        <v>2.89</v>
      </c>
      <c r="E10" s="29" t="n">
        <v>2.545</v>
      </c>
      <c r="F10" s="30">
        <f>(1-ABS(D10-E10)/D10)*100</f>
        <v/>
      </c>
      <c r="G10" s="29" t="n">
        <v>0.194</v>
      </c>
      <c r="H10" s="29" t="n">
        <v>0.166</v>
      </c>
      <c r="I10" s="30">
        <f>(1-ABS(G10-H10)/G10)*100</f>
        <v/>
      </c>
      <c r="J10" s="28" t="n">
        <v>1.31</v>
      </c>
      <c r="K10" s="29" t="n">
        <v>1.026</v>
      </c>
      <c r="L10" s="30">
        <f>(1-ABS(J10-K10)/J10)*100</f>
        <v/>
      </c>
      <c r="M10" s="28" t="n">
        <v>0.36</v>
      </c>
      <c r="N10" s="29" t="n">
        <v>0.29</v>
      </c>
      <c r="O10" s="30">
        <f>(1-ABS(M10-N10)/M10)*100</f>
        <v/>
      </c>
      <c r="P10" s="31" t="n"/>
      <c r="Q10" s="32" t="n">
        <v>0.651</v>
      </c>
      <c r="R10" s="28" t="n"/>
      <c r="S10" s="33" t="n">
        <v>17.8</v>
      </c>
      <c r="T10" s="31" t="n">
        <v>14.32</v>
      </c>
      <c r="U10" s="30">
        <f>(1-ABS(S10-T10)/S10)*100</f>
        <v/>
      </c>
    </row>
    <row r="11">
      <c r="B11" s="26" t="inlineStr">
        <is>
          <t>09/14</t>
        </is>
      </c>
      <c r="C11" s="27" t="n">
        <v>8778</v>
      </c>
      <c r="D11" s="28" t="n">
        <v>2.69</v>
      </c>
      <c r="E11" s="29" t="n">
        <v>2.536</v>
      </c>
      <c r="F11" s="30">
        <f>(1-ABS(D11-E11)/D11)*100</f>
        <v/>
      </c>
      <c r="G11" s="29" t="n">
        <v>0.18</v>
      </c>
      <c r="H11" s="29" t="n">
        <v>0.165</v>
      </c>
      <c r="I11" s="30">
        <f>(1-ABS(G11-H11)/G11)*100</f>
        <v/>
      </c>
      <c r="J11" s="28" t="n">
        <v>1.33</v>
      </c>
      <c r="K11" s="29" t="n">
        <v>1.028</v>
      </c>
      <c r="L11" s="30">
        <f>(1-ABS(J11-K11)/J11)*100</f>
        <v/>
      </c>
      <c r="M11" s="28" t="n">
        <v>0.36</v>
      </c>
      <c r="N11" s="29" t="n">
        <v>0.301</v>
      </c>
      <c r="O11" s="30">
        <f>(1-ABS(M11-N11)/M11)*100</f>
        <v/>
      </c>
      <c r="P11" s="31" t="n"/>
      <c r="Q11" s="32" t="n">
        <v>0.654</v>
      </c>
      <c r="R11" s="28" t="n"/>
      <c r="S11" s="33" t="n">
        <v>17.9</v>
      </c>
      <c r="T11" s="31" t="n">
        <v>13.45</v>
      </c>
      <c r="U11" s="30">
        <f>(1-ABS(S11-T11)/S11)*100</f>
        <v/>
      </c>
    </row>
    <row r="12">
      <c r="B12" s="26" t="inlineStr">
        <is>
          <t>10/18</t>
        </is>
      </c>
      <c r="C12" s="27" t="n">
        <v>4107</v>
      </c>
      <c r="D12" s="28" t="n">
        <v>2.89</v>
      </c>
      <c r="E12" s="29" t="n">
        <v>2.206</v>
      </c>
      <c r="F12" s="30">
        <f>(1-ABS(D12-E12)/D12)*100</f>
        <v/>
      </c>
      <c r="G12" s="29" t="n">
        <v>0.194</v>
      </c>
      <c r="H12" s="29" t="n">
        <v>0.142</v>
      </c>
      <c r="I12" s="30">
        <f>(1-ABS(G12-H12)/G12)*100</f>
        <v/>
      </c>
      <c r="J12" s="28" t="n">
        <v>1.39</v>
      </c>
      <c r="K12" s="29" t="n">
        <v>0.878</v>
      </c>
      <c r="L12" s="30">
        <f>(1-ABS(J12-K12)/J12)*100</f>
        <v/>
      </c>
      <c r="M12" s="28" t="n">
        <v>0.37</v>
      </c>
      <c r="N12" s="29" t="n">
        <v>0.279</v>
      </c>
      <c r="O12" s="30">
        <f>(1-ABS(M12-N12)/M12)*100</f>
        <v/>
      </c>
      <c r="P12" s="31" t="n"/>
      <c r="Q12" s="32" t="n">
        <v>0.581</v>
      </c>
      <c r="R12" s="28" t="n"/>
      <c r="S12" s="33" t="n">
        <v>17.4</v>
      </c>
      <c r="T12" s="31" t="n">
        <v>9.99</v>
      </c>
      <c r="U12" s="30">
        <f>(1-ABS(S12-T12)/S12)*100</f>
        <v/>
      </c>
    </row>
    <row r="13">
      <c r="B13" s="26" t="inlineStr">
        <is>
          <t>10/19</t>
        </is>
      </c>
      <c r="C13" s="27" t="n">
        <v>4149</v>
      </c>
      <c r="D13" s="28" t="n">
        <v>2.88</v>
      </c>
      <c r="E13" s="29" t="n">
        <v>2.399</v>
      </c>
      <c r="F13" s="30">
        <f>(1-ABS(D13-E13)/D13)*100</f>
        <v/>
      </c>
      <c r="G13" s="29" t="n">
        <v>0.191</v>
      </c>
      <c r="H13" s="29" t="n">
        <v>0.155</v>
      </c>
      <c r="I13" s="30">
        <f>(1-ABS(G13-H13)/G13)*100</f>
        <v/>
      </c>
      <c r="J13" s="28" t="n">
        <v>1.25</v>
      </c>
      <c r="K13" s="29" t="n">
        <v>0.965</v>
      </c>
      <c r="L13" s="30">
        <f>(1-ABS(J13-K13)/J13)*100</f>
        <v/>
      </c>
      <c r="M13" s="28" t="n">
        <v>0.37</v>
      </c>
      <c r="N13" s="29" t="n">
        <v>0.292</v>
      </c>
      <c r="O13" s="30">
        <f>(1-ABS(M13-N13)/M13)*100</f>
        <v/>
      </c>
      <c r="P13" s="31" t="n"/>
      <c r="Q13" s="32" t="n">
        <v>0.626</v>
      </c>
      <c r="R13" s="28" t="n"/>
      <c r="S13" s="33" t="n">
        <v>17</v>
      </c>
      <c r="T13" s="31" t="n">
        <v>12.41</v>
      </c>
      <c r="U13" s="30">
        <f>(1-ABS(S13-T13)/S13)*100</f>
        <v/>
      </c>
    </row>
    <row r="14">
      <c r="B14" s="26" t="inlineStr">
        <is>
          <t>10/20</t>
        </is>
      </c>
      <c r="C14" s="27" t="n">
        <v>4739</v>
      </c>
      <c r="D14" s="28" t="n">
        <v>2.89</v>
      </c>
      <c r="E14" s="29" t="n">
        <v>2.473</v>
      </c>
      <c r="F14" s="30">
        <f>(1-ABS(D14-E14)/D14)*100</f>
        <v/>
      </c>
      <c r="G14" s="29" t="n">
        <v>0.192</v>
      </c>
      <c r="H14" s="29" t="n">
        <v>0.16</v>
      </c>
      <c r="I14" s="30">
        <f>(1-ABS(G14-H14)/G14)*100</f>
        <v/>
      </c>
      <c r="J14" s="28" t="n">
        <v>1.23</v>
      </c>
      <c r="K14" s="29" t="n">
        <v>1.007</v>
      </c>
      <c r="L14" s="30">
        <f>(1-ABS(J14-K14)/J14)*100</f>
        <v/>
      </c>
      <c r="M14" s="28" t="n">
        <v>0.38</v>
      </c>
      <c r="N14" s="29" t="n">
        <v>0.294</v>
      </c>
      <c r="O14" s="30">
        <f>(1-ABS(M14-N14)/M14)*100</f>
        <v/>
      </c>
      <c r="P14" s="31" t="n"/>
      <c r="Q14" s="32" t="n">
        <v>0.636</v>
      </c>
      <c r="R14" s="28" t="n"/>
      <c r="S14" s="33" t="n">
        <v>17.7</v>
      </c>
      <c r="T14" s="31" t="n">
        <v>12.94</v>
      </c>
      <c r="U14" s="30">
        <f>(1-ABS(S14-T14)/S14)*100</f>
        <v/>
      </c>
    </row>
    <row r="15">
      <c r="B15" s="26" t="inlineStr">
        <is>
          <t>11/22</t>
        </is>
      </c>
      <c r="C15" s="27" t="n">
        <v>4735</v>
      </c>
      <c r="D15" s="28" t="n">
        <v>2.91</v>
      </c>
      <c r="E15" s="29" t="n">
        <v>2.431</v>
      </c>
      <c r="F15" s="30">
        <f>(1-ABS(D15-E15)/D15)*100</f>
        <v/>
      </c>
      <c r="G15" s="29" t="n">
        <v>0.205</v>
      </c>
      <c r="H15" s="29" t="n">
        <v>0.157</v>
      </c>
      <c r="I15" s="30">
        <f>(1-ABS(G15-H15)/G15)*100</f>
        <v/>
      </c>
      <c r="J15" s="28" t="n">
        <v>1.21</v>
      </c>
      <c r="K15" s="29" t="n">
        <v>0.979</v>
      </c>
      <c r="L15" s="30">
        <f>(1-ABS(J15-K15)/J15)*100</f>
        <v/>
      </c>
      <c r="M15" s="28" t="n">
        <v>0.36</v>
      </c>
      <c r="N15" s="29" t="n">
        <v>0.287</v>
      </c>
      <c r="O15" s="30">
        <f>(1-ABS(M15-N15)/M15)*100</f>
        <v/>
      </c>
      <c r="P15" s="31" t="n"/>
      <c r="Q15" s="32" t="n">
        <v>0.626</v>
      </c>
      <c r="R15" s="28" t="n"/>
      <c r="S15" s="33" t="n">
        <v>17.8</v>
      </c>
      <c r="T15" s="31" t="n">
        <v>12.83</v>
      </c>
      <c r="U15" s="30">
        <f>(1-ABS(S15-T15)/S15)*100</f>
        <v/>
      </c>
    </row>
    <row r="16">
      <c r="B16" s="26" t="inlineStr">
        <is>
          <t>11/27</t>
        </is>
      </c>
      <c r="C16" s="27" t="n">
        <v>5248</v>
      </c>
      <c r="D16" s="28" t="n">
        <v>2.73</v>
      </c>
      <c r="E16" s="29" t="n">
        <v>2.562</v>
      </c>
      <c r="F16" s="30">
        <f>(1-ABS(D16-E16)/D16)*100</f>
        <v/>
      </c>
      <c r="G16" s="29" t="n">
        <v>0.183</v>
      </c>
      <c r="H16" s="29" t="n">
        <v>0.166</v>
      </c>
      <c r="I16" s="30">
        <f>(1-ABS(G16-H16)/G16)*100</f>
        <v/>
      </c>
      <c r="J16" s="28" t="n">
        <v>1.27</v>
      </c>
      <c r="K16" s="29" t="n">
        <v>1.033</v>
      </c>
      <c r="L16" s="30">
        <f>(1-ABS(J16-K16)/J16)*100</f>
        <v/>
      </c>
      <c r="M16" s="28" t="n">
        <v>0.35</v>
      </c>
      <c r="N16" s="29" t="n">
        <v>0.291</v>
      </c>
      <c r="O16" s="30">
        <f>(1-ABS(M16-N16)/M16)*100</f>
        <v/>
      </c>
      <c r="P16" s="31" t="n"/>
      <c r="Q16" s="32" t="n">
        <v>0.657</v>
      </c>
      <c r="R16" s="28" t="n"/>
      <c r="S16" s="33" t="n">
        <v>16.7</v>
      </c>
      <c r="T16" s="31" t="n">
        <v>13.51</v>
      </c>
      <c r="U16" s="30">
        <f>(1-ABS(S16-T16)/S16)*100</f>
        <v/>
      </c>
    </row>
    <row r="17" ht="40" customHeight="1">
      <c r="A17" s="34" t="inlineStr">
        <is>
          <t>Best result closer to 1</t>
        </is>
      </c>
      <c r="B17" s="26" t="inlineStr">
        <is>
          <t>12/06</t>
        </is>
      </c>
      <c r="C17" s="27" t="n">
        <v>5767</v>
      </c>
      <c r="D17" s="28" t="n">
        <v>2.79</v>
      </c>
      <c r="E17" s="29" t="n">
        <v>2.517</v>
      </c>
      <c r="F17" s="30">
        <f>(1-ABS(D17-E17)/D17)*100</f>
        <v/>
      </c>
      <c r="G17" s="29" t="n">
        <v>0.186</v>
      </c>
      <c r="H17" s="29" t="n">
        <v>0.164</v>
      </c>
      <c r="I17" s="30">
        <f>(1-ABS(G17-H17)/G17)*100</f>
        <v/>
      </c>
      <c r="J17" s="28" t="n">
        <v>1.22</v>
      </c>
      <c r="K17" s="29" t="n">
        <v>1.017</v>
      </c>
      <c r="L17" s="30">
        <f>(1-ABS(J17-K17)/J17)*100</f>
        <v/>
      </c>
      <c r="M17" s="28" t="n">
        <v>0.34</v>
      </c>
      <c r="N17" s="29" t="n">
        <v>0.291</v>
      </c>
      <c r="O17" s="30">
        <f>(1-ABS(M17-N17)/M17)*100</f>
        <v/>
      </c>
      <c r="P17" s="31" t="n"/>
      <c r="Q17" s="32" t="n">
        <v>0.65</v>
      </c>
      <c r="R17" s="28" t="n"/>
      <c r="S17" s="33" t="n">
        <v>17.8</v>
      </c>
      <c r="T17" s="31" t="n">
        <v>13.42</v>
      </c>
      <c r="U17" s="30">
        <f>(1-ABS(S17-T17)/S17)*100</f>
        <v/>
      </c>
    </row>
    <row r="18" ht="39" customHeight="1">
      <c r="A18" s="34" t="inlineStr">
        <is>
          <t>Best result closer to 0</t>
        </is>
      </c>
      <c r="B18" s="26" t="inlineStr">
        <is>
          <t>12/07</t>
        </is>
      </c>
      <c r="C18" s="27" t="n">
        <v>5465</v>
      </c>
      <c r="D18" s="28" t="n">
        <v>2.71</v>
      </c>
      <c r="E18" s="29" t="n">
        <v>2.491</v>
      </c>
      <c r="F18" s="30">
        <f>(1-ABS(D18-E18)/D18)*100</f>
        <v/>
      </c>
      <c r="G18" s="29" t="n">
        <v>0.186</v>
      </c>
      <c r="H18" s="29" t="n">
        <v>0.16</v>
      </c>
      <c r="I18" s="30">
        <f>(1-ABS(G18-H18)/G18)*100</f>
        <v/>
      </c>
      <c r="J18" s="28" t="n">
        <v>1.29</v>
      </c>
      <c r="K18" s="29" t="n">
        <v>1.022</v>
      </c>
      <c r="L18" s="30">
        <f>(1-ABS(J18-K18)/J18)*100</f>
        <v/>
      </c>
      <c r="M18" s="28" t="n">
        <v>0.38</v>
      </c>
      <c r="N18" s="29" t="n">
        <v>0.287</v>
      </c>
      <c r="O18" s="30">
        <f>(1-ABS(M18-N18)/M18)*100</f>
        <v/>
      </c>
      <c r="P18" s="31" t="n"/>
      <c r="Q18" s="32" t="n">
        <v>0.626</v>
      </c>
      <c r="R18" s="28" t="n"/>
      <c r="S18" s="33" t="n">
        <v>17.4</v>
      </c>
      <c r="T18" s="31" t="n">
        <v>13.51</v>
      </c>
      <c r="U18" s="30">
        <f>(1-ABS(S18-T18)/S18)*100</f>
        <v/>
      </c>
    </row>
    <row r="19" ht="66" customHeight="1">
      <c r="A19" s="34" t="inlineStr">
        <is>
          <t>Best result closer to 1</t>
        </is>
      </c>
      <c r="B19" s="26" t="inlineStr">
        <is>
          <t>12/08</t>
        </is>
      </c>
      <c r="C19" s="27" t="n">
        <v>5061</v>
      </c>
      <c r="D19" s="28" t="n">
        <v>2.95</v>
      </c>
      <c r="E19" s="29" t="n">
        <v>2.541</v>
      </c>
      <c r="F19" s="30">
        <f>(1-ABS(D19-E19)/D19)*100</f>
        <v/>
      </c>
      <c r="G19" s="29" t="n">
        <v>0.199</v>
      </c>
      <c r="H19" s="29" t="n">
        <v>0.165</v>
      </c>
      <c r="I19" s="30">
        <f>(1-ABS(G19-H19)/G19)*100</f>
        <v/>
      </c>
      <c r="J19" s="28" t="n">
        <v>1.2</v>
      </c>
      <c r="K19" s="29" t="n">
        <v>1.028</v>
      </c>
      <c r="L19" s="30">
        <f>(1-ABS(J19-K19)/J19)*100</f>
        <v/>
      </c>
      <c r="M19" s="28" t="n">
        <v>0.38</v>
      </c>
      <c r="N19" s="29" t="n">
        <v>0.29</v>
      </c>
      <c r="O19" s="30">
        <f>(1-ABS(M19-N19)/M19)*100</f>
        <v/>
      </c>
      <c r="P19" s="31" t="n"/>
      <c r="Q19" s="32" t="n">
        <v>0.651</v>
      </c>
      <c r="R19" s="28" t="n"/>
      <c r="S19" s="33" t="n">
        <v>15.7</v>
      </c>
      <c r="T19" s="31" t="n">
        <v>13.94</v>
      </c>
      <c r="U19" s="30">
        <f>(1-ABS(S19-T19)/S19)*100</f>
        <v/>
      </c>
    </row>
    <row r="20">
      <c r="B20" s="26" t="inlineStr">
        <is>
          <t>12/09</t>
        </is>
      </c>
      <c r="C20" s="27" t="n">
        <v>5579</v>
      </c>
      <c r="D20" s="28" t="n">
        <v>2.7</v>
      </c>
      <c r="E20" s="29" t="n">
        <v>2.518</v>
      </c>
      <c r="F20" s="30">
        <f>(1-ABS(D20-E20)/D20)*100</f>
        <v/>
      </c>
      <c r="G20" s="29" t="n">
        <v>0.189</v>
      </c>
      <c r="H20" s="29" t="n">
        <v>0.164</v>
      </c>
      <c r="I20" s="30">
        <f>(1-ABS(G20-H20)/G20)*100</f>
        <v/>
      </c>
      <c r="J20" s="28" t="n">
        <v>1.23</v>
      </c>
      <c r="K20" s="29" t="n">
        <v>1.016</v>
      </c>
      <c r="L20" s="30">
        <f>(1-ABS(J20-K20)/J20)*100</f>
        <v/>
      </c>
      <c r="M20" s="28" t="n">
        <v>0.38</v>
      </c>
      <c r="N20" s="29" t="n">
        <v>0.286</v>
      </c>
      <c r="O20" s="30">
        <f>(1-ABS(M20-N20)/M20)*100</f>
        <v/>
      </c>
      <c r="P20" s="31" t="n"/>
      <c r="Q20" s="32" t="n">
        <v>0.655</v>
      </c>
      <c r="R20" s="28" t="n"/>
      <c r="S20" s="33" t="n">
        <v>17.9</v>
      </c>
      <c r="T20" s="31" t="n">
        <v>13.51</v>
      </c>
      <c r="U20" s="30">
        <f>(1-ABS(S20-T20)/S20)*100</f>
        <v/>
      </c>
    </row>
    <row r="21">
      <c r="B21" s="26" t="inlineStr">
        <is>
          <t>12/10</t>
        </is>
      </c>
      <c r="C21" s="27" t="n">
        <v>5501</v>
      </c>
      <c r="D21" s="28" t="n">
        <v>2.66</v>
      </c>
      <c r="E21" s="29" t="n">
        <v>2.541</v>
      </c>
      <c r="F21" s="30">
        <f>(1-ABS(D21-E21)/D21)*100</f>
        <v/>
      </c>
      <c r="G21" s="29" t="n">
        <v>0.18</v>
      </c>
      <c r="H21" s="29" t="n">
        <v>0.165</v>
      </c>
      <c r="I21" s="30">
        <f>(1-ABS(G21-H21)/G21)*100</f>
        <v/>
      </c>
      <c r="J21" s="28" t="n">
        <v>1.35</v>
      </c>
      <c r="K21" s="29" t="n">
        <v>1.03</v>
      </c>
      <c r="L21" s="30">
        <f>(1-ABS(J21-K21)/J21)*100</f>
        <v/>
      </c>
      <c r="M21" s="28" t="n">
        <v>0.35</v>
      </c>
      <c r="N21" s="29" t="n">
        <v>0.292</v>
      </c>
      <c r="O21" s="30">
        <f>(1-ABS(M21-N21)/M21)*100</f>
        <v/>
      </c>
      <c r="P21" s="31" t="n"/>
      <c r="Q21" s="32" t="n">
        <v>0.654</v>
      </c>
      <c r="R21" s="28" t="n"/>
      <c r="S21" s="33" t="n">
        <v>16.6</v>
      </c>
      <c r="T21" s="31" t="n">
        <v>13.53</v>
      </c>
      <c r="U21" s="30">
        <f>(1-ABS(S21-T21)/S21)*100</f>
        <v/>
      </c>
    </row>
    <row r="22">
      <c r="B22" s="26" t="inlineStr">
        <is>
          <t>12/12</t>
        </is>
      </c>
      <c r="C22" s="27" t="n">
        <v>5747</v>
      </c>
      <c r="D22" s="28" t="n">
        <v>2.77</v>
      </c>
      <c r="E22" s="29" t="n">
        <v>2.484</v>
      </c>
      <c r="F22" s="30">
        <f>(1-ABS(D22-E22)/D22)*100</f>
        <v/>
      </c>
      <c r="G22" s="29" t="n">
        <v>0.202</v>
      </c>
      <c r="H22" s="29" t="n">
        <v>0.162</v>
      </c>
      <c r="I22" s="30">
        <f>(1-ABS(G22-H22)/G22)*100</f>
        <v/>
      </c>
      <c r="J22" s="28" t="n">
        <v>1.23</v>
      </c>
      <c r="K22" s="29" t="n">
        <v>1.011</v>
      </c>
      <c r="L22" s="30">
        <f>(1-ABS(J22-K22)/J22)*100</f>
        <v/>
      </c>
      <c r="M22" s="28" t="n">
        <v>0.39</v>
      </c>
      <c r="N22" s="29" t="n">
        <v>0.307</v>
      </c>
      <c r="O22" s="30">
        <f>(1-ABS(M22-N22)/M22)*100</f>
        <v/>
      </c>
      <c r="P22" s="31" t="n"/>
      <c r="Q22" s="32" t="n">
        <v>0.66</v>
      </c>
      <c r="R22" s="28" t="n"/>
      <c r="S22" s="33" t="n">
        <v>16.2</v>
      </c>
      <c r="T22" s="31" t="n">
        <v>11.43</v>
      </c>
      <c r="U22" s="30">
        <f>(1-ABS(S22-T22)/S22)*100</f>
        <v/>
      </c>
    </row>
    <row r="23">
      <c r="B23" s="26" t="inlineStr">
        <is>
          <t>12/13</t>
        </is>
      </c>
      <c r="C23" s="27" t="n">
        <v>5755</v>
      </c>
      <c r="D23" s="28" t="n">
        <v>2.75</v>
      </c>
      <c r="E23" s="29" t="n">
        <v>2.403</v>
      </c>
      <c r="F23" s="30">
        <f>(1-ABS(D23-E23)/D23)*100</f>
        <v/>
      </c>
      <c r="G23" s="29" t="n">
        <v>0.191</v>
      </c>
      <c r="H23" s="29" t="n">
        <v>0.158</v>
      </c>
      <c r="I23" s="30">
        <f>(1-ABS(G23-H23)/G23)*100</f>
        <v/>
      </c>
      <c r="J23" s="28" t="n">
        <v>1.18</v>
      </c>
      <c r="K23" s="29" t="n">
        <v>0.979</v>
      </c>
      <c r="L23" s="30">
        <f>(1-ABS(J23-K23)/J23)*100</f>
        <v/>
      </c>
      <c r="M23" s="28" t="n">
        <v>0.33</v>
      </c>
      <c r="N23" s="29" t="n">
        <v>0.303</v>
      </c>
      <c r="O23" s="30">
        <f>(1-ABS(M23-N23)/M23)*100</f>
        <v/>
      </c>
      <c r="P23" s="31" t="n"/>
      <c r="Q23" s="32" t="n">
        <v>0.65</v>
      </c>
      <c r="R23" s="28" t="n"/>
      <c r="S23" s="33" t="n">
        <v>16.9</v>
      </c>
      <c r="T23" s="31" t="n">
        <v>11.05</v>
      </c>
      <c r="U23" s="30">
        <f>(1-ABS(S23-T23)/S23)*100</f>
        <v/>
      </c>
    </row>
    <row r="24">
      <c r="B24" s="26" t="inlineStr">
        <is>
          <t>13/01</t>
        </is>
      </c>
      <c r="C24" s="27" t="n">
        <v>4227</v>
      </c>
      <c r="D24" s="28" t="n">
        <v>2.78</v>
      </c>
      <c r="E24" s="29" t="n">
        <v>2.366</v>
      </c>
      <c r="F24" s="30">
        <f>(1-ABS(D24-E24)/D24)*100</f>
        <v/>
      </c>
      <c r="G24" s="29" t="n">
        <v>0.183</v>
      </c>
      <c r="H24" s="29" t="n">
        <v>0.154</v>
      </c>
      <c r="I24" s="30">
        <f>(1-ABS(G24-H24)/G24)*100</f>
        <v/>
      </c>
      <c r="J24" s="28" t="n">
        <v>1.32</v>
      </c>
      <c r="K24" s="29" t="n">
        <v>0.9429999999999999</v>
      </c>
      <c r="L24" s="30">
        <f>(1-ABS(J24-K24)/J24)*100</f>
        <v/>
      </c>
      <c r="M24" s="28" t="n">
        <v>0.36</v>
      </c>
      <c r="N24" s="29" t="n">
        <v>0.292</v>
      </c>
      <c r="O24" s="30">
        <f>(1-ABS(M24-N24)/M24)*100</f>
        <v/>
      </c>
      <c r="P24" s="31" t="n"/>
      <c r="Q24" s="32" t="n">
        <v>0.657</v>
      </c>
      <c r="R24" s="28" t="n"/>
      <c r="S24" s="33" t="n">
        <v>14.7</v>
      </c>
      <c r="T24" s="31" t="n">
        <v>10.6</v>
      </c>
      <c r="U24" s="30">
        <f>(1-ABS(S24-T24)/S24)*100</f>
        <v/>
      </c>
    </row>
    <row r="25">
      <c r="B25" s="26" t="inlineStr">
        <is>
          <t>13/02</t>
        </is>
      </c>
      <c r="C25" s="27" t="n">
        <v>5226</v>
      </c>
      <c r="D25" s="28" t="n">
        <v>2.82</v>
      </c>
      <c r="E25" s="29" t="n">
        <v>2.516</v>
      </c>
      <c r="F25" s="30">
        <f>(1-ABS(D25-E25)/D25)*100</f>
        <v/>
      </c>
      <c r="G25" s="29" t="n">
        <v>0.187</v>
      </c>
      <c r="H25" s="29" t="n">
        <v>0.164</v>
      </c>
      <c r="I25" s="30">
        <f>(1-ABS(G25-H25)/G25)*100</f>
        <v/>
      </c>
      <c r="J25" s="28" t="n">
        <v>1.22</v>
      </c>
      <c r="K25" s="29" t="n">
        <v>1.013</v>
      </c>
      <c r="L25" s="30">
        <f>(1-ABS(J25-K25)/J25)*100</f>
        <v/>
      </c>
      <c r="M25" s="28" t="n">
        <v>0.35</v>
      </c>
      <c r="N25" s="29" t="n">
        <v>0.296</v>
      </c>
      <c r="O25" s="30">
        <f>(1-ABS(M25-N25)/M25)*100</f>
        <v/>
      </c>
      <c r="P25" s="31" t="n"/>
      <c r="Q25" s="32" t="n">
        <v>0.6820000000000001</v>
      </c>
      <c r="R25" s="28" t="n"/>
      <c r="S25" s="33" t="n">
        <v>15.2</v>
      </c>
      <c r="T25" s="31" t="n">
        <v>11.87</v>
      </c>
      <c r="U25" s="30">
        <f>(1-ABS(S25-T25)/S25)*100</f>
        <v/>
      </c>
    </row>
    <row r="26">
      <c r="B26" s="26" t="inlineStr">
        <is>
          <t>13/03</t>
        </is>
      </c>
      <c r="C26" s="27" t="n">
        <v>4026</v>
      </c>
      <c r="D26" s="28" t="n">
        <v>2.79</v>
      </c>
      <c r="E26" s="29" t="n">
        <v>2.511</v>
      </c>
      <c r="F26" s="30">
        <f>(1-ABS(D26-E26)/D26)*100</f>
        <v/>
      </c>
      <c r="G26" s="29" t="n">
        <v>0.182</v>
      </c>
      <c r="H26" s="29" t="n">
        <v>0.163</v>
      </c>
      <c r="I26" s="30">
        <f>(1-ABS(G26-H26)/G26)*100</f>
        <v/>
      </c>
      <c r="J26" s="28" t="n">
        <v>1.19</v>
      </c>
      <c r="K26" s="29" t="n">
        <v>1.012</v>
      </c>
      <c r="L26" s="30">
        <f>(1-ABS(J26-K26)/J26)*100</f>
        <v/>
      </c>
      <c r="M26" s="28" t="n">
        <v>0.36</v>
      </c>
      <c r="N26" s="29" t="n">
        <v>0.293</v>
      </c>
      <c r="O26" s="30">
        <f>(1-ABS(M26-N26)/M26)*100</f>
        <v/>
      </c>
      <c r="P26" s="31" t="n"/>
      <c r="Q26" s="32" t="n">
        <v>0.664</v>
      </c>
      <c r="R26" s="28" t="n"/>
      <c r="S26" s="33" t="n">
        <v>17.7</v>
      </c>
      <c r="T26" s="31" t="n">
        <v>12.59</v>
      </c>
      <c r="U26" s="30">
        <f>(1-ABS(S26-T26)/S26)*100</f>
        <v/>
      </c>
    </row>
    <row r="27">
      <c r="B27" s="26" t="inlineStr">
        <is>
          <t>13/05</t>
        </is>
      </c>
      <c r="C27" s="27" t="n">
        <v>4215</v>
      </c>
      <c r="D27" s="28" t="n">
        <v>2.7</v>
      </c>
      <c r="E27" s="29" t="n">
        <v>2.556</v>
      </c>
      <c r="F27" s="30">
        <f>(1-ABS(D27-E27)/D27)*100</f>
        <v/>
      </c>
      <c r="G27" s="29" t="n">
        <v>0.189</v>
      </c>
      <c r="H27" s="29" t="n">
        <v>0.164</v>
      </c>
      <c r="I27" s="30">
        <f>(1-ABS(G27-H27)/G27)*100</f>
        <v/>
      </c>
      <c r="J27" s="28" t="n">
        <v>1.19</v>
      </c>
      <c r="K27" s="29" t="n">
        <v>1.043</v>
      </c>
      <c r="L27" s="30">
        <f>(1-ABS(J27-K27)/J27)*100</f>
        <v/>
      </c>
      <c r="M27" s="28" t="n">
        <v>0.37</v>
      </c>
      <c r="N27" s="29" t="n">
        <v>0.303</v>
      </c>
      <c r="O27" s="30">
        <f>(1-ABS(M27-N27)/M27)*100</f>
        <v/>
      </c>
      <c r="P27" s="31" t="n"/>
      <c r="Q27" s="32" t="n">
        <v>0.66</v>
      </c>
      <c r="R27" s="28" t="n"/>
      <c r="S27" s="33" t="n">
        <v>15.2</v>
      </c>
      <c r="T27" s="31" t="n">
        <v>12.18</v>
      </c>
      <c r="U27" s="30">
        <f>(1-ABS(S27-T27)/S27)*100</f>
        <v/>
      </c>
    </row>
    <row r="28">
      <c r="B28" s="26" t="inlineStr">
        <is>
          <t>13/06</t>
        </is>
      </c>
      <c r="C28" s="27" t="n">
        <v>4231</v>
      </c>
      <c r="D28" s="28" t="n">
        <v>2.82</v>
      </c>
      <c r="E28" s="29" t="n">
        <v>2.187</v>
      </c>
      <c r="F28" s="30">
        <f>(1-ABS(D28-E28)/D28)*100</f>
        <v/>
      </c>
      <c r="G28" s="29" t="n">
        <v>0.194</v>
      </c>
      <c r="H28" s="29" t="n">
        <v>0.14</v>
      </c>
      <c r="I28" s="30">
        <f>(1-ABS(G28-H28)/G28)*100</f>
        <v/>
      </c>
      <c r="J28" s="28" t="n">
        <v>1.31</v>
      </c>
      <c r="K28" s="29" t="n">
        <v>0.862</v>
      </c>
      <c r="L28" s="30">
        <f>(1-ABS(J28-K28)/J28)*100</f>
        <v/>
      </c>
      <c r="M28" s="28" t="n">
        <v>0.33</v>
      </c>
      <c r="N28" s="29" t="n">
        <v>0.277</v>
      </c>
      <c r="O28" s="30">
        <f>(1-ABS(M28-N28)/M28)*100</f>
        <v/>
      </c>
      <c r="P28" s="31" t="n"/>
      <c r="Q28" s="32" t="n">
        <v>0.597</v>
      </c>
      <c r="R28" s="28" t="n"/>
      <c r="S28" s="33" t="n">
        <v>15.2</v>
      </c>
      <c r="T28" s="31" t="n">
        <v>9.41</v>
      </c>
      <c r="U28" s="30">
        <f>(1-ABS(S28-T28)/S28)*100</f>
        <v/>
      </c>
    </row>
    <row r="29">
      <c r="B29" s="26" t="inlineStr">
        <is>
          <t>13/08</t>
        </is>
      </c>
      <c r="C29" s="27" t="n">
        <v>5031</v>
      </c>
      <c r="D29" s="28" t="n">
        <v>2.82</v>
      </c>
      <c r="E29" s="29" t="n">
        <v>2.516</v>
      </c>
      <c r="F29" s="30">
        <f>(1-ABS(D29-E29)/D29)*100</f>
        <v/>
      </c>
      <c r="G29" s="29" t="n">
        <v>0.18</v>
      </c>
      <c r="H29" s="29" t="n">
        <v>0.162</v>
      </c>
      <c r="I29" s="30">
        <f>(1-ABS(G29-H29)/G29)*100</f>
        <v/>
      </c>
      <c r="J29" s="28" t="n">
        <v>1.28</v>
      </c>
      <c r="K29" s="29" t="n">
        <v>1.021</v>
      </c>
      <c r="L29" s="30">
        <f>(1-ABS(J29-K29)/J29)*100</f>
        <v/>
      </c>
      <c r="M29" s="28" t="n">
        <v>0.35</v>
      </c>
      <c r="N29" s="29" t="n">
        <v>0.304</v>
      </c>
      <c r="O29" s="30">
        <f>(1-ABS(M29-N29)/M29)*100</f>
        <v/>
      </c>
      <c r="P29" s="31" t="n"/>
      <c r="Q29" s="32" t="n">
        <v>0.661</v>
      </c>
      <c r="R29" s="28" t="n"/>
      <c r="S29" s="33" t="n">
        <v>14.5</v>
      </c>
      <c r="T29" s="31" t="n">
        <v>12.77</v>
      </c>
      <c r="U29" s="30">
        <f>(1-ABS(S29-T29)/S29)*100</f>
        <v/>
      </c>
    </row>
    <row r="30">
      <c r="B30" s="26" t="inlineStr">
        <is>
          <t>13/13</t>
        </is>
      </c>
      <c r="C30" s="27" t="n">
        <v>5746</v>
      </c>
      <c r="D30" s="28" t="n">
        <v>2.75</v>
      </c>
      <c r="E30" s="29" t="n">
        <v>2.456</v>
      </c>
      <c r="F30" s="30">
        <f>(1-ABS(D30-E30)/D30)*100</f>
        <v/>
      </c>
      <c r="G30" s="29" t="n">
        <v>0.198</v>
      </c>
      <c r="H30" s="29" t="n">
        <v>0.16</v>
      </c>
      <c r="I30" s="30">
        <f>(1-ABS(G30-H30)/G30)*100</f>
        <v/>
      </c>
      <c r="J30" s="28" t="n">
        <v>1.2</v>
      </c>
      <c r="K30" s="29" t="n">
        <v>0.981</v>
      </c>
      <c r="L30" s="30">
        <f>(1-ABS(J30-K30)/J30)*100</f>
        <v/>
      </c>
      <c r="M30" s="28" t="n">
        <v>0.38</v>
      </c>
      <c r="N30" s="29" t="n">
        <v>0.285</v>
      </c>
      <c r="O30" s="30">
        <f>(1-ABS(M30-N30)/M30)*100</f>
        <v/>
      </c>
      <c r="P30" s="31" t="n"/>
      <c r="Q30" s="32" t="n">
        <v>0.651</v>
      </c>
      <c r="R30" s="28" t="n"/>
      <c r="S30" s="33" t="n">
        <v>16.6</v>
      </c>
      <c r="T30" s="31" t="n">
        <v>13.04</v>
      </c>
      <c r="U30" s="30">
        <f>(1-ABS(S30-T30)/S30)*100</f>
        <v/>
      </c>
    </row>
    <row r="31" ht="35" customHeight="1">
      <c r="A31" s="35" t="inlineStr">
        <is>
          <t>AVG ACCURACY</t>
        </is>
      </c>
      <c r="F31" s="36">
        <f>AVERAGE(F7:F30)</f>
        <v/>
      </c>
      <c r="I31" s="36">
        <f>AVERAGE(I7:I30)</f>
        <v/>
      </c>
      <c r="L31" s="37">
        <f>AVERAGE(L7:L30)</f>
        <v/>
      </c>
      <c r="O31" s="36">
        <f>AVERAGE(O7:O30)</f>
        <v/>
      </c>
      <c r="R31" s="38" t="inlineStr">
        <is>
          <t>-</t>
        </is>
      </c>
      <c r="U31" s="37">
        <f>AVERAGE(U7:U30)</f>
        <v/>
      </c>
    </row>
    <row r="32" ht="40" customHeight="1">
      <c r="A32" s="39" t="inlineStr">
        <is>
          <t>Best result closer to 0</t>
        </is>
      </c>
      <c r="B32" s="26" t="inlineStr">
        <is>
          <t>R^2 (Coefficient of determination)</t>
        </is>
      </c>
      <c r="C32" s="40" t="n"/>
      <c r="D32" s="41">
        <f>RSQ(E7:E30, D7:D30)</f>
        <v/>
      </c>
      <c r="E32" s="42" t="n"/>
      <c r="F32" s="40" t="n"/>
      <c r="G32" s="41">
        <f>RSQ(H7:H30, G7:G30)</f>
        <v/>
      </c>
      <c r="H32" s="42" t="n"/>
      <c r="I32" s="40" t="n"/>
      <c r="J32" s="41">
        <f>RSQ(K7:K30, J7:J30)</f>
        <v/>
      </c>
      <c r="K32" s="42" t="n"/>
      <c r="L32" s="40" t="n"/>
      <c r="M32" s="41">
        <f>RSQ(N7:N30, M7:M30)</f>
        <v/>
      </c>
      <c r="N32" s="42" t="n"/>
      <c r="O32" s="40" t="n"/>
      <c r="P32" s="43" t="inlineStr">
        <is>
          <t>-</t>
        </is>
      </c>
      <c r="Q32" s="42" t="n"/>
      <c r="R32" s="40" t="n"/>
      <c r="S32" s="43">
        <f>RSQ(T7:T30, S7:S30)</f>
        <v/>
      </c>
      <c r="T32" s="42" t="n"/>
      <c r="U32" s="40" t="n"/>
    </row>
    <row r="33" ht="39" customHeight="1">
      <c r="A33" s="39" t="inlineStr">
        <is>
          <t>Best result closer to 1</t>
        </is>
      </c>
      <c r="B33" s="26" t="inlineStr">
        <is>
          <t>MAE (Average size of prediction errors)</t>
        </is>
      </c>
      <c r="C33" s="40" t="n"/>
      <c r="D33" s="41">
        <f>SUMPRODUCT(ABS(D7:D30-E7:E30))/COUNT(D7:D30)</f>
        <v/>
      </c>
      <c r="E33" s="42" t="n"/>
      <c r="F33" s="40" t="n"/>
      <c r="G33" s="41">
        <f>SUMPRODUCT(ABS(G7:G30-H7:H30))/COUNT(G7:G30)</f>
        <v/>
      </c>
      <c r="H33" s="42" t="n"/>
      <c r="I33" s="40" t="n"/>
      <c r="J33" s="41">
        <f>SUMPRODUCT(ABS(J7:J30-K7:K30))/COUNT(J7:J30)</f>
        <v/>
      </c>
      <c r="K33" s="42" t="n"/>
      <c r="L33" s="40" t="n"/>
      <c r="M33" s="41">
        <f>SUMPRODUCT(ABS(M7:M30-N7:N30))/COUNT(M7:M30)</f>
        <v/>
      </c>
      <c r="N33" s="42" t="n"/>
      <c r="O33" s="40" t="n"/>
      <c r="P33" s="43" t="inlineStr">
        <is>
          <t>-</t>
        </is>
      </c>
      <c r="Q33" s="42" t="n"/>
      <c r="R33" s="40" t="n"/>
      <c r="S33" s="43">
        <f>SUMPRODUCT(ABS(S7:S30-T7:T30))/COUNT(S7:S30)</f>
        <v/>
      </c>
      <c r="T33" s="42" t="n"/>
      <c r="U33" s="40" t="n"/>
    </row>
    <row r="34" ht="66" customHeight="1">
      <c r="A34" s="39" t="inlineStr">
        <is>
          <t>Best result closer to 1</t>
        </is>
      </c>
      <c r="B34" s="26" t="inlineStr">
        <is>
          <t>RMSE (Prediction error, with larger mistakes penalised more)</t>
        </is>
      </c>
      <c r="C34" s="40" t="n"/>
      <c r="D34" s="41">
        <f>SQRT(SUMXMY2(D7:D30, E7:E30)/COUNT(D7:D30))</f>
        <v/>
      </c>
      <c r="E34" s="42" t="n"/>
      <c r="F34" s="40" t="n"/>
      <c r="G34" s="41">
        <f>SQRT(SUMXMY2(G7:G30, H7:H30)/COUNT(G7:G30))</f>
        <v/>
      </c>
      <c r="H34" s="42" t="n"/>
      <c r="I34" s="40" t="n"/>
      <c r="J34" s="41">
        <f>SQRT(SUMXMY2(J7:J30, K7:K30)/COUNT(J7:J30))</f>
        <v/>
      </c>
      <c r="K34" s="42" t="n"/>
      <c r="L34" s="40" t="n"/>
      <c r="M34" s="41">
        <f>SQRT(SUMXMY2(M7:M30, N7:N30)/COUNT(M7:M30))</f>
        <v/>
      </c>
      <c r="N34" s="42" t="n"/>
      <c r="O34" s="40" t="n"/>
      <c r="P34" s="43" t="inlineStr">
        <is>
          <t>-</t>
        </is>
      </c>
      <c r="Q34" s="42" t="n"/>
      <c r="R34" s="40" t="n"/>
      <c r="S34" s="43">
        <f>SQRT(SUMXMY2(S7:S30, T7:T30)/COUNT(S7:S30))</f>
        <v/>
      </c>
      <c r="T34" s="42" t="n"/>
      <c r="U34" s="40" t="n"/>
    </row>
  </sheetData>
  <mergeCells count="31">
    <mergeCell ref="B4:O4"/>
    <mergeCell ref="D32:F32"/>
    <mergeCell ref="G34:I34"/>
    <mergeCell ref="G33:I33"/>
    <mergeCell ref="S34:U34"/>
    <mergeCell ref="J32:L32"/>
    <mergeCell ref="P32:R32"/>
    <mergeCell ref="M33:O33"/>
    <mergeCell ref="G5:I5"/>
    <mergeCell ref="S33:U33"/>
    <mergeCell ref="D33:F33"/>
    <mergeCell ref="S5:U5"/>
    <mergeCell ref="G32:I32"/>
    <mergeCell ref="M32:O32"/>
    <mergeCell ref="D5:F5"/>
    <mergeCell ref="J33:L33"/>
    <mergeCell ref="P5:R5"/>
    <mergeCell ref="P33:R33"/>
    <mergeCell ref="B34:C34"/>
    <mergeCell ref="S32:U32"/>
    <mergeCell ref="M34:O34"/>
    <mergeCell ref="B5:B6"/>
    <mergeCell ref="D34:F34"/>
    <mergeCell ref="P4:U4"/>
    <mergeCell ref="J5:L5"/>
    <mergeCell ref="B33:C33"/>
    <mergeCell ref="M5:O5"/>
    <mergeCell ref="B32:C32"/>
    <mergeCell ref="J34:L34"/>
    <mergeCell ref="P34:R34"/>
    <mergeCell ref="C5:C6"/>
  </mergeCells>
  <conditionalFormatting sqref="F7:F30 I7:I30 L7:L30 O7:O30 U7:U30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3" t="n"/>
      <c r="P4" s="14" t="inlineStr">
        <is>
          <t>On-going Research for Ca and B Models</t>
        </is>
      </c>
      <c r="Q4" s="15" t="n"/>
      <c r="R4" s="15" t="n"/>
      <c r="S4" s="15" t="n"/>
      <c r="T4" s="15" t="n"/>
      <c r="U4" s="16" t="n"/>
    </row>
    <row r="5" ht="34" customHeight="1">
      <c r="B5" s="17" t="inlineStr">
        <is>
          <t>Plot</t>
        </is>
      </c>
      <c r="C5" s="18" t="inlineStr">
        <is>
          <t>Pixels sampled</t>
        </is>
      </c>
      <c r="D5" s="19" t="inlineStr">
        <is>
          <t>N</t>
        </is>
      </c>
      <c r="E5" s="15" t="n"/>
      <c r="F5" s="16" t="n"/>
      <c r="G5" s="19" t="inlineStr">
        <is>
          <t>P (%)</t>
        </is>
      </c>
      <c r="H5" s="15" t="n"/>
      <c r="I5" s="16" t="n"/>
      <c r="J5" s="19" t="inlineStr">
        <is>
          <t>K (%)</t>
        </is>
      </c>
      <c r="K5" s="15" t="n"/>
      <c r="L5" s="16" t="n"/>
      <c r="M5" s="19" t="inlineStr">
        <is>
          <t>Mg (%)</t>
        </is>
      </c>
      <c r="N5" s="15" t="n"/>
      <c r="O5" s="16" t="n"/>
      <c r="P5" s="20" t="inlineStr">
        <is>
          <t>Ca (%)</t>
        </is>
      </c>
      <c r="Q5" s="15" t="n"/>
      <c r="R5" s="16" t="n"/>
      <c r="S5" s="20" t="inlineStr">
        <is>
          <t>B (%)</t>
        </is>
      </c>
      <c r="T5" s="15" t="n"/>
      <c r="U5" s="16" t="n"/>
    </row>
    <row r="6" ht="34" customHeight="1">
      <c r="B6" s="21" t="n"/>
      <c r="C6" s="22" t="n"/>
      <c r="D6" s="23" t="inlineStr">
        <is>
          <t>Lab Actual (%)</t>
        </is>
      </c>
      <c r="E6" s="24" t="inlineStr">
        <is>
          <t>Prediction (%)</t>
        </is>
      </c>
      <c r="F6" s="25" t="inlineStr">
        <is>
          <t>Accuracy (%)</t>
        </is>
      </c>
      <c r="G6" s="23" t="inlineStr">
        <is>
          <t>Lab Actual (%)</t>
        </is>
      </c>
      <c r="H6" s="24" t="inlineStr">
        <is>
          <t>Prediction (%)</t>
        </is>
      </c>
      <c r="I6" s="25" t="inlineStr">
        <is>
          <t>Accuracy (%)</t>
        </is>
      </c>
      <c r="J6" s="23" t="inlineStr">
        <is>
          <t>Lab Actual (%)</t>
        </is>
      </c>
      <c r="K6" s="24" t="inlineStr">
        <is>
          <t>Prediction (%)</t>
        </is>
      </c>
      <c r="L6" s="25" t="inlineStr">
        <is>
          <t>Accuracy (%)</t>
        </is>
      </c>
      <c r="M6" s="23" t="inlineStr">
        <is>
          <t>Lab Actual (%)</t>
        </is>
      </c>
      <c r="N6" s="24" t="inlineStr">
        <is>
          <t>Prediction (%)</t>
        </is>
      </c>
      <c r="O6" s="25" t="inlineStr">
        <is>
          <t>Accuracy (%)</t>
        </is>
      </c>
      <c r="P6" s="14" t="inlineStr">
        <is>
          <t>Lab Actual (%)</t>
        </is>
      </c>
      <c r="Q6" s="14" t="inlineStr">
        <is>
          <t>Prediction (%)</t>
        </is>
      </c>
      <c r="R6" s="25" t="inlineStr">
        <is>
          <t>Accuracy (%)</t>
        </is>
      </c>
      <c r="S6" s="14" t="inlineStr">
        <is>
          <t>Lab Actual (%)</t>
        </is>
      </c>
      <c r="T6" s="14" t="inlineStr">
        <is>
          <t>Prediction (%)</t>
        </is>
      </c>
      <c r="U6" s="25" t="inlineStr">
        <is>
          <t>Accuracy (%)</t>
        </is>
      </c>
    </row>
    <row r="7">
      <c r="B7" s="26" t="inlineStr">
        <is>
          <t>09/17</t>
        </is>
      </c>
      <c r="C7" s="27" t="n">
        <v>4736</v>
      </c>
      <c r="D7" s="28" t="n">
        <v>2.62</v>
      </c>
      <c r="E7" s="29" t="n">
        <v>2.458</v>
      </c>
      <c r="F7" s="30">
        <f>(1-ABS(D7-E7)/D7)*100</f>
        <v/>
      </c>
      <c r="G7" s="29" t="n">
        <v>0.162</v>
      </c>
      <c r="H7" s="29" t="n">
        <v>0.161</v>
      </c>
      <c r="I7" s="30">
        <f>(1-ABS(G7-H7)/G7)*100</f>
        <v/>
      </c>
      <c r="J7" s="28" t="n">
        <v>1.07</v>
      </c>
      <c r="K7" s="29" t="n">
        <v>1.004</v>
      </c>
      <c r="L7" s="30">
        <f>(1-ABS(J7-K7)/J7)*100</f>
        <v/>
      </c>
      <c r="M7" s="28" t="n">
        <v>0.29</v>
      </c>
      <c r="N7" s="29" t="n">
        <v>0.304</v>
      </c>
      <c r="O7" s="30">
        <f>(1-ABS(M7-N7)/M7)*100</f>
        <v/>
      </c>
      <c r="P7" s="31" t="n"/>
      <c r="Q7" s="32" t="n">
        <v>0.665</v>
      </c>
      <c r="R7" s="28" t="n"/>
      <c r="S7" s="33" t="n">
        <v>12</v>
      </c>
      <c r="T7" s="31" t="n">
        <v>11.58</v>
      </c>
      <c r="U7" s="30">
        <f>(1-ABS(S7-T7)/S7)*100</f>
        <v/>
      </c>
    </row>
    <row r="8">
      <c r="B8" s="26" t="inlineStr">
        <is>
          <t>09/18</t>
        </is>
      </c>
      <c r="C8" s="27" t="n">
        <v>5128</v>
      </c>
      <c r="D8" s="28" t="n">
        <v>2.64</v>
      </c>
      <c r="E8" s="29" t="n">
        <v>2.468</v>
      </c>
      <c r="F8" s="30">
        <f>(1-ABS(D8-E8)/D8)*100</f>
        <v/>
      </c>
      <c r="G8" s="29" t="n">
        <v>0.162</v>
      </c>
      <c r="H8" s="29" t="n">
        <v>0.161</v>
      </c>
      <c r="I8" s="30">
        <f>(1-ABS(G8-H8)/G8)*100</f>
        <v/>
      </c>
      <c r="J8" s="28" t="n">
        <v>0.98</v>
      </c>
      <c r="K8" s="29" t="n">
        <v>1</v>
      </c>
      <c r="L8" s="30">
        <f>(1-ABS(J8-K8)/J8)*100</f>
        <v/>
      </c>
      <c r="M8" s="28" t="n">
        <v>0.32</v>
      </c>
      <c r="N8" s="29" t="n">
        <v>0.301</v>
      </c>
      <c r="O8" s="30">
        <f>(1-ABS(M8-N8)/M8)*100</f>
        <v/>
      </c>
      <c r="P8" s="31" t="n"/>
      <c r="Q8" s="32" t="n">
        <v>0.656</v>
      </c>
      <c r="R8" s="28" t="n"/>
      <c r="S8" s="33" t="n">
        <v>13</v>
      </c>
      <c r="T8" s="31" t="n">
        <v>11.4</v>
      </c>
      <c r="U8" s="30">
        <f>(1-ABS(S8-T8)/S8)*100</f>
        <v/>
      </c>
    </row>
    <row r="9">
      <c r="B9" s="26" t="inlineStr">
        <is>
          <t>09/19</t>
        </is>
      </c>
      <c r="C9" s="27" t="n">
        <v>5186</v>
      </c>
      <c r="D9" s="28" t="n">
        <v>2.69</v>
      </c>
      <c r="E9" s="29" t="n">
        <v>2.498</v>
      </c>
      <c r="F9" s="30">
        <f>(1-ABS(D9-E9)/D9)*100</f>
        <v/>
      </c>
      <c r="G9" s="29" t="n">
        <v>0.163</v>
      </c>
      <c r="H9" s="29" t="n">
        <v>0.163</v>
      </c>
      <c r="I9" s="30">
        <f>(1-ABS(G9-H9)/G9)*100</f>
        <v/>
      </c>
      <c r="J9" s="28" t="n">
        <v>1.02</v>
      </c>
      <c r="K9" s="29" t="n">
        <v>1.017</v>
      </c>
      <c r="L9" s="30">
        <f>(1-ABS(J9-K9)/J9)*100</f>
        <v/>
      </c>
      <c r="M9" s="28" t="n">
        <v>0.33</v>
      </c>
      <c r="N9" s="29" t="n">
        <v>0.296</v>
      </c>
      <c r="O9" s="30">
        <f>(1-ABS(M9-N9)/M9)*100</f>
        <v/>
      </c>
      <c r="P9" s="31" t="n"/>
      <c r="Q9" s="32" t="n">
        <v>0.654</v>
      </c>
      <c r="R9" s="28" t="n"/>
      <c r="S9" s="33" t="n">
        <v>12</v>
      </c>
      <c r="T9" s="31" t="n">
        <v>11.46</v>
      </c>
      <c r="U9" s="30">
        <f>(1-ABS(S9-T9)/S9)*100</f>
        <v/>
      </c>
    </row>
    <row r="10">
      <c r="B10" s="26" t="inlineStr">
        <is>
          <t>09/20</t>
        </is>
      </c>
      <c r="C10" s="27" t="n">
        <v>4936</v>
      </c>
      <c r="D10" s="28" t="n">
        <v>2.76</v>
      </c>
      <c r="E10" s="29" t="n">
        <v>2.516</v>
      </c>
      <c r="F10" s="30">
        <f>(1-ABS(D10-E10)/D10)*100</f>
        <v/>
      </c>
      <c r="G10" s="29" t="n">
        <v>0.175</v>
      </c>
      <c r="H10" s="29" t="n">
        <v>0.162</v>
      </c>
      <c r="I10" s="30">
        <f>(1-ABS(G10-H10)/G10)*100</f>
        <v/>
      </c>
      <c r="J10" s="28" t="n">
        <v>1.13</v>
      </c>
      <c r="K10" s="29" t="n">
        <v>1.008</v>
      </c>
      <c r="L10" s="30">
        <f>(1-ABS(J10-K10)/J10)*100</f>
        <v/>
      </c>
      <c r="M10" s="28" t="n">
        <v>0.31</v>
      </c>
      <c r="N10" s="29" t="n">
        <v>0.311</v>
      </c>
      <c r="O10" s="30">
        <f>(1-ABS(M10-N10)/M10)*100</f>
        <v/>
      </c>
      <c r="P10" s="31" t="n"/>
      <c r="Q10" s="32" t="n">
        <v>0.663</v>
      </c>
      <c r="R10" s="28" t="n"/>
      <c r="S10" s="33" t="n">
        <v>12</v>
      </c>
      <c r="T10" s="31" t="n">
        <v>11.33</v>
      </c>
      <c r="U10" s="30">
        <f>(1-ABS(S10-T10)/S10)*100</f>
        <v/>
      </c>
    </row>
    <row r="11">
      <c r="B11" s="26" t="inlineStr">
        <is>
          <t>09/21</t>
        </is>
      </c>
      <c r="C11" s="27" t="n">
        <v>6857</v>
      </c>
      <c r="D11" s="28" t="n">
        <v>2.68</v>
      </c>
      <c r="E11" s="29" t="n">
        <v>2.398</v>
      </c>
      <c r="F11" s="30">
        <f>(1-ABS(D11-E11)/D11)*100</f>
        <v/>
      </c>
      <c r="G11" s="29" t="n">
        <v>0.156</v>
      </c>
      <c r="H11" s="29" t="n">
        <v>0.156</v>
      </c>
      <c r="I11" s="30">
        <f>(1-ABS(G11-H11)/G11)*100</f>
        <v/>
      </c>
      <c r="J11" s="28" t="n">
        <v>1.08</v>
      </c>
      <c r="K11" s="29" t="n">
        <v>0.965</v>
      </c>
      <c r="L11" s="30">
        <f>(1-ABS(J11-K11)/J11)*100</f>
        <v/>
      </c>
      <c r="M11" s="28" t="n">
        <v>0.34</v>
      </c>
      <c r="N11" s="29" t="n">
        <v>0.3</v>
      </c>
      <c r="O11" s="30">
        <f>(1-ABS(M11-N11)/M11)*100</f>
        <v/>
      </c>
      <c r="P11" s="31" t="n"/>
      <c r="Q11" s="32" t="n">
        <v>0.653</v>
      </c>
      <c r="R11" s="28" t="n"/>
      <c r="S11" s="33" t="n">
        <v>12</v>
      </c>
      <c r="T11" s="31" t="n">
        <v>11.22</v>
      </c>
      <c r="U11" s="30">
        <f>(1-ABS(S11-T11)/S11)*100</f>
        <v/>
      </c>
    </row>
    <row r="12">
      <c r="B12" s="26" t="inlineStr">
        <is>
          <t>09/22</t>
        </is>
      </c>
      <c r="C12" s="27" t="n">
        <v>4524</v>
      </c>
      <c r="D12" s="28" t="n">
        <v>2.58</v>
      </c>
      <c r="E12" s="29" t="n">
        <v>2.522</v>
      </c>
      <c r="F12" s="30">
        <f>(1-ABS(D12-E12)/D12)*100</f>
        <v/>
      </c>
      <c r="G12" s="29" t="n">
        <v>0.154</v>
      </c>
      <c r="H12" s="29" t="n">
        <v>0.163</v>
      </c>
      <c r="I12" s="30">
        <f>(1-ABS(G12-H12)/G12)*100</f>
        <v/>
      </c>
      <c r="J12" s="28" t="n">
        <v>1.1</v>
      </c>
      <c r="K12" s="29" t="n">
        <v>1.036</v>
      </c>
      <c r="L12" s="30">
        <f>(1-ABS(J12-K12)/J12)*100</f>
        <v/>
      </c>
      <c r="M12" s="28" t="n">
        <v>0.34</v>
      </c>
      <c r="N12" s="29" t="n">
        <v>0.273</v>
      </c>
      <c r="O12" s="30">
        <f>(1-ABS(M12-N12)/M12)*100</f>
        <v/>
      </c>
      <c r="P12" s="31" t="n"/>
      <c r="Q12" s="32" t="n">
        <v>0.638</v>
      </c>
      <c r="R12" s="28" t="n"/>
      <c r="S12" s="33" t="n">
        <v>12</v>
      </c>
      <c r="T12" s="31" t="n">
        <v>13.02</v>
      </c>
      <c r="U12" s="30">
        <f>(1-ABS(S12-T12)/S12)*100</f>
        <v/>
      </c>
    </row>
    <row r="13">
      <c r="B13" s="26" t="inlineStr">
        <is>
          <t>09/23</t>
        </is>
      </c>
      <c r="C13" s="27" t="n">
        <v>5740</v>
      </c>
      <c r="D13" s="28" t="n">
        <v>2.61</v>
      </c>
      <c r="E13" s="29" t="n">
        <v>2.361</v>
      </c>
      <c r="F13" s="30">
        <f>(1-ABS(D13-E13)/D13)*100</f>
        <v/>
      </c>
      <c r="G13" s="29" t="n">
        <v>0.163</v>
      </c>
      <c r="H13" s="29" t="n">
        <v>0.156</v>
      </c>
      <c r="I13" s="30">
        <f>(1-ABS(G13-H13)/G13)*100</f>
        <v/>
      </c>
      <c r="J13" s="28" t="n">
        <v>1.05</v>
      </c>
      <c r="K13" s="29" t="n">
        <v>0.958</v>
      </c>
      <c r="L13" s="30">
        <f>(1-ABS(J13-K13)/J13)*100</f>
        <v/>
      </c>
      <c r="M13" s="28" t="n">
        <v>0.29</v>
      </c>
      <c r="N13" s="29" t="n">
        <v>0.299</v>
      </c>
      <c r="O13" s="30">
        <f>(1-ABS(M13-N13)/M13)*100</f>
        <v/>
      </c>
      <c r="P13" s="31" t="n"/>
      <c r="Q13" s="32" t="n">
        <v>0.663</v>
      </c>
      <c r="R13" s="28" t="n"/>
      <c r="S13" s="33" t="n">
        <v>11</v>
      </c>
      <c r="T13" s="31" t="n">
        <v>10.78</v>
      </c>
      <c r="U13" s="30">
        <f>(1-ABS(S13-T13)/S13)*100</f>
        <v/>
      </c>
    </row>
    <row r="14">
      <c r="B14" s="26" t="inlineStr">
        <is>
          <t>10/03</t>
        </is>
      </c>
      <c r="C14" s="27" t="n">
        <v>5585</v>
      </c>
      <c r="D14" s="28" t="n">
        <v>2.92</v>
      </c>
      <c r="E14" s="29" t="n">
        <v>2.513</v>
      </c>
      <c r="F14" s="30">
        <f>(1-ABS(D14-E14)/D14)*100</f>
        <v/>
      </c>
      <c r="G14" s="29" t="n">
        <v>0.173</v>
      </c>
      <c r="H14" s="29" t="n">
        <v>0.163</v>
      </c>
      <c r="I14" s="30">
        <f>(1-ABS(G14-H14)/G14)*100</f>
        <v/>
      </c>
      <c r="J14" s="28" t="n">
        <v>1.01</v>
      </c>
      <c r="K14" s="29" t="n">
        <v>1.025</v>
      </c>
      <c r="L14" s="30">
        <f>(1-ABS(J14-K14)/J14)*100</f>
        <v/>
      </c>
      <c r="M14" s="28" t="n">
        <v>0.32</v>
      </c>
      <c r="N14" s="29" t="n">
        <v>0.295</v>
      </c>
      <c r="O14" s="30">
        <f>(1-ABS(M14-N14)/M14)*100</f>
        <v/>
      </c>
      <c r="P14" s="31" t="n"/>
      <c r="Q14" s="32" t="n">
        <v>0.646</v>
      </c>
      <c r="R14" s="28" t="n"/>
      <c r="S14" s="33" t="n">
        <v>15</v>
      </c>
      <c r="T14" s="31" t="n">
        <v>13.15</v>
      </c>
      <c r="U14" s="30">
        <f>(1-ABS(S14-T14)/S14)*100</f>
        <v/>
      </c>
    </row>
    <row r="15">
      <c r="B15" s="26" t="inlineStr">
        <is>
          <t>11/04</t>
        </is>
      </c>
      <c r="C15" s="27" t="n">
        <v>5465</v>
      </c>
      <c r="D15" s="28" t="n">
        <v>2.67</v>
      </c>
      <c r="E15" s="29" t="n">
        <v>2.343</v>
      </c>
      <c r="F15" s="30">
        <f>(1-ABS(D15-E15)/D15)*100</f>
        <v/>
      </c>
      <c r="G15" s="29" t="n">
        <v>0.161</v>
      </c>
      <c r="H15" s="29" t="n">
        <v>0.152</v>
      </c>
      <c r="I15" s="30">
        <f>(1-ABS(G15-H15)/G15)*100</f>
        <v/>
      </c>
      <c r="J15" s="28" t="n">
        <v>1.09</v>
      </c>
      <c r="K15" s="29" t="n">
        <v>0.952</v>
      </c>
      <c r="L15" s="30">
        <f>(1-ABS(J15-K15)/J15)*100</f>
        <v/>
      </c>
      <c r="M15" s="28" t="n">
        <v>0.25</v>
      </c>
      <c r="N15" s="29" t="n">
        <v>0.288</v>
      </c>
      <c r="O15" s="30">
        <f>(1-ABS(M15-N15)/M15)*100</f>
        <v/>
      </c>
      <c r="P15" s="31" t="n"/>
      <c r="Q15" s="32" t="n">
        <v>0.622</v>
      </c>
      <c r="R15" s="28" t="n"/>
      <c r="S15" s="33" t="n">
        <v>12</v>
      </c>
      <c r="T15" s="31" t="n">
        <v>11.53</v>
      </c>
      <c r="U15" s="30">
        <f>(1-ABS(S15-T15)/S15)*100</f>
        <v/>
      </c>
    </row>
    <row r="16">
      <c r="B16" s="26" t="inlineStr">
        <is>
          <t>13/07</t>
        </is>
      </c>
      <c r="C16" s="27" t="n">
        <v>3882</v>
      </c>
      <c r="D16" s="28" t="n">
        <v>2.85</v>
      </c>
      <c r="E16" s="29" t="n">
        <v>2.377</v>
      </c>
      <c r="F16" s="30">
        <f>(1-ABS(D16-E16)/D16)*100</f>
        <v/>
      </c>
      <c r="G16" s="29" t="n">
        <v>0.167</v>
      </c>
      <c r="H16" s="29" t="n">
        <v>0.154</v>
      </c>
      <c r="I16" s="30">
        <f>(1-ABS(G16-H16)/G16)*100</f>
        <v/>
      </c>
      <c r="J16" s="28" t="n">
        <v>1.11</v>
      </c>
      <c r="K16" s="29" t="n">
        <v>0.957</v>
      </c>
      <c r="L16" s="30">
        <f>(1-ABS(J16-K16)/J16)*100</f>
        <v/>
      </c>
      <c r="M16" s="28" t="n">
        <v>0.3</v>
      </c>
      <c r="N16" s="29" t="n">
        <v>0.289</v>
      </c>
      <c r="O16" s="30">
        <f>(1-ABS(M16-N16)/M16)*100</f>
        <v/>
      </c>
      <c r="P16" s="31" t="n"/>
      <c r="Q16" s="32" t="n">
        <v>0.633</v>
      </c>
      <c r="R16" s="28" t="n"/>
      <c r="S16" s="33" t="n">
        <v>12</v>
      </c>
      <c r="T16" s="31" t="n">
        <v>11.58</v>
      </c>
      <c r="U16" s="30">
        <f>(1-ABS(S16-T16)/S16)*100</f>
        <v/>
      </c>
    </row>
    <row r="17" ht="40" customHeight="1">
      <c r="A17" s="34" t="inlineStr">
        <is>
          <t>Best result closer to 1</t>
        </is>
      </c>
      <c r="B17" s="26" t="inlineStr">
        <is>
          <t>13/08</t>
        </is>
      </c>
      <c r="C17" s="27" t="n">
        <v>5891</v>
      </c>
      <c r="D17" s="28" t="n">
        <v>2.92</v>
      </c>
      <c r="E17" s="29" t="n">
        <v>2.491</v>
      </c>
      <c r="F17" s="30">
        <f>(1-ABS(D17-E17)/D17)*100</f>
        <v/>
      </c>
      <c r="G17" s="29" t="n">
        <v>0.163</v>
      </c>
      <c r="H17" s="29" t="n">
        <v>0.163</v>
      </c>
      <c r="I17" s="30">
        <f>(1-ABS(G17-H17)/G17)*100</f>
        <v/>
      </c>
      <c r="J17" s="28" t="n">
        <v>1.14</v>
      </c>
      <c r="K17" s="29" t="n">
        <v>1.015</v>
      </c>
      <c r="L17" s="30">
        <f>(1-ABS(J17-K17)/J17)*100</f>
        <v/>
      </c>
      <c r="M17" s="28" t="n">
        <v>0.29</v>
      </c>
      <c r="N17" s="29" t="n">
        <v>0.307</v>
      </c>
      <c r="O17" s="30">
        <f>(1-ABS(M17-N17)/M17)*100</f>
        <v/>
      </c>
      <c r="P17" s="31" t="n"/>
      <c r="Q17" s="32" t="n">
        <v>0.663</v>
      </c>
      <c r="R17" s="28" t="n"/>
      <c r="S17" s="33" t="n">
        <v>12</v>
      </c>
      <c r="T17" s="31" t="n">
        <v>12.52</v>
      </c>
      <c r="U17" s="30">
        <f>(1-ABS(S17-T17)/S17)*100</f>
        <v/>
      </c>
    </row>
    <row r="18" ht="39" customHeight="1">
      <c r="A18" s="34" t="inlineStr">
        <is>
          <t>Best result closer to 0</t>
        </is>
      </c>
      <c r="B18" s="26" t="inlineStr">
        <is>
          <t>13/09</t>
        </is>
      </c>
      <c r="C18" s="27" t="n">
        <v>6746</v>
      </c>
      <c r="D18" s="28" t="n">
        <v>2.88</v>
      </c>
      <c r="E18" s="29" t="n">
        <v>2.507</v>
      </c>
      <c r="F18" s="30">
        <f>(1-ABS(D18-E18)/D18)*100</f>
        <v/>
      </c>
      <c r="G18" s="29" t="n">
        <v>0.171</v>
      </c>
      <c r="H18" s="29" t="n">
        <v>0.163</v>
      </c>
      <c r="I18" s="30">
        <f>(1-ABS(G18-H18)/G18)*100</f>
        <v/>
      </c>
      <c r="J18" s="28" t="n">
        <v>1.07</v>
      </c>
      <c r="K18" s="29" t="n">
        <v>1.017</v>
      </c>
      <c r="L18" s="30">
        <f>(1-ABS(J18-K18)/J18)*100</f>
        <v/>
      </c>
      <c r="M18" s="28" t="n">
        <v>0.35</v>
      </c>
      <c r="N18" s="29" t="n">
        <v>0.297</v>
      </c>
      <c r="O18" s="30">
        <f>(1-ABS(M18-N18)/M18)*100</f>
        <v/>
      </c>
      <c r="P18" s="31" t="n"/>
      <c r="Q18" s="32" t="n">
        <v>0.653</v>
      </c>
      <c r="R18" s="28" t="n"/>
      <c r="S18" s="33" t="n">
        <v>13</v>
      </c>
      <c r="T18" s="31" t="n">
        <v>13.39</v>
      </c>
      <c r="U18" s="30">
        <f>(1-ABS(S18-T18)/S18)*100</f>
        <v/>
      </c>
    </row>
    <row r="19" ht="35" customHeight="1">
      <c r="A19" s="44" t="inlineStr">
        <is>
          <t>AVG ACCURACY</t>
        </is>
      </c>
      <c r="B19" s="23" t="inlineStr">
        <is>
          <t>RMSE (Prediction error, with larger mistakes penalised more)</t>
        </is>
      </c>
      <c r="D19" s="23" t="n"/>
      <c r="F19" s="36">
        <f>AVERAGE(F7:F18)</f>
        <v/>
      </c>
      <c r="G19" s="23" t="n"/>
      <c r="I19" s="36">
        <f>AVERAGE(I7:I18)</f>
        <v/>
      </c>
      <c r="J19" s="23" t="n"/>
      <c r="L19" s="36">
        <f>AVERAGE(L7:L18)</f>
        <v/>
      </c>
      <c r="M19" s="23" t="n"/>
      <c r="O19" s="36">
        <f>AVERAGE(O7:O18)</f>
        <v/>
      </c>
      <c r="P19" s="14" t="n"/>
      <c r="R19" s="38" t="inlineStr">
        <is>
          <t>-</t>
        </is>
      </c>
      <c r="S19" s="14" t="n"/>
      <c r="U19" s="36">
        <f>AVERAGE(U7:U18)</f>
        <v/>
      </c>
    </row>
    <row r="20" ht="40" customHeight="1">
      <c r="A20" s="39" t="inlineStr">
        <is>
          <t>Best result closer to 0</t>
        </is>
      </c>
      <c r="B20" s="26" t="inlineStr">
        <is>
          <t>R^2 (Coefficient of determination)</t>
        </is>
      </c>
      <c r="C20" s="40" t="n"/>
      <c r="D20" s="41">
        <f>RSQ(E7:E18, D7:D18)</f>
        <v/>
      </c>
      <c r="E20" s="42" t="n"/>
      <c r="F20" s="40" t="n"/>
      <c r="G20" s="41">
        <f>RSQ(H7:H18, G7:G18)</f>
        <v/>
      </c>
      <c r="H20" s="42" t="n"/>
      <c r="I20" s="40" t="n"/>
      <c r="J20" s="41">
        <f>RSQ(K7:K18, J7:J18)</f>
        <v/>
      </c>
      <c r="K20" s="42" t="n"/>
      <c r="L20" s="40" t="n"/>
      <c r="M20" s="41">
        <f>RSQ(N7:N18, M7:M18)</f>
        <v/>
      </c>
      <c r="N20" s="42" t="n"/>
      <c r="O20" s="40" t="n"/>
      <c r="P20" s="43" t="inlineStr">
        <is>
          <t>-</t>
        </is>
      </c>
      <c r="Q20" s="42" t="n"/>
      <c r="R20" s="40" t="n"/>
      <c r="S20" s="43">
        <f>RSQ(T7:T18, S7:S18)</f>
        <v/>
      </c>
      <c r="T20" s="42" t="n"/>
      <c r="U20" s="40" t="n"/>
    </row>
    <row r="21" ht="39" customHeight="1">
      <c r="A21" s="39" t="inlineStr">
        <is>
          <t>Best result closer to 1</t>
        </is>
      </c>
      <c r="B21" s="26" t="inlineStr">
        <is>
          <t>MAE (Average size of prediction errors)</t>
        </is>
      </c>
      <c r="C21" s="40" t="n"/>
      <c r="D21" s="41">
        <f>SUMPRODUCT(ABS(D7:D18-E7:E18))/COUNT(D7:D18)</f>
        <v/>
      </c>
      <c r="E21" s="42" t="n"/>
      <c r="F21" s="40" t="n"/>
      <c r="G21" s="41">
        <f>SUMPRODUCT(ABS(G7:G18-H7:H18))/COUNT(G7:G18)</f>
        <v/>
      </c>
      <c r="H21" s="42" t="n"/>
      <c r="I21" s="40" t="n"/>
      <c r="J21" s="41">
        <f>SUMPRODUCT(ABS(J7:J18-K7:K18))/COUNT(J7:J18)</f>
        <v/>
      </c>
      <c r="K21" s="42" t="n"/>
      <c r="L21" s="40" t="n"/>
      <c r="M21" s="41">
        <f>SUMPRODUCT(ABS(M7:M18-N7:N18))/COUNT(M7:M18)</f>
        <v/>
      </c>
      <c r="N21" s="42" t="n"/>
      <c r="O21" s="40" t="n"/>
      <c r="P21" s="43" t="inlineStr">
        <is>
          <t>-</t>
        </is>
      </c>
      <c r="Q21" s="42" t="n"/>
      <c r="R21" s="40" t="n"/>
      <c r="S21" s="43">
        <f>SUMPRODUCT(ABS(S7:S18-T7:T18))/COUNT(S7:S18)</f>
        <v/>
      </c>
      <c r="T21" s="42" t="n"/>
      <c r="U21" s="40" t="n"/>
    </row>
    <row r="22" ht="66" customHeight="1">
      <c r="A22" s="39" t="inlineStr">
        <is>
          <t>Best result closer to 1</t>
        </is>
      </c>
      <c r="B22" s="26" t="inlineStr">
        <is>
          <t>RMSE (Prediction error, with larger mistakes penalised more)</t>
        </is>
      </c>
      <c r="C22" s="40" t="n"/>
      <c r="D22" s="41">
        <f>SQRT(SUMXMY2(D7:D18, E7:E18)/COUNT(D7:D18))</f>
        <v/>
      </c>
      <c r="E22" s="42" t="n"/>
      <c r="F22" s="40" t="n"/>
      <c r="G22" s="41">
        <f>SQRT(SUMXMY2(G7:G18, H7:H18)/COUNT(G7:G18))</f>
        <v/>
      </c>
      <c r="H22" s="42" t="n"/>
      <c r="I22" s="40" t="n"/>
      <c r="J22" s="41">
        <f>SQRT(SUMXMY2(J7:J18, K7:K18)/COUNT(J7:J18))</f>
        <v/>
      </c>
      <c r="K22" s="42" t="n"/>
      <c r="L22" s="40" t="n"/>
      <c r="M22" s="41">
        <f>SQRT(SUMXMY2(M7:M18, N7:N18)/COUNT(M7:M18))</f>
        <v/>
      </c>
      <c r="N22" s="42" t="n"/>
      <c r="O22" s="40" t="n"/>
      <c r="P22" s="43" t="inlineStr">
        <is>
          <t>-</t>
        </is>
      </c>
      <c r="Q22" s="42" t="n"/>
      <c r="R22" s="40" t="n"/>
      <c r="S22" s="43">
        <f>SQRT(SUMXMY2(S7:S18, T7:T18)/COUNT(S7:S18))</f>
        <v/>
      </c>
      <c r="T22" s="42" t="n"/>
      <c r="U22" s="40" t="n"/>
    </row>
  </sheetData>
  <mergeCells count="31">
    <mergeCell ref="P21:R21"/>
    <mergeCell ref="B4:O4"/>
    <mergeCell ref="M22:O22"/>
    <mergeCell ref="B22:C22"/>
    <mergeCell ref="J20:L20"/>
    <mergeCell ref="M21:O21"/>
    <mergeCell ref="B21:C21"/>
    <mergeCell ref="G5:I5"/>
    <mergeCell ref="J22:L22"/>
    <mergeCell ref="G20:I20"/>
    <mergeCell ref="J21:L21"/>
    <mergeCell ref="S20:U20"/>
    <mergeCell ref="S5:U5"/>
    <mergeCell ref="D5:F5"/>
    <mergeCell ref="P5:R5"/>
    <mergeCell ref="G22:I22"/>
    <mergeCell ref="S22:U22"/>
    <mergeCell ref="G21:I21"/>
    <mergeCell ref="D20:F20"/>
    <mergeCell ref="B5:B6"/>
    <mergeCell ref="P20:R20"/>
    <mergeCell ref="P4:U4"/>
    <mergeCell ref="J5:L5"/>
    <mergeCell ref="S21:U21"/>
    <mergeCell ref="B20:C20"/>
    <mergeCell ref="M5:O5"/>
    <mergeCell ref="D22:F22"/>
    <mergeCell ref="P22:R22"/>
    <mergeCell ref="D21:F21"/>
    <mergeCell ref="M20:O20"/>
    <mergeCell ref="C5:C6"/>
  </mergeCells>
  <conditionalFormatting sqref="F7:F18 I7:I18 L7:L18 O7:O18 U7:U18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7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3" t="n"/>
      <c r="P4" s="14" t="inlineStr">
        <is>
          <t>On-going Research for Ca and B Models</t>
        </is>
      </c>
      <c r="Q4" s="15" t="n"/>
      <c r="R4" s="15" t="n"/>
      <c r="S4" s="15" t="n"/>
      <c r="T4" s="15" t="n"/>
      <c r="U4" s="16" t="n"/>
    </row>
    <row r="5" ht="34" customHeight="1">
      <c r="B5" s="17" t="inlineStr">
        <is>
          <t>Plot</t>
        </is>
      </c>
      <c r="C5" s="18" t="inlineStr">
        <is>
          <t>Pixels sampled</t>
        </is>
      </c>
      <c r="D5" s="19" t="inlineStr">
        <is>
          <t>N</t>
        </is>
      </c>
      <c r="E5" s="15" t="n"/>
      <c r="F5" s="16" t="n"/>
      <c r="G5" s="19" t="inlineStr">
        <is>
          <t>P (%)</t>
        </is>
      </c>
      <c r="H5" s="15" t="n"/>
      <c r="I5" s="16" t="n"/>
      <c r="J5" s="19" t="inlineStr">
        <is>
          <t>K (%)</t>
        </is>
      </c>
      <c r="K5" s="15" t="n"/>
      <c r="L5" s="16" t="n"/>
      <c r="M5" s="19" t="inlineStr">
        <is>
          <t>Mg (%)</t>
        </is>
      </c>
      <c r="N5" s="15" t="n"/>
      <c r="O5" s="16" t="n"/>
      <c r="P5" s="20" t="inlineStr">
        <is>
          <t>Ca (%)</t>
        </is>
      </c>
      <c r="Q5" s="15" t="n"/>
      <c r="R5" s="16" t="n"/>
      <c r="S5" s="20" t="inlineStr">
        <is>
          <t>B (%)</t>
        </is>
      </c>
      <c r="T5" s="15" t="n"/>
      <c r="U5" s="16" t="n"/>
    </row>
    <row r="6" ht="34" customHeight="1">
      <c r="B6" s="21" t="n"/>
      <c r="C6" s="22" t="n"/>
      <c r="D6" s="23" t="inlineStr">
        <is>
          <t>Lab Actual (%)</t>
        </is>
      </c>
      <c r="E6" s="24" t="inlineStr">
        <is>
          <t>Prediction (%)</t>
        </is>
      </c>
      <c r="F6" s="25" t="inlineStr">
        <is>
          <t>Accuracy (%)</t>
        </is>
      </c>
      <c r="G6" s="23" t="inlineStr">
        <is>
          <t>Lab Actual (%)</t>
        </is>
      </c>
      <c r="H6" s="24" t="inlineStr">
        <is>
          <t>Prediction (%)</t>
        </is>
      </c>
      <c r="I6" s="25" t="inlineStr">
        <is>
          <t>Accuracy (%)</t>
        </is>
      </c>
      <c r="J6" s="23" t="inlineStr">
        <is>
          <t>Lab Actual (%)</t>
        </is>
      </c>
      <c r="K6" s="24" t="inlineStr">
        <is>
          <t>Prediction (%)</t>
        </is>
      </c>
      <c r="L6" s="25" t="inlineStr">
        <is>
          <t>Accuracy (%)</t>
        </is>
      </c>
      <c r="M6" s="23" t="inlineStr">
        <is>
          <t>Lab Actual (%)</t>
        </is>
      </c>
      <c r="N6" s="24" t="inlineStr">
        <is>
          <t>Prediction (%)</t>
        </is>
      </c>
      <c r="O6" s="25" t="inlineStr">
        <is>
          <t>Accuracy (%)</t>
        </is>
      </c>
      <c r="P6" s="14" t="inlineStr">
        <is>
          <t>Lab Actual (%)</t>
        </is>
      </c>
      <c r="Q6" s="14" t="inlineStr">
        <is>
          <t>Prediction (%)</t>
        </is>
      </c>
      <c r="R6" s="25" t="inlineStr">
        <is>
          <t>Accuracy (%)</t>
        </is>
      </c>
      <c r="S6" s="14" t="inlineStr">
        <is>
          <t>Lab Actual (%)</t>
        </is>
      </c>
      <c r="T6" s="14" t="inlineStr">
        <is>
          <t>Prediction (%)</t>
        </is>
      </c>
      <c r="U6" s="25" t="inlineStr">
        <is>
          <t>Accuracy (%)</t>
        </is>
      </c>
    </row>
    <row r="7">
      <c r="B7" s="26" t="inlineStr">
        <is>
          <t>10/01</t>
        </is>
      </c>
      <c r="C7" s="27" t="n">
        <v>4575</v>
      </c>
      <c r="D7" s="28" t="n">
        <v>2.64</v>
      </c>
      <c r="E7" s="29" t="n">
        <v>2.428</v>
      </c>
      <c r="F7" s="30">
        <f>(1-ABS(D7-E7)/D7)*100</f>
        <v/>
      </c>
      <c r="G7" s="29" t="n">
        <v>0.177</v>
      </c>
      <c r="H7" s="29" t="n">
        <v>0.157</v>
      </c>
      <c r="I7" s="30">
        <f>(1-ABS(G7-H7)/G7)*100</f>
        <v/>
      </c>
      <c r="J7" s="28" t="n">
        <v>1.17</v>
      </c>
      <c r="K7" s="29" t="n">
        <v>0.979</v>
      </c>
      <c r="L7" s="30">
        <f>(1-ABS(J7-K7)/J7)*100</f>
        <v/>
      </c>
      <c r="M7" s="28" t="n">
        <v>0.39</v>
      </c>
      <c r="N7" s="29" t="n">
        <v>0.296</v>
      </c>
      <c r="O7" s="30">
        <f>(1-ABS(M7-N7)/M7)*100</f>
        <v/>
      </c>
      <c r="P7" s="31" t="n"/>
      <c r="Q7" s="32" t="n">
        <v>0.647</v>
      </c>
      <c r="R7" s="28" t="n"/>
      <c r="S7" s="33" t="n">
        <v>16.2</v>
      </c>
      <c r="T7" s="31" t="n">
        <v>12.04</v>
      </c>
      <c r="U7" s="30">
        <f>(1-ABS(S7-T7)/S7)*100</f>
        <v/>
      </c>
    </row>
    <row r="8">
      <c r="B8" s="26" t="inlineStr">
        <is>
          <t>10/02</t>
        </is>
      </c>
      <c r="C8" s="27" t="n">
        <v>4509</v>
      </c>
      <c r="D8" s="28" t="n">
        <v>2.75</v>
      </c>
      <c r="E8" s="29" t="n">
        <v>2.477</v>
      </c>
      <c r="F8" s="30">
        <f>(1-ABS(D8-E8)/D8)*100</f>
        <v/>
      </c>
      <c r="G8" s="29" t="n">
        <v>0.189</v>
      </c>
      <c r="H8" s="29" t="n">
        <v>0.161</v>
      </c>
      <c r="I8" s="30">
        <f>(1-ABS(G8-H8)/G8)*100</f>
        <v/>
      </c>
      <c r="J8" s="28" t="n">
        <v>1.21</v>
      </c>
      <c r="K8" s="29" t="n">
        <v>0.991</v>
      </c>
      <c r="L8" s="30">
        <f>(1-ABS(J8-K8)/J8)*100</f>
        <v/>
      </c>
      <c r="M8" s="28" t="n">
        <v>0.37</v>
      </c>
      <c r="N8" s="29" t="n">
        <v>0.268</v>
      </c>
      <c r="O8" s="30">
        <f>(1-ABS(M8-N8)/M8)*100</f>
        <v/>
      </c>
      <c r="P8" s="31" t="n"/>
      <c r="Q8" s="32" t="n">
        <v>0.648</v>
      </c>
      <c r="R8" s="28" t="n"/>
      <c r="S8" s="33" t="n">
        <v>16.1</v>
      </c>
      <c r="T8" s="31" t="n">
        <v>13.93</v>
      </c>
      <c r="U8" s="30">
        <f>(1-ABS(S8-T8)/S8)*100</f>
        <v/>
      </c>
    </row>
    <row r="9">
      <c r="B9" s="26" t="inlineStr">
        <is>
          <t>10/03</t>
        </is>
      </c>
      <c r="C9" s="27" t="n">
        <v>2287</v>
      </c>
      <c r="D9" s="28" t="n">
        <v>2.66</v>
      </c>
      <c r="E9" s="29" t="n">
        <v>2.511</v>
      </c>
      <c r="F9" s="30">
        <f>(1-ABS(D9-E9)/D9)*100</f>
        <v/>
      </c>
      <c r="G9" s="29" t="n">
        <v>0.189</v>
      </c>
      <c r="H9" s="29" t="n">
        <v>0.163</v>
      </c>
      <c r="I9" s="30">
        <f>(1-ABS(G9-H9)/G9)*100</f>
        <v/>
      </c>
      <c r="J9" s="28" t="n">
        <v>1.31</v>
      </c>
      <c r="K9" s="29" t="n">
        <v>1.008</v>
      </c>
      <c r="L9" s="30">
        <f>(1-ABS(J9-K9)/J9)*100</f>
        <v/>
      </c>
      <c r="M9" s="28" t="n">
        <v>0.38</v>
      </c>
      <c r="N9" s="29" t="n">
        <v>0.288</v>
      </c>
      <c r="O9" s="30">
        <f>(1-ABS(M9-N9)/M9)*100</f>
        <v/>
      </c>
      <c r="P9" s="31" t="n"/>
      <c r="Q9" s="32" t="n">
        <v>0.67</v>
      </c>
      <c r="R9" s="28" t="n"/>
      <c r="S9" s="33" t="n">
        <v>17.8</v>
      </c>
      <c r="T9" s="31" t="n">
        <v>12.74</v>
      </c>
      <c r="U9" s="30">
        <f>(1-ABS(S9-T9)/S9)*100</f>
        <v/>
      </c>
    </row>
    <row r="10">
      <c r="B10" s="26" t="inlineStr">
        <is>
          <t>10/04</t>
        </is>
      </c>
      <c r="C10" s="27" t="n">
        <v>5984</v>
      </c>
      <c r="D10" s="28" t="n">
        <v>2.74</v>
      </c>
      <c r="E10" s="29" t="n">
        <v>2.487</v>
      </c>
      <c r="F10" s="30">
        <f>(1-ABS(D10-E10)/D10)*100</f>
        <v/>
      </c>
      <c r="G10" s="29" t="n">
        <v>0.173</v>
      </c>
      <c r="H10" s="29" t="n">
        <v>0.161</v>
      </c>
      <c r="I10" s="30">
        <f>(1-ABS(G10-H10)/G10)*100</f>
        <v/>
      </c>
      <c r="J10" s="28" t="n">
        <v>1.08</v>
      </c>
      <c r="K10" s="29" t="n">
        <v>1.001</v>
      </c>
      <c r="L10" s="30">
        <f>(1-ABS(J10-K10)/J10)*100</f>
        <v/>
      </c>
      <c r="M10" s="28" t="n">
        <v>0.36</v>
      </c>
      <c r="N10" s="29" t="n">
        <v>0.289</v>
      </c>
      <c r="O10" s="30">
        <f>(1-ABS(M10-N10)/M10)*100</f>
        <v/>
      </c>
      <c r="P10" s="31" t="n"/>
      <c r="Q10" s="32" t="n">
        <v>0.656</v>
      </c>
      <c r="R10" s="28" t="n"/>
      <c r="S10" s="33" t="n">
        <v>18.2</v>
      </c>
      <c r="T10" s="31" t="n">
        <v>12.79</v>
      </c>
      <c r="U10" s="30">
        <f>(1-ABS(S10-T10)/S10)*100</f>
        <v/>
      </c>
    </row>
    <row r="11">
      <c r="B11" s="26" t="inlineStr">
        <is>
          <t>10/06</t>
        </is>
      </c>
      <c r="C11" s="27" t="n">
        <v>5304</v>
      </c>
      <c r="D11" s="28" t="n">
        <v>2.7</v>
      </c>
      <c r="E11" s="29" t="n">
        <v>2.368</v>
      </c>
      <c r="F11" s="30">
        <f>(1-ABS(D11-E11)/D11)*100</f>
        <v/>
      </c>
      <c r="G11" s="29" t="n">
        <v>0.183</v>
      </c>
      <c r="H11" s="29" t="n">
        <v>0.152</v>
      </c>
      <c r="I11" s="30">
        <f>(1-ABS(G11-H11)/G11)*100</f>
        <v/>
      </c>
      <c r="J11" s="28" t="n">
        <v>1.21</v>
      </c>
      <c r="K11" s="29" t="n">
        <v>0.959</v>
      </c>
      <c r="L11" s="30">
        <f>(1-ABS(J11-K11)/J11)*100</f>
        <v/>
      </c>
      <c r="M11" s="28" t="n">
        <v>0.38</v>
      </c>
      <c r="N11" s="29" t="n">
        <v>0.27</v>
      </c>
      <c r="O11" s="30">
        <f>(1-ABS(M11-N11)/M11)*100</f>
        <v/>
      </c>
      <c r="P11" s="31" t="n"/>
      <c r="Q11" s="32" t="n">
        <v>0.616</v>
      </c>
      <c r="R11" s="28" t="n"/>
      <c r="S11" s="33" t="n">
        <v>18.3</v>
      </c>
      <c r="T11" s="31" t="n">
        <v>11.95</v>
      </c>
      <c r="U11" s="30">
        <f>(1-ABS(S11-T11)/S11)*100</f>
        <v/>
      </c>
    </row>
    <row r="12">
      <c r="B12" s="26" t="inlineStr">
        <is>
          <t>10/09</t>
        </is>
      </c>
      <c r="C12" s="27" t="n">
        <v>2646</v>
      </c>
      <c r="D12" s="28" t="n">
        <v>2.78</v>
      </c>
      <c r="E12" s="29" t="n">
        <v>2.573</v>
      </c>
      <c r="F12" s="30">
        <f>(1-ABS(D12-E12)/D12)*100</f>
        <v/>
      </c>
      <c r="G12" s="29" t="n">
        <v>0.193</v>
      </c>
      <c r="H12" s="29" t="n">
        <v>0.167</v>
      </c>
      <c r="I12" s="30">
        <f>(1-ABS(G12-H12)/G12)*100</f>
        <v/>
      </c>
      <c r="J12" s="28" t="n">
        <v>1.36</v>
      </c>
      <c r="K12" s="29" t="n">
        <v>1.041</v>
      </c>
      <c r="L12" s="30">
        <f>(1-ABS(J12-K12)/J12)*100</f>
        <v/>
      </c>
      <c r="M12" s="28" t="n">
        <v>0.37</v>
      </c>
      <c r="N12" s="29" t="n">
        <v>0.308</v>
      </c>
      <c r="O12" s="30">
        <f>(1-ABS(M12-N12)/M12)*100</f>
        <v/>
      </c>
      <c r="P12" s="31" t="n"/>
      <c r="Q12" s="32" t="n">
        <v>0.715</v>
      </c>
      <c r="R12" s="28" t="n"/>
      <c r="S12" s="33" t="n">
        <v>16.4</v>
      </c>
      <c r="T12" s="31" t="n">
        <v>11.45</v>
      </c>
      <c r="U12" s="30">
        <f>(1-ABS(S12-T12)/S12)*100</f>
        <v/>
      </c>
    </row>
    <row r="13">
      <c r="B13" s="26" t="inlineStr">
        <is>
          <t>10/10</t>
        </is>
      </c>
      <c r="C13" s="27" t="n">
        <v>3148</v>
      </c>
      <c r="D13" s="28" t="n">
        <v>2.64</v>
      </c>
      <c r="E13" s="29" t="n">
        <v>2.574</v>
      </c>
      <c r="F13" s="30">
        <f>(1-ABS(D13-E13)/D13)*100</f>
        <v/>
      </c>
      <c r="G13" s="29" t="n">
        <v>0.175</v>
      </c>
      <c r="H13" s="29" t="n">
        <v>0.166</v>
      </c>
      <c r="I13" s="30">
        <f>(1-ABS(G13-H13)/G13)*100</f>
        <v/>
      </c>
      <c r="J13" s="28" t="n">
        <v>1.17</v>
      </c>
      <c r="K13" s="29" t="n">
        <v>1.042</v>
      </c>
      <c r="L13" s="30">
        <f>(1-ABS(J13-K13)/J13)*100</f>
        <v/>
      </c>
      <c r="M13" s="28" t="n">
        <v>0.34</v>
      </c>
      <c r="N13" s="29" t="n">
        <v>0.306</v>
      </c>
      <c r="O13" s="30">
        <f>(1-ABS(M13-N13)/M13)*100</f>
        <v/>
      </c>
      <c r="P13" s="31" t="n"/>
      <c r="Q13" s="32" t="n">
        <v>0.712</v>
      </c>
      <c r="R13" s="28" t="n"/>
      <c r="S13" s="33" t="n">
        <v>16.5</v>
      </c>
      <c r="T13" s="31" t="n">
        <v>11.69</v>
      </c>
      <c r="U13" s="30">
        <f>(1-ABS(S13-T13)/S13)*100</f>
        <v/>
      </c>
    </row>
    <row r="14">
      <c r="B14" s="26" t="inlineStr">
        <is>
          <t>10/11</t>
        </is>
      </c>
      <c r="C14" s="27" t="n">
        <v>5121</v>
      </c>
      <c r="D14" s="28" t="n">
        <v>2.78</v>
      </c>
      <c r="E14" s="29" t="n">
        <v>2.511</v>
      </c>
      <c r="F14" s="30">
        <f>(1-ABS(D14-E14)/D14)*100</f>
        <v/>
      </c>
      <c r="G14" s="29" t="n">
        <v>0.191</v>
      </c>
      <c r="H14" s="29" t="n">
        <v>0.161</v>
      </c>
      <c r="I14" s="30">
        <f>(1-ABS(G14-H14)/G14)*100</f>
        <v/>
      </c>
      <c r="J14" s="28" t="n">
        <v>1.2</v>
      </c>
      <c r="K14" s="29" t="n">
        <v>1.017</v>
      </c>
      <c r="L14" s="30">
        <f>(1-ABS(J14-K14)/J14)*100</f>
        <v/>
      </c>
      <c r="M14" s="28" t="n">
        <v>0.36</v>
      </c>
      <c r="N14" s="29" t="n">
        <v>0.298</v>
      </c>
      <c r="O14" s="30">
        <f>(1-ABS(M14-N14)/M14)*100</f>
        <v/>
      </c>
      <c r="P14" s="31" t="n"/>
      <c r="Q14" s="32" t="n">
        <v>0.68</v>
      </c>
      <c r="R14" s="28" t="n"/>
      <c r="S14" s="33" t="n">
        <v>17.7</v>
      </c>
      <c r="T14" s="31" t="n">
        <v>11.91</v>
      </c>
      <c r="U14" s="30">
        <f>(1-ABS(S14-T14)/S14)*100</f>
        <v/>
      </c>
    </row>
    <row r="15">
      <c r="B15" s="26" t="inlineStr">
        <is>
          <t>10/12</t>
        </is>
      </c>
      <c r="C15" s="27" t="n">
        <v>3548</v>
      </c>
      <c r="D15" s="28" t="n">
        <v>2.71</v>
      </c>
      <c r="E15" s="29" t="n">
        <v>2.156</v>
      </c>
      <c r="F15" s="30">
        <f>(1-ABS(D15-E15)/D15)*100</f>
        <v/>
      </c>
      <c r="G15" s="29" t="n">
        <v>0.176</v>
      </c>
      <c r="H15" s="29" t="n">
        <v>0.136</v>
      </c>
      <c r="I15" s="30">
        <f>(1-ABS(G15-H15)/G15)*100</f>
        <v/>
      </c>
      <c r="J15" s="28" t="n">
        <v>1.15</v>
      </c>
      <c r="K15" s="29" t="n">
        <v>0.864</v>
      </c>
      <c r="L15" s="30">
        <f>(1-ABS(J15-K15)/J15)*100</f>
        <v/>
      </c>
      <c r="M15" s="28" t="n">
        <v>0.34</v>
      </c>
      <c r="N15" s="29" t="n">
        <v>0.266</v>
      </c>
      <c r="O15" s="30">
        <f>(1-ABS(M15-N15)/M15)*100</f>
        <v/>
      </c>
      <c r="P15" s="31" t="n"/>
      <c r="Q15" s="32" t="n">
        <v>0.5679999999999999</v>
      </c>
      <c r="R15" s="28" t="n"/>
      <c r="S15" s="33" t="n">
        <v>16.1</v>
      </c>
      <c r="T15" s="31" t="n">
        <v>10.23</v>
      </c>
      <c r="U15" s="30">
        <f>(1-ABS(S15-T15)/S15)*100</f>
        <v/>
      </c>
    </row>
    <row r="16">
      <c r="B16" s="26" t="inlineStr">
        <is>
          <t>10/13</t>
        </is>
      </c>
      <c r="C16" s="27" t="n">
        <v>3677</v>
      </c>
      <c r="D16" s="28" t="n">
        <v>2.7</v>
      </c>
      <c r="E16" s="29" t="n">
        <v>2.476</v>
      </c>
      <c r="F16" s="30">
        <f>(1-ABS(D16-E16)/D16)*100</f>
        <v/>
      </c>
      <c r="G16" s="29" t="n">
        <v>0.181</v>
      </c>
      <c r="H16" s="29" t="n">
        <v>0.16</v>
      </c>
      <c r="I16" s="30">
        <f>(1-ABS(G16-H16)/G16)*100</f>
        <v/>
      </c>
      <c r="J16" s="28" t="n">
        <v>1.1</v>
      </c>
      <c r="K16" s="29" t="n">
        <v>1.001</v>
      </c>
      <c r="L16" s="30">
        <f>(1-ABS(J16-K16)/J16)*100</f>
        <v/>
      </c>
      <c r="M16" s="28" t="n">
        <v>0.36</v>
      </c>
      <c r="N16" s="29" t="n">
        <v>0.29</v>
      </c>
      <c r="O16" s="30">
        <f>(1-ABS(M16-N16)/M16)*100</f>
        <v/>
      </c>
      <c r="P16" s="31" t="n"/>
      <c r="Q16" s="32" t="n">
        <v>0.663</v>
      </c>
      <c r="R16" s="28" t="n"/>
      <c r="S16" s="33" t="n">
        <v>17.3</v>
      </c>
      <c r="T16" s="31" t="n">
        <v>12.18</v>
      </c>
      <c r="U16" s="30">
        <f>(1-ABS(S16-T16)/S16)*100</f>
        <v/>
      </c>
    </row>
    <row r="17" ht="40" customHeight="1">
      <c r="A17" s="34" t="inlineStr">
        <is>
          <t>Best result closer to 1</t>
        </is>
      </c>
      <c r="B17" s="26" t="inlineStr">
        <is>
          <t>12/33</t>
        </is>
      </c>
      <c r="C17" s="27" t="n">
        <v>5276</v>
      </c>
      <c r="D17" s="28" t="n">
        <v>2.45</v>
      </c>
      <c r="E17" s="29" t="n">
        <v>2.494</v>
      </c>
      <c r="F17" s="30">
        <f>(1-ABS(D17-E17)/D17)*100</f>
        <v/>
      </c>
      <c r="G17" s="29" t="n">
        <v>0.189</v>
      </c>
      <c r="H17" s="29" t="n">
        <v>0.161</v>
      </c>
      <c r="I17" s="30">
        <f>(1-ABS(G17-H17)/G17)*100</f>
        <v/>
      </c>
      <c r="J17" s="28" t="n">
        <v>1.2</v>
      </c>
      <c r="K17" s="29" t="n">
        <v>0.998</v>
      </c>
      <c r="L17" s="30">
        <f>(1-ABS(J17-K17)/J17)*100</f>
        <v/>
      </c>
      <c r="M17" s="28" t="n">
        <v>0.39</v>
      </c>
      <c r="N17" s="29" t="n">
        <v>0.274</v>
      </c>
      <c r="O17" s="30">
        <f>(1-ABS(M17-N17)/M17)*100</f>
        <v/>
      </c>
      <c r="P17" s="31" t="n"/>
      <c r="Q17" s="32" t="n">
        <v>0.675</v>
      </c>
      <c r="R17" s="28" t="n"/>
      <c r="S17" s="33" t="n">
        <v>16.9</v>
      </c>
      <c r="T17" s="31" t="n">
        <v>12.34</v>
      </c>
      <c r="U17" s="30">
        <f>(1-ABS(S17-T17)/S17)*100</f>
        <v/>
      </c>
    </row>
    <row r="18" ht="39" customHeight="1">
      <c r="A18" s="34" t="inlineStr">
        <is>
          <t>Best result closer to 0</t>
        </is>
      </c>
      <c r="B18" s="26" t="inlineStr">
        <is>
          <t>12/34</t>
        </is>
      </c>
      <c r="C18" s="27" t="n">
        <v>2819</v>
      </c>
      <c r="D18" s="28" t="n">
        <v>2.73</v>
      </c>
      <c r="E18" s="29" t="n">
        <v>2.435</v>
      </c>
      <c r="F18" s="30">
        <f>(1-ABS(D18-E18)/D18)*100</f>
        <v/>
      </c>
      <c r="G18" s="29" t="n">
        <v>0.182</v>
      </c>
      <c r="H18" s="29" t="n">
        <v>0.156</v>
      </c>
      <c r="I18" s="30">
        <f>(1-ABS(G18-H18)/G18)*100</f>
        <v/>
      </c>
      <c r="J18" s="28" t="n">
        <v>1.16</v>
      </c>
      <c r="K18" s="29" t="n">
        <v>0.976</v>
      </c>
      <c r="L18" s="30">
        <f>(1-ABS(J18-K18)/J18)*100</f>
        <v/>
      </c>
      <c r="M18" s="28" t="n">
        <v>0.37</v>
      </c>
      <c r="N18" s="29" t="n">
        <v>0.275</v>
      </c>
      <c r="O18" s="30">
        <f>(1-ABS(M18-N18)/M18)*100</f>
        <v/>
      </c>
      <c r="P18" s="31" t="n"/>
      <c r="Q18" s="32" t="n">
        <v>0.661</v>
      </c>
      <c r="R18" s="28" t="n"/>
      <c r="S18" s="33" t="n">
        <v>18.3</v>
      </c>
      <c r="T18" s="31" t="n">
        <v>11.53</v>
      </c>
      <c r="U18" s="30">
        <f>(1-ABS(S18-T18)/S18)*100</f>
        <v/>
      </c>
    </row>
    <row r="19" ht="66" customHeight="1">
      <c r="A19" s="34" t="inlineStr">
        <is>
          <t>Best result closer to 1</t>
        </is>
      </c>
      <c r="B19" s="26" t="inlineStr">
        <is>
          <t>12/36</t>
        </is>
      </c>
      <c r="C19" s="27" t="n">
        <v>1474</v>
      </c>
      <c r="D19" s="28" t="n">
        <v>2.71</v>
      </c>
      <c r="E19" s="29" t="n">
        <v>2.184</v>
      </c>
      <c r="F19" s="30">
        <f>(1-ABS(D19-E19)/D19)*100</f>
        <v/>
      </c>
      <c r="G19" s="29" t="n">
        <v>0.178</v>
      </c>
      <c r="H19" s="29" t="n">
        <v>0.14</v>
      </c>
      <c r="I19" s="30">
        <f>(1-ABS(G19-H19)/G19)*100</f>
        <v/>
      </c>
      <c r="J19" s="28" t="n">
        <v>1.13</v>
      </c>
      <c r="K19" s="29" t="n">
        <v>0.865</v>
      </c>
      <c r="L19" s="30">
        <f>(1-ABS(J19-K19)/J19)*100</f>
        <v/>
      </c>
      <c r="M19" s="28" t="n">
        <v>0.36</v>
      </c>
      <c r="N19" s="29" t="n">
        <v>0.251</v>
      </c>
      <c r="O19" s="30">
        <f>(1-ABS(M19-N19)/M19)*100</f>
        <v/>
      </c>
      <c r="P19" s="31" t="n"/>
      <c r="Q19" s="32" t="n">
        <v>0.593</v>
      </c>
      <c r="R19" s="28" t="n"/>
      <c r="S19" s="33" t="n">
        <v>17.1</v>
      </c>
      <c r="T19" s="31" t="n">
        <v>9.869999999999999</v>
      </c>
      <c r="U19" s="30">
        <f>(1-ABS(S19-T19)/S19)*100</f>
        <v/>
      </c>
    </row>
    <row r="20">
      <c r="B20" s="26" t="inlineStr">
        <is>
          <t>12/38</t>
        </is>
      </c>
      <c r="C20" s="27" t="n">
        <v>3931</v>
      </c>
      <c r="D20" s="28" t="n">
        <v>2.72</v>
      </c>
      <c r="E20" s="29" t="n">
        <v>2.51</v>
      </c>
      <c r="F20" s="30">
        <f>(1-ABS(D20-E20)/D20)*100</f>
        <v/>
      </c>
      <c r="G20" s="29" t="n">
        <v>0.177</v>
      </c>
      <c r="H20" s="29" t="n">
        <v>0.161</v>
      </c>
      <c r="I20" s="30">
        <f>(1-ABS(G20-H20)/G20)*100</f>
        <v/>
      </c>
      <c r="J20" s="28" t="n">
        <v>1.162</v>
      </c>
      <c r="K20" s="29" t="n">
        <v>1.012</v>
      </c>
      <c r="L20" s="30">
        <f>(1-ABS(J20-K20)/J20)*100</f>
        <v/>
      </c>
      <c r="M20" s="28" t="n">
        <v>0.37</v>
      </c>
      <c r="N20" s="29" t="n">
        <v>0.268</v>
      </c>
      <c r="O20" s="30">
        <f>(1-ABS(M20-N20)/M20)*100</f>
        <v/>
      </c>
      <c r="P20" s="31" t="n"/>
      <c r="Q20" s="32" t="n">
        <v>0.643</v>
      </c>
      <c r="R20" s="28" t="n"/>
      <c r="S20" s="33" t="n">
        <v>15.6</v>
      </c>
      <c r="T20" s="31" t="n">
        <v>13.4</v>
      </c>
      <c r="U20" s="30">
        <f>(1-ABS(S20-T20)/S20)*100</f>
        <v/>
      </c>
    </row>
    <row r="21">
      <c r="B21" s="26" t="inlineStr">
        <is>
          <t>12/39</t>
        </is>
      </c>
      <c r="C21" s="27" t="n">
        <v>4020</v>
      </c>
      <c r="D21" s="28" t="n">
        <v>2.68</v>
      </c>
      <c r="E21" s="29" t="n">
        <v>2.6</v>
      </c>
      <c r="F21" s="30">
        <f>(1-ABS(D21-E21)/D21)*100</f>
        <v/>
      </c>
      <c r="G21" s="29" t="n">
        <v>0.172</v>
      </c>
      <c r="H21" s="29" t="n">
        <v>0.169</v>
      </c>
      <c r="I21" s="30">
        <f>(1-ABS(G21-H21)/G21)*100</f>
        <v/>
      </c>
      <c r="J21" s="28" t="n">
        <v>1.09</v>
      </c>
      <c r="K21" s="29" t="n">
        <v>1.054</v>
      </c>
      <c r="L21" s="30">
        <f>(1-ABS(J21-K21)/J21)*100</f>
        <v/>
      </c>
      <c r="M21" s="28" t="n">
        <v>0.35</v>
      </c>
      <c r="N21" s="29" t="n">
        <v>0.31</v>
      </c>
      <c r="O21" s="30">
        <f>(1-ABS(M21-N21)/M21)*100</f>
        <v/>
      </c>
      <c r="P21" s="31" t="n"/>
      <c r="Q21" s="32" t="n">
        <v>0.719</v>
      </c>
      <c r="R21" s="28" t="n"/>
      <c r="S21" s="33" t="n">
        <v>18.3</v>
      </c>
      <c r="T21" s="31" t="n">
        <v>11.72</v>
      </c>
      <c r="U21" s="30">
        <f>(1-ABS(S21-T21)/S21)*100</f>
        <v/>
      </c>
    </row>
    <row r="22">
      <c r="B22" s="26" t="inlineStr">
        <is>
          <t>12/40</t>
        </is>
      </c>
      <c r="C22" s="27" t="n">
        <v>2545</v>
      </c>
      <c r="D22" s="28" t="n">
        <v>2.67</v>
      </c>
      <c r="E22" s="29" t="n">
        <v>2.612</v>
      </c>
      <c r="F22" s="30">
        <f>(1-ABS(D22-E22)/D22)*100</f>
        <v/>
      </c>
      <c r="G22" s="29" t="n">
        <v>0.194</v>
      </c>
      <c r="H22" s="29" t="n">
        <v>0.169</v>
      </c>
      <c r="I22" s="30">
        <f>(1-ABS(G22-H22)/G22)*100</f>
        <v/>
      </c>
      <c r="J22" s="28" t="n">
        <v>1.26</v>
      </c>
      <c r="K22" s="29" t="n">
        <v>1.057</v>
      </c>
      <c r="L22" s="30">
        <f>(1-ABS(J22-K22)/J22)*100</f>
        <v/>
      </c>
      <c r="M22" s="28" t="n">
        <v>0.38</v>
      </c>
      <c r="N22" s="29" t="n">
        <v>0.309</v>
      </c>
      <c r="O22" s="30">
        <f>(1-ABS(M22-N22)/M22)*100</f>
        <v/>
      </c>
      <c r="P22" s="31" t="n"/>
      <c r="Q22" s="32" t="n">
        <v>0.723</v>
      </c>
      <c r="R22" s="28" t="n"/>
      <c r="S22" s="33" t="n">
        <v>17.1</v>
      </c>
      <c r="T22" s="31" t="n">
        <v>11.79</v>
      </c>
      <c r="U22" s="30">
        <f>(1-ABS(S22-T22)/S22)*100</f>
        <v/>
      </c>
    </row>
    <row r="23">
      <c r="B23" s="26" t="inlineStr">
        <is>
          <t>12/41</t>
        </is>
      </c>
      <c r="C23" s="27" t="n">
        <v>2755</v>
      </c>
      <c r="D23" s="28" t="n">
        <v>2.67</v>
      </c>
      <c r="E23" s="29" t="n">
        <v>2.527</v>
      </c>
      <c r="F23" s="30">
        <f>(1-ABS(D23-E23)/D23)*100</f>
        <v/>
      </c>
      <c r="G23" s="29" t="n">
        <v>0.19</v>
      </c>
      <c r="H23" s="29" t="n">
        <v>0.163</v>
      </c>
      <c r="I23" s="30">
        <f>(1-ABS(G23-H23)/G23)*100</f>
        <v/>
      </c>
      <c r="J23" s="28" t="n">
        <v>1.2</v>
      </c>
      <c r="K23" s="29" t="n">
        <v>1.029</v>
      </c>
      <c r="L23" s="30">
        <f>(1-ABS(J23-K23)/J23)*100</f>
        <v/>
      </c>
      <c r="M23" s="28" t="n">
        <v>0.36</v>
      </c>
      <c r="N23" s="29" t="n">
        <v>0.282</v>
      </c>
      <c r="O23" s="30">
        <f>(1-ABS(M23-N23)/M23)*100</f>
        <v/>
      </c>
      <c r="P23" s="31" t="n"/>
      <c r="Q23" s="32" t="n">
        <v>0.653</v>
      </c>
      <c r="R23" s="28" t="n"/>
      <c r="S23" s="33" t="n">
        <v>17.8</v>
      </c>
      <c r="T23" s="31" t="n">
        <v>13.16</v>
      </c>
      <c r="U23" s="30">
        <f>(1-ABS(S23-T23)/S23)*100</f>
        <v/>
      </c>
    </row>
    <row r="24" ht="35" customHeight="1">
      <c r="A24" s="35" t="inlineStr">
        <is>
          <t>AVG ACCURACY</t>
        </is>
      </c>
      <c r="F24" s="36">
        <f>AVERAGE(F7:F23)</f>
        <v/>
      </c>
      <c r="I24" s="36">
        <f>AVERAGE(I7:I23)</f>
        <v/>
      </c>
      <c r="L24" s="36">
        <f>AVERAGE(L7:L23)</f>
        <v/>
      </c>
      <c r="O24" s="37">
        <f>AVERAGE(O7:O23)</f>
        <v/>
      </c>
      <c r="R24" s="38" t="inlineStr">
        <is>
          <t>-</t>
        </is>
      </c>
      <c r="U24" s="37">
        <f>AVERAGE(U7:U23)</f>
        <v/>
      </c>
    </row>
    <row r="25" ht="40" customHeight="1">
      <c r="A25" s="39" t="inlineStr">
        <is>
          <t>Best result closer to 0</t>
        </is>
      </c>
      <c r="B25" s="26" t="inlineStr">
        <is>
          <t>R^2 (Coefficient of determination)</t>
        </is>
      </c>
      <c r="C25" s="40" t="n"/>
      <c r="D25" s="41">
        <f>RSQ(E7:E23, D7:D23)</f>
        <v/>
      </c>
      <c r="E25" s="42" t="n"/>
      <c r="F25" s="40" t="n"/>
      <c r="G25" s="41">
        <f>RSQ(H7:H23, G7:G23)</f>
        <v/>
      </c>
      <c r="H25" s="42" t="n"/>
      <c r="I25" s="40" t="n"/>
      <c r="J25" s="41">
        <f>RSQ(K7:K23, J7:J23)</f>
        <v/>
      </c>
      <c r="K25" s="42" t="n"/>
      <c r="L25" s="40" t="n"/>
      <c r="M25" s="41">
        <f>RSQ(N7:N23, M7:M23)</f>
        <v/>
      </c>
      <c r="N25" s="42" t="n"/>
      <c r="O25" s="40" t="n"/>
      <c r="P25" s="43" t="inlineStr">
        <is>
          <t>-</t>
        </is>
      </c>
      <c r="Q25" s="42" t="n"/>
      <c r="R25" s="40" t="n"/>
      <c r="S25" s="43">
        <f>RSQ(T7:T23, S7:S23)</f>
        <v/>
      </c>
      <c r="T25" s="42" t="n"/>
      <c r="U25" s="40" t="n"/>
    </row>
    <row r="26" ht="39" customHeight="1">
      <c r="A26" s="39" t="inlineStr">
        <is>
          <t>Best result closer to 1</t>
        </is>
      </c>
      <c r="B26" s="26" t="inlineStr">
        <is>
          <t>MAE (Average size of prediction errors)</t>
        </is>
      </c>
      <c r="C26" s="40" t="n"/>
      <c r="D26" s="41">
        <f>SUMPRODUCT(ABS(D7:D23-E7:E23))/COUNT(D7:D23)</f>
        <v/>
      </c>
      <c r="E26" s="42" t="n"/>
      <c r="F26" s="40" t="n"/>
      <c r="G26" s="41">
        <f>SUMPRODUCT(ABS(G7:G23-H7:H23))/COUNT(G7:G23)</f>
        <v/>
      </c>
      <c r="H26" s="42" t="n"/>
      <c r="I26" s="40" t="n"/>
      <c r="J26" s="41">
        <f>SUMPRODUCT(ABS(J7:J23-K7:K23))/COUNT(J7:J23)</f>
        <v/>
      </c>
      <c r="K26" s="42" t="n"/>
      <c r="L26" s="40" t="n"/>
      <c r="M26" s="41">
        <f>SUMPRODUCT(ABS(M7:M23-N7:N23))/COUNT(M7:M23)</f>
        <v/>
      </c>
      <c r="N26" s="42" t="n"/>
      <c r="O26" s="40" t="n"/>
      <c r="P26" s="43" t="inlineStr">
        <is>
          <t>-</t>
        </is>
      </c>
      <c r="Q26" s="42" t="n"/>
      <c r="R26" s="40" t="n"/>
      <c r="S26" s="43">
        <f>SUMPRODUCT(ABS(S7:S23-T7:T23))/COUNT(S7:S23)</f>
        <v/>
      </c>
      <c r="T26" s="42" t="n"/>
      <c r="U26" s="40" t="n"/>
    </row>
    <row r="27" ht="66" customHeight="1">
      <c r="A27" s="39" t="inlineStr">
        <is>
          <t>Best result closer to 1</t>
        </is>
      </c>
      <c r="B27" s="26" t="inlineStr">
        <is>
          <t>RMSE (Prediction error, with larger mistakes penalised more)</t>
        </is>
      </c>
      <c r="C27" s="40" t="n"/>
      <c r="D27" s="41">
        <f>SQRT(SUMXMY2(D7:D23, E7:E23)/COUNT(D7:D23))</f>
        <v/>
      </c>
      <c r="E27" s="42" t="n"/>
      <c r="F27" s="40" t="n"/>
      <c r="G27" s="41">
        <f>SQRT(SUMXMY2(G7:G23, H7:H23)/COUNT(G7:G23))</f>
        <v/>
      </c>
      <c r="H27" s="42" t="n"/>
      <c r="I27" s="40" t="n"/>
      <c r="J27" s="41">
        <f>SQRT(SUMXMY2(J7:J23, K7:K23)/COUNT(J7:J23))</f>
        <v/>
      </c>
      <c r="K27" s="42" t="n"/>
      <c r="L27" s="40" t="n"/>
      <c r="M27" s="41">
        <f>SQRT(SUMXMY2(M7:M23, N7:N23)/COUNT(M7:M23))</f>
        <v/>
      </c>
      <c r="N27" s="42" t="n"/>
      <c r="O27" s="40" t="n"/>
      <c r="P27" s="43" t="inlineStr">
        <is>
          <t>-</t>
        </is>
      </c>
      <c r="Q27" s="42" t="n"/>
      <c r="R27" s="40" t="n"/>
      <c r="S27" s="43">
        <f>SQRT(SUMXMY2(S7:S23, T7:T23)/COUNT(S7:S23))</f>
        <v/>
      </c>
      <c r="T27" s="42" t="n"/>
      <c r="U27" s="40" t="n"/>
    </row>
  </sheetData>
  <mergeCells count="31">
    <mergeCell ref="B4:O4"/>
    <mergeCell ref="D27:F27"/>
    <mergeCell ref="B25:C25"/>
    <mergeCell ref="P27:R27"/>
    <mergeCell ref="J27:L27"/>
    <mergeCell ref="M25:O25"/>
    <mergeCell ref="J26:L26"/>
    <mergeCell ref="B27:C27"/>
    <mergeCell ref="J25:L25"/>
    <mergeCell ref="M27:O27"/>
    <mergeCell ref="G5:I5"/>
    <mergeCell ref="G26:I26"/>
    <mergeCell ref="M26:O26"/>
    <mergeCell ref="D25:F25"/>
    <mergeCell ref="G25:I25"/>
    <mergeCell ref="S5:U5"/>
    <mergeCell ref="D5:F5"/>
    <mergeCell ref="P5:R5"/>
    <mergeCell ref="S26:U26"/>
    <mergeCell ref="D26:F26"/>
    <mergeCell ref="S25:U25"/>
    <mergeCell ref="B5:B6"/>
    <mergeCell ref="P26:R26"/>
    <mergeCell ref="P4:U4"/>
    <mergeCell ref="J5:L5"/>
    <mergeCell ref="P25:R25"/>
    <mergeCell ref="G27:I27"/>
    <mergeCell ref="S27:U27"/>
    <mergeCell ref="M5:O5"/>
    <mergeCell ref="B26:C26"/>
    <mergeCell ref="C5:C6"/>
  </mergeCells>
  <conditionalFormatting sqref="F7:F23 I7:I23 L7:L23 O7:O23 U7:U23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3" t="n"/>
      <c r="P4" s="14" t="inlineStr">
        <is>
          <t>On-going Research for Ca and B Models</t>
        </is>
      </c>
      <c r="Q4" s="15" t="n"/>
      <c r="R4" s="15" t="n"/>
      <c r="S4" s="15" t="n"/>
      <c r="T4" s="15" t="n"/>
      <c r="U4" s="16" t="n"/>
    </row>
    <row r="5" ht="34" customHeight="1">
      <c r="B5" s="17" t="inlineStr">
        <is>
          <t>Plot</t>
        </is>
      </c>
      <c r="C5" s="18" t="inlineStr">
        <is>
          <t>Pixels sampled</t>
        </is>
      </c>
      <c r="D5" s="19" t="inlineStr">
        <is>
          <t>N</t>
        </is>
      </c>
      <c r="E5" s="15" t="n"/>
      <c r="F5" s="16" t="n"/>
      <c r="G5" s="19" t="inlineStr">
        <is>
          <t>P (%)</t>
        </is>
      </c>
      <c r="H5" s="15" t="n"/>
      <c r="I5" s="16" t="n"/>
      <c r="J5" s="19" t="inlineStr">
        <is>
          <t>K (%)</t>
        </is>
      </c>
      <c r="K5" s="15" t="n"/>
      <c r="L5" s="16" t="n"/>
      <c r="M5" s="19" t="inlineStr">
        <is>
          <t>Mg (%)</t>
        </is>
      </c>
      <c r="N5" s="15" t="n"/>
      <c r="O5" s="16" t="n"/>
      <c r="P5" s="20" t="inlineStr">
        <is>
          <t>Ca (%)</t>
        </is>
      </c>
      <c r="Q5" s="15" t="n"/>
      <c r="R5" s="16" t="n"/>
      <c r="S5" s="20" t="inlineStr">
        <is>
          <t>B (%)</t>
        </is>
      </c>
      <c r="T5" s="15" t="n"/>
      <c r="U5" s="16" t="n"/>
    </row>
    <row r="6" ht="34" customHeight="1">
      <c r="B6" s="21" t="n"/>
      <c r="C6" s="22" t="n"/>
      <c r="D6" s="23" t="inlineStr">
        <is>
          <t>Lab Actual (%)</t>
        </is>
      </c>
      <c r="E6" s="24" t="inlineStr">
        <is>
          <t>Prediction (%)</t>
        </is>
      </c>
      <c r="F6" s="25" t="inlineStr">
        <is>
          <t>Accuracy (%)</t>
        </is>
      </c>
      <c r="G6" s="23" t="inlineStr">
        <is>
          <t>Lab Actual (%)</t>
        </is>
      </c>
      <c r="H6" s="24" t="inlineStr">
        <is>
          <t>Prediction (%)</t>
        </is>
      </c>
      <c r="I6" s="25" t="inlineStr">
        <is>
          <t>Accuracy (%)</t>
        </is>
      </c>
      <c r="J6" s="23" t="inlineStr">
        <is>
          <t>Lab Actual (%)</t>
        </is>
      </c>
      <c r="K6" s="24" t="inlineStr">
        <is>
          <t>Prediction (%)</t>
        </is>
      </c>
      <c r="L6" s="25" t="inlineStr">
        <is>
          <t>Accuracy (%)</t>
        </is>
      </c>
      <c r="M6" s="23" t="inlineStr">
        <is>
          <t>Lab Actual (%)</t>
        </is>
      </c>
      <c r="N6" s="24" t="inlineStr">
        <is>
          <t>Prediction (%)</t>
        </is>
      </c>
      <c r="O6" s="25" t="inlineStr">
        <is>
          <t>Accuracy (%)</t>
        </is>
      </c>
      <c r="P6" s="14" t="inlineStr">
        <is>
          <t>Lab Actual (%)</t>
        </is>
      </c>
      <c r="Q6" s="14" t="inlineStr">
        <is>
          <t>Prediction (%)</t>
        </is>
      </c>
      <c r="R6" s="25" t="inlineStr">
        <is>
          <t>Accuracy (%)</t>
        </is>
      </c>
      <c r="S6" s="14" t="inlineStr">
        <is>
          <t>Lab Actual (%)</t>
        </is>
      </c>
      <c r="T6" s="14" t="inlineStr">
        <is>
          <t>Prediction (%)</t>
        </is>
      </c>
      <c r="U6" s="25" t="inlineStr">
        <is>
          <t>Accuracy (%)</t>
        </is>
      </c>
    </row>
    <row r="7">
      <c r="B7" s="26" t="inlineStr">
        <is>
          <t>08/06</t>
        </is>
      </c>
      <c r="C7" s="27" t="n">
        <v>5390</v>
      </c>
      <c r="D7" s="28" t="n">
        <v>2.65</v>
      </c>
      <c r="E7" s="29" t="n">
        <v>2.551</v>
      </c>
      <c r="F7" s="30">
        <f>(1-ABS(D7-E7)/D7)*100</f>
        <v/>
      </c>
      <c r="G7" s="29" t="n">
        <v>0.175</v>
      </c>
      <c r="H7" s="29" t="n">
        <v>0.165</v>
      </c>
      <c r="I7" s="30">
        <f>(1-ABS(G7-H7)/G7)*100</f>
        <v/>
      </c>
      <c r="J7" s="28" t="n">
        <v>1.04</v>
      </c>
      <c r="K7" s="29" t="n">
        <v>1.036</v>
      </c>
      <c r="L7" s="30">
        <f>(1-ABS(J7-K7)/J7)*100</f>
        <v/>
      </c>
      <c r="M7" s="28" t="n">
        <v>0.46</v>
      </c>
      <c r="N7" s="29" t="n">
        <v>0.285</v>
      </c>
      <c r="O7" s="30">
        <f>(1-ABS(M7-N7)/M7)*100</f>
        <v/>
      </c>
      <c r="P7" s="31" t="n"/>
      <c r="Q7" s="32" t="n">
        <v>0.648</v>
      </c>
      <c r="R7" s="28" t="n"/>
      <c r="S7" s="33" t="n">
        <v>17.5</v>
      </c>
      <c r="T7" s="31" t="n">
        <v>14.11</v>
      </c>
      <c r="U7" s="30">
        <f>(1-ABS(S7-T7)/S7)*100</f>
        <v/>
      </c>
    </row>
    <row r="8">
      <c r="B8" s="26" t="inlineStr">
        <is>
          <t>08/08</t>
        </is>
      </c>
      <c r="C8" s="27" t="n">
        <v>3443</v>
      </c>
      <c r="D8" s="28" t="n">
        <v>2.69</v>
      </c>
      <c r="E8" s="29" t="n">
        <v>2.58</v>
      </c>
      <c r="F8" s="30">
        <f>(1-ABS(D8-E8)/D8)*100</f>
        <v/>
      </c>
      <c r="G8" s="29" t="n">
        <v>0.168</v>
      </c>
      <c r="H8" s="29" t="n">
        <v>0.167</v>
      </c>
      <c r="I8" s="30">
        <f>(1-ABS(G8-H8)/G8)*100</f>
        <v/>
      </c>
      <c r="J8" s="28" t="n">
        <v>1.07</v>
      </c>
      <c r="K8" s="29" t="n">
        <v>1.015</v>
      </c>
      <c r="L8" s="30">
        <f>(1-ABS(J8-K8)/J8)*100</f>
        <v/>
      </c>
      <c r="M8" s="28" t="n">
        <v>0.45</v>
      </c>
      <c r="N8" s="29" t="n">
        <v>0.288</v>
      </c>
      <c r="O8" s="30">
        <f>(1-ABS(M8-N8)/M8)*100</f>
        <v/>
      </c>
      <c r="P8" s="31" t="n"/>
      <c r="Q8" s="32" t="n">
        <v>0.652</v>
      </c>
      <c r="R8" s="28" t="n"/>
      <c r="S8" s="33" t="n">
        <v>16.1</v>
      </c>
      <c r="T8" s="31" t="n">
        <v>14.59</v>
      </c>
      <c r="U8" s="30">
        <f>(1-ABS(S8-T8)/S8)*100</f>
        <v/>
      </c>
    </row>
    <row r="9">
      <c r="B9" s="26" t="inlineStr">
        <is>
          <t>08/09</t>
        </is>
      </c>
      <c r="C9" s="27" t="n">
        <v>4325</v>
      </c>
      <c r="D9" s="28" t="n">
        <v>2.69</v>
      </c>
      <c r="E9" s="29" t="n">
        <v>2.557</v>
      </c>
      <c r="F9" s="30">
        <f>(1-ABS(D9-E9)/D9)*100</f>
        <v/>
      </c>
      <c r="G9" s="29" t="n">
        <v>0.171</v>
      </c>
      <c r="H9" s="29" t="n">
        <v>0.166</v>
      </c>
      <c r="I9" s="30">
        <f>(1-ABS(G9-H9)/G9)*100</f>
        <v/>
      </c>
      <c r="J9" s="28" t="n">
        <v>1.16</v>
      </c>
      <c r="K9" s="29" t="n">
        <v>1.028</v>
      </c>
      <c r="L9" s="30">
        <f>(1-ABS(J9-K9)/J9)*100</f>
        <v/>
      </c>
      <c r="M9" s="28" t="n">
        <v>0.42</v>
      </c>
      <c r="N9" s="29" t="n">
        <v>0.293</v>
      </c>
      <c r="O9" s="30">
        <f>(1-ABS(M9-N9)/M9)*100</f>
        <v/>
      </c>
      <c r="P9" s="31" t="n"/>
      <c r="Q9" s="32" t="n">
        <v>0.659</v>
      </c>
      <c r="R9" s="28" t="n"/>
      <c r="S9" s="33" t="n">
        <v>15.2</v>
      </c>
      <c r="T9" s="31" t="n">
        <v>14.12</v>
      </c>
      <c r="U9" s="30">
        <f>(1-ABS(S9-T9)/S9)*100</f>
        <v/>
      </c>
    </row>
    <row r="10">
      <c r="B10" s="26" t="inlineStr">
        <is>
          <t>08/10</t>
        </is>
      </c>
      <c r="C10" s="27" t="n">
        <v>3735</v>
      </c>
      <c r="D10" s="28" t="n">
        <v>2.69</v>
      </c>
      <c r="E10" s="29" t="n">
        <v>2.556</v>
      </c>
      <c r="F10" s="30">
        <f>(1-ABS(D10-E10)/D10)*100</f>
        <v/>
      </c>
      <c r="G10" s="29" t="n">
        <v>0.184</v>
      </c>
      <c r="H10" s="29" t="n">
        <v>0.166</v>
      </c>
      <c r="I10" s="30">
        <f>(1-ABS(G10-H10)/G10)*100</f>
        <v/>
      </c>
      <c r="J10" s="28" t="n">
        <v>1.14</v>
      </c>
      <c r="K10" s="29" t="n">
        <v>1.013</v>
      </c>
      <c r="L10" s="30">
        <f>(1-ABS(J10-K10)/J10)*100</f>
        <v/>
      </c>
      <c r="M10" s="28" t="n">
        <v>0.46</v>
      </c>
      <c r="N10" s="29" t="n">
        <v>0.295</v>
      </c>
      <c r="O10" s="30">
        <f>(1-ABS(M10-N10)/M10)*100</f>
        <v/>
      </c>
      <c r="P10" s="31" t="n"/>
      <c r="Q10" s="32" t="n">
        <v>0.66</v>
      </c>
      <c r="R10" s="28" t="n"/>
      <c r="S10" s="33" t="n">
        <v>16.4</v>
      </c>
      <c r="T10" s="31" t="n">
        <v>14.44</v>
      </c>
      <c r="U10" s="30">
        <f>(1-ABS(S10-T10)/S10)*100</f>
        <v/>
      </c>
    </row>
    <row r="11">
      <c r="B11" s="26" t="inlineStr">
        <is>
          <t>08/12</t>
        </is>
      </c>
      <c r="C11" s="27" t="n">
        <v>4879</v>
      </c>
      <c r="D11" s="28" t="n">
        <v>2.6</v>
      </c>
      <c r="E11" s="29" t="n">
        <v>2.531</v>
      </c>
      <c r="F11" s="30">
        <f>(1-ABS(D11-E11)/D11)*100</f>
        <v/>
      </c>
      <c r="G11" s="29" t="n">
        <v>0.169</v>
      </c>
      <c r="H11" s="29" t="n">
        <v>0.164</v>
      </c>
      <c r="I11" s="30">
        <f>(1-ABS(G11-H11)/G11)*100</f>
        <v/>
      </c>
      <c r="J11" s="28" t="n">
        <v>1.03</v>
      </c>
      <c r="K11" s="29" t="n">
        <v>1.016</v>
      </c>
      <c r="L11" s="30">
        <f>(1-ABS(J11-K11)/J11)*100</f>
        <v/>
      </c>
      <c r="M11" s="28" t="n">
        <v>0.44</v>
      </c>
      <c r="N11" s="29" t="n">
        <v>0.291</v>
      </c>
      <c r="O11" s="30">
        <f>(1-ABS(M11-N11)/M11)*100</f>
        <v/>
      </c>
      <c r="P11" s="31" t="n"/>
      <c r="Q11" s="32" t="n">
        <v>0.658</v>
      </c>
      <c r="R11" s="28" t="n"/>
      <c r="S11" s="33" t="n">
        <v>16.7</v>
      </c>
      <c r="T11" s="31" t="n">
        <v>13.7</v>
      </c>
      <c r="U11" s="30">
        <f>(1-ABS(S11-T11)/S11)*100</f>
        <v/>
      </c>
    </row>
    <row r="12">
      <c r="B12" s="26" t="inlineStr">
        <is>
          <t>08/13</t>
        </is>
      </c>
      <c r="C12" s="27" t="n">
        <v>2958</v>
      </c>
      <c r="D12" s="28" t="n">
        <v>2.71</v>
      </c>
      <c r="E12" s="29" t="n">
        <v>2.557</v>
      </c>
      <c r="F12" s="30">
        <f>(1-ABS(D12-E12)/D12)*100</f>
        <v/>
      </c>
      <c r="G12" s="29" t="n">
        <v>0.173</v>
      </c>
      <c r="H12" s="29" t="n">
        <v>0.165</v>
      </c>
      <c r="I12" s="30">
        <f>(1-ABS(G12-H12)/G12)*100</f>
        <v/>
      </c>
      <c r="J12" s="28" t="n">
        <v>1.12</v>
      </c>
      <c r="K12" s="29" t="n">
        <v>1.02</v>
      </c>
      <c r="L12" s="30">
        <f>(1-ABS(J12-K12)/J12)*100</f>
        <v/>
      </c>
      <c r="M12" s="28" t="n">
        <v>0.44</v>
      </c>
      <c r="N12" s="29" t="n">
        <v>0.282</v>
      </c>
      <c r="O12" s="30">
        <f>(1-ABS(M12-N12)/M12)*100</f>
        <v/>
      </c>
      <c r="P12" s="31" t="n"/>
      <c r="Q12" s="32" t="n">
        <v>0.655</v>
      </c>
      <c r="R12" s="28" t="n"/>
      <c r="S12" s="33" t="n">
        <v>17.2</v>
      </c>
      <c r="T12" s="31" t="n">
        <v>14.31</v>
      </c>
      <c r="U12" s="30">
        <f>(1-ABS(S12-T12)/S12)*100</f>
        <v/>
      </c>
    </row>
    <row r="13">
      <c r="B13" s="26" t="inlineStr">
        <is>
          <t>08/14</t>
        </is>
      </c>
      <c r="C13" s="27" t="n">
        <v>3595</v>
      </c>
      <c r="D13" s="28" t="n">
        <v>2.77</v>
      </c>
      <c r="E13" s="29" t="n">
        <v>2.57</v>
      </c>
      <c r="F13" s="30">
        <f>(1-ABS(D13-E13)/D13)*100</f>
        <v/>
      </c>
      <c r="G13" s="29" t="n">
        <v>0.16</v>
      </c>
      <c r="H13" s="29" t="n">
        <v>0.166</v>
      </c>
      <c r="I13" s="30">
        <f>(1-ABS(G13-H13)/G13)*100</f>
        <v/>
      </c>
      <c r="J13" s="28" t="n">
        <v>1.1</v>
      </c>
      <c r="K13" s="29" t="n">
        <v>1.024</v>
      </c>
      <c r="L13" s="30">
        <f>(1-ABS(J13-K13)/J13)*100</f>
        <v/>
      </c>
      <c r="M13" s="28" t="n">
        <v>0.44</v>
      </c>
      <c r="N13" s="29" t="n">
        <v>0.303</v>
      </c>
      <c r="O13" s="30">
        <f>(1-ABS(M13-N13)/M13)*100</f>
        <v/>
      </c>
      <c r="P13" s="31" t="n"/>
      <c r="Q13" s="32" t="n">
        <v>0.665</v>
      </c>
      <c r="R13" s="28" t="n"/>
      <c r="S13" s="33" t="n">
        <v>16.5</v>
      </c>
      <c r="T13" s="31" t="n">
        <v>14.35</v>
      </c>
      <c r="U13" s="30">
        <f>(1-ABS(S13-T13)/S13)*100</f>
        <v/>
      </c>
    </row>
    <row r="14">
      <c r="B14" s="26" t="inlineStr">
        <is>
          <t>09/01</t>
        </is>
      </c>
      <c r="C14" s="27" t="n">
        <v>6374</v>
      </c>
      <c r="D14" s="28" t="n">
        <v>2.71</v>
      </c>
      <c r="E14" s="29" t="n">
        <v>2.545</v>
      </c>
      <c r="F14" s="30">
        <f>(1-ABS(D14-E14)/D14)*100</f>
        <v/>
      </c>
      <c r="G14" s="29" t="n">
        <v>0.176</v>
      </c>
      <c r="H14" s="29" t="n">
        <v>0.165</v>
      </c>
      <c r="I14" s="30">
        <f>(1-ABS(G14-H14)/G14)*100</f>
        <v/>
      </c>
      <c r="J14" s="28" t="n">
        <v>1.16</v>
      </c>
      <c r="K14" s="29" t="n">
        <v>1.025</v>
      </c>
      <c r="L14" s="30">
        <f>(1-ABS(J14-K14)/J14)*100</f>
        <v/>
      </c>
      <c r="M14" s="28" t="n">
        <v>0.43</v>
      </c>
      <c r="N14" s="29" t="n">
        <v>0.3</v>
      </c>
      <c r="O14" s="30">
        <f>(1-ABS(M14-N14)/M14)*100</f>
        <v/>
      </c>
      <c r="P14" s="31" t="n"/>
      <c r="Q14" s="32" t="n">
        <v>0.666</v>
      </c>
      <c r="R14" s="28" t="n"/>
      <c r="S14" s="33" t="n">
        <v>17.2</v>
      </c>
      <c r="T14" s="31" t="n">
        <v>13.99</v>
      </c>
      <c r="U14" s="30">
        <f>(1-ABS(S14-T14)/S14)*100</f>
        <v/>
      </c>
    </row>
    <row r="15">
      <c r="B15" s="26" t="inlineStr">
        <is>
          <t>09/02</t>
        </is>
      </c>
      <c r="C15" s="27" t="n">
        <v>4156</v>
      </c>
      <c r="D15" s="28" t="n">
        <v>2.69</v>
      </c>
      <c r="E15" s="29" t="n">
        <v>2.545</v>
      </c>
      <c r="F15" s="30">
        <f>(1-ABS(D15-E15)/D15)*100</f>
        <v/>
      </c>
      <c r="G15" s="29" t="n">
        <v>0.172</v>
      </c>
      <c r="H15" s="29" t="n">
        <v>0.165</v>
      </c>
      <c r="I15" s="30">
        <f>(1-ABS(G15-H15)/G15)*100</f>
        <v/>
      </c>
      <c r="J15" s="28" t="n">
        <v>1.05</v>
      </c>
      <c r="K15" s="29" t="n">
        <v>1.032</v>
      </c>
      <c r="L15" s="30">
        <f>(1-ABS(J15-K15)/J15)*100</f>
        <v/>
      </c>
      <c r="M15" s="28" t="n">
        <v>0.45</v>
      </c>
      <c r="N15" s="29" t="n">
        <v>0.268</v>
      </c>
      <c r="O15" s="30">
        <f>(1-ABS(M15-N15)/M15)*100</f>
        <v/>
      </c>
      <c r="P15" s="31" t="n"/>
      <c r="Q15" s="32" t="n">
        <v>0.645</v>
      </c>
      <c r="R15" s="28" t="n"/>
      <c r="S15" s="33" t="n">
        <v>15.6</v>
      </c>
      <c r="T15" s="31" t="n">
        <v>14.12</v>
      </c>
      <c r="U15" s="30">
        <f>(1-ABS(S15-T15)/S15)*100</f>
        <v/>
      </c>
    </row>
    <row r="16">
      <c r="B16" s="26" t="inlineStr">
        <is>
          <t>09/03</t>
        </is>
      </c>
      <c r="C16" s="27" t="n">
        <v>4229</v>
      </c>
      <c r="D16" s="28" t="n">
        <v>2.72</v>
      </c>
      <c r="E16" s="29" t="n">
        <v>2.551</v>
      </c>
      <c r="F16" s="30">
        <f>(1-ABS(D16-E16)/D16)*100</f>
        <v/>
      </c>
      <c r="G16" s="29" t="n">
        <v>0.186</v>
      </c>
      <c r="H16" s="29" t="n">
        <v>0.165</v>
      </c>
      <c r="I16" s="30">
        <f>(1-ABS(G16-H16)/G16)*100</f>
        <v/>
      </c>
      <c r="J16" s="28" t="n">
        <v>1.16</v>
      </c>
      <c r="K16" s="29" t="n">
        <v>1.043</v>
      </c>
      <c r="L16" s="30">
        <f>(1-ABS(J16-K16)/J16)*100</f>
        <v/>
      </c>
      <c r="M16" s="28" t="n">
        <v>0.43</v>
      </c>
      <c r="N16" s="29" t="n">
        <v>0.283</v>
      </c>
      <c r="O16" s="30">
        <f>(1-ABS(M16-N16)/M16)*100</f>
        <v/>
      </c>
      <c r="P16" s="31" t="n"/>
      <c r="Q16" s="32" t="n">
        <v>0.643</v>
      </c>
      <c r="R16" s="28" t="n"/>
      <c r="S16" s="33" t="n">
        <v>15.9</v>
      </c>
      <c r="T16" s="31" t="n">
        <v>14.23</v>
      </c>
      <c r="U16" s="30">
        <f>(1-ABS(S16-T16)/S16)*100</f>
        <v/>
      </c>
    </row>
    <row r="17" ht="40" customHeight="1">
      <c r="A17" s="34" t="inlineStr">
        <is>
          <t>Best result closer to 1</t>
        </is>
      </c>
      <c r="B17" s="26" t="inlineStr">
        <is>
          <t>09/07</t>
        </is>
      </c>
      <c r="C17" s="27" t="n">
        <v>3660</v>
      </c>
      <c r="D17" s="28" t="n">
        <v>2.72</v>
      </c>
      <c r="E17" s="29" t="n">
        <v>2.571</v>
      </c>
      <c r="F17" s="30">
        <f>(1-ABS(D17-E17)/D17)*100</f>
        <v/>
      </c>
      <c r="G17" s="29" t="n">
        <v>0.178</v>
      </c>
      <c r="H17" s="29" t="n">
        <v>0.167</v>
      </c>
      <c r="I17" s="30">
        <f>(1-ABS(G17-H17)/G17)*100</f>
        <v/>
      </c>
      <c r="J17" s="28" t="n">
        <v>1.12</v>
      </c>
      <c r="K17" s="29" t="n">
        <v>1.011</v>
      </c>
      <c r="L17" s="30">
        <f>(1-ABS(J17-K17)/J17)*100</f>
        <v/>
      </c>
      <c r="M17" s="28" t="n">
        <v>0.42</v>
      </c>
      <c r="N17" s="29" t="n">
        <v>0.289</v>
      </c>
      <c r="O17" s="30">
        <f>(1-ABS(M17-N17)/M17)*100</f>
        <v/>
      </c>
      <c r="P17" s="31" t="n"/>
      <c r="Q17" s="32" t="n">
        <v>0.656</v>
      </c>
      <c r="R17" s="28" t="n"/>
      <c r="S17" s="33" t="n">
        <v>15.2</v>
      </c>
      <c r="T17" s="31" t="n">
        <v>14.56</v>
      </c>
      <c r="U17" s="30">
        <f>(1-ABS(S17-T17)/S17)*100</f>
        <v/>
      </c>
    </row>
    <row r="18" ht="39" customHeight="1">
      <c r="A18" s="34" t="inlineStr">
        <is>
          <t>Best result closer to 0</t>
        </is>
      </c>
      <c r="B18" s="26" t="inlineStr">
        <is>
          <t>09/16</t>
        </is>
      </c>
      <c r="C18" s="27" t="n">
        <v>4085</v>
      </c>
      <c r="D18" s="28" t="n">
        <v>2.75</v>
      </c>
      <c r="E18" s="29" t="n">
        <v>2.52</v>
      </c>
      <c r="F18" s="30">
        <f>(1-ABS(D18-E18)/D18)*100</f>
        <v/>
      </c>
      <c r="G18" s="29" t="n">
        <v>0.169</v>
      </c>
      <c r="H18" s="29" t="n">
        <v>0.164</v>
      </c>
      <c r="I18" s="30">
        <f>(1-ABS(G18-H18)/G18)*100</f>
        <v/>
      </c>
      <c r="J18" s="28" t="n">
        <v>1.08</v>
      </c>
      <c r="K18" s="29" t="n">
        <v>1.027</v>
      </c>
      <c r="L18" s="30">
        <f>(1-ABS(J18-K18)/J18)*100</f>
        <v/>
      </c>
      <c r="M18" s="28" t="n">
        <v>0.45</v>
      </c>
      <c r="N18" s="29" t="n">
        <v>0.299</v>
      </c>
      <c r="O18" s="30">
        <f>(1-ABS(M18-N18)/M18)*100</f>
        <v/>
      </c>
      <c r="P18" s="31" t="n"/>
      <c r="Q18" s="32" t="n">
        <v>0.653</v>
      </c>
      <c r="R18" s="28" t="n"/>
      <c r="S18" s="33" t="n">
        <v>14.8</v>
      </c>
      <c r="T18" s="31" t="n">
        <v>13.35</v>
      </c>
      <c r="U18" s="30">
        <f>(1-ABS(S18-T18)/S18)*100</f>
        <v/>
      </c>
    </row>
    <row r="19" ht="35" customHeight="1">
      <c r="A19" s="44" t="inlineStr">
        <is>
          <t>AVG ACCURACY</t>
        </is>
      </c>
      <c r="B19" s="23" t="inlineStr">
        <is>
          <t>RMSE (Prediction error, with larger mistakes penalised more)</t>
        </is>
      </c>
      <c r="D19" s="23" t="n"/>
      <c r="F19" s="36">
        <f>AVERAGE(F7:F18)</f>
        <v/>
      </c>
      <c r="G19" s="23" t="n"/>
      <c r="I19" s="36">
        <f>AVERAGE(I7:I18)</f>
        <v/>
      </c>
      <c r="J19" s="23" t="n"/>
      <c r="L19" s="36">
        <f>AVERAGE(L7:L18)</f>
        <v/>
      </c>
      <c r="M19" s="23" t="n"/>
      <c r="O19" s="37">
        <f>AVERAGE(O7:O18)</f>
        <v/>
      </c>
      <c r="P19" s="14" t="n"/>
      <c r="R19" s="38" t="inlineStr">
        <is>
          <t>-</t>
        </is>
      </c>
      <c r="S19" s="14" t="n"/>
      <c r="U19" s="36">
        <f>AVERAGE(U7:U18)</f>
        <v/>
      </c>
    </row>
    <row r="20" ht="40" customHeight="1">
      <c r="A20" s="39" t="inlineStr">
        <is>
          <t>Best result closer to 0</t>
        </is>
      </c>
      <c r="B20" s="26" t="inlineStr">
        <is>
          <t>R^2 (Coefficient of determination)</t>
        </is>
      </c>
      <c r="C20" s="40" t="n"/>
      <c r="D20" s="41">
        <f>RSQ(E7:E18, D7:D18)</f>
        <v/>
      </c>
      <c r="E20" s="42" t="n"/>
      <c r="F20" s="40" t="n"/>
      <c r="G20" s="41">
        <f>RSQ(H7:H18, G7:G18)</f>
        <v/>
      </c>
      <c r="H20" s="42" t="n"/>
      <c r="I20" s="40" t="n"/>
      <c r="J20" s="41">
        <f>RSQ(K7:K18, J7:J18)</f>
        <v/>
      </c>
      <c r="K20" s="42" t="n"/>
      <c r="L20" s="40" t="n"/>
      <c r="M20" s="41">
        <f>RSQ(N7:N18, M7:M18)</f>
        <v/>
      </c>
      <c r="N20" s="42" t="n"/>
      <c r="O20" s="40" t="n"/>
      <c r="P20" s="43" t="inlineStr">
        <is>
          <t>-</t>
        </is>
      </c>
      <c r="Q20" s="42" t="n"/>
      <c r="R20" s="40" t="n"/>
      <c r="S20" s="43">
        <f>RSQ(T7:T18, S7:S18)</f>
        <v/>
      </c>
      <c r="T20" s="42" t="n"/>
      <c r="U20" s="40" t="n"/>
    </row>
    <row r="21" ht="39" customHeight="1">
      <c r="A21" s="39" t="inlineStr">
        <is>
          <t>Best result closer to 1</t>
        </is>
      </c>
      <c r="B21" s="26" t="inlineStr">
        <is>
          <t>MAE (Average size of prediction errors)</t>
        </is>
      </c>
      <c r="C21" s="40" t="n"/>
      <c r="D21" s="41">
        <f>SUMPRODUCT(ABS(D7:D18-E7:E18))/COUNT(D7:D18)</f>
        <v/>
      </c>
      <c r="E21" s="42" t="n"/>
      <c r="F21" s="40" t="n"/>
      <c r="G21" s="41">
        <f>SUMPRODUCT(ABS(G7:G18-H7:H18))/COUNT(G7:G18)</f>
        <v/>
      </c>
      <c r="H21" s="42" t="n"/>
      <c r="I21" s="40" t="n"/>
      <c r="J21" s="41">
        <f>SUMPRODUCT(ABS(J7:J18-K7:K18))/COUNT(J7:J18)</f>
        <v/>
      </c>
      <c r="K21" s="42" t="n"/>
      <c r="L21" s="40" t="n"/>
      <c r="M21" s="41">
        <f>SUMPRODUCT(ABS(M7:M18-N7:N18))/COUNT(M7:M18)</f>
        <v/>
      </c>
      <c r="N21" s="42" t="n"/>
      <c r="O21" s="40" t="n"/>
      <c r="P21" s="43" t="inlineStr">
        <is>
          <t>-</t>
        </is>
      </c>
      <c r="Q21" s="42" t="n"/>
      <c r="R21" s="40" t="n"/>
      <c r="S21" s="43">
        <f>SUMPRODUCT(ABS(S7:S18-T7:T18))/COUNT(S7:S18)</f>
        <v/>
      </c>
      <c r="T21" s="42" t="n"/>
      <c r="U21" s="40" t="n"/>
    </row>
    <row r="22" ht="66" customHeight="1">
      <c r="A22" s="39" t="inlineStr">
        <is>
          <t>Best result closer to 1</t>
        </is>
      </c>
      <c r="B22" s="26" t="inlineStr">
        <is>
          <t>RMSE (Prediction error, with larger mistakes penalised more)</t>
        </is>
      </c>
      <c r="C22" s="40" t="n"/>
      <c r="D22" s="41">
        <f>SQRT(SUMXMY2(D7:D18, E7:E18)/COUNT(D7:D18))</f>
        <v/>
      </c>
      <c r="E22" s="42" t="n"/>
      <c r="F22" s="40" t="n"/>
      <c r="G22" s="41">
        <f>SQRT(SUMXMY2(G7:G18, H7:H18)/COUNT(G7:G18))</f>
        <v/>
      </c>
      <c r="H22" s="42" t="n"/>
      <c r="I22" s="40" t="n"/>
      <c r="J22" s="41">
        <f>SQRT(SUMXMY2(J7:J18, K7:K18)/COUNT(J7:J18))</f>
        <v/>
      </c>
      <c r="K22" s="42" t="n"/>
      <c r="L22" s="40" t="n"/>
      <c r="M22" s="41">
        <f>SQRT(SUMXMY2(M7:M18, N7:N18)/COUNT(M7:M18))</f>
        <v/>
      </c>
      <c r="N22" s="42" t="n"/>
      <c r="O22" s="40" t="n"/>
      <c r="P22" s="43" t="inlineStr">
        <is>
          <t>-</t>
        </is>
      </c>
      <c r="Q22" s="42" t="n"/>
      <c r="R22" s="40" t="n"/>
      <c r="S22" s="43">
        <f>SQRT(SUMXMY2(S7:S18, T7:T18)/COUNT(S7:S18))</f>
        <v/>
      </c>
      <c r="T22" s="42" t="n"/>
      <c r="U22" s="40" t="n"/>
    </row>
  </sheetData>
  <mergeCells count="31">
    <mergeCell ref="P21:R21"/>
    <mergeCell ref="B4:O4"/>
    <mergeCell ref="M22:O22"/>
    <mergeCell ref="B22:C22"/>
    <mergeCell ref="J20:L20"/>
    <mergeCell ref="M21:O21"/>
    <mergeCell ref="B21:C21"/>
    <mergeCell ref="G5:I5"/>
    <mergeCell ref="J22:L22"/>
    <mergeCell ref="G20:I20"/>
    <mergeCell ref="J21:L21"/>
    <mergeCell ref="S20:U20"/>
    <mergeCell ref="S5:U5"/>
    <mergeCell ref="D5:F5"/>
    <mergeCell ref="P5:R5"/>
    <mergeCell ref="G22:I22"/>
    <mergeCell ref="S22:U22"/>
    <mergeCell ref="G21:I21"/>
    <mergeCell ref="D20:F20"/>
    <mergeCell ref="B5:B6"/>
    <mergeCell ref="P20:R20"/>
    <mergeCell ref="P4:U4"/>
    <mergeCell ref="J5:L5"/>
    <mergeCell ref="S21:U21"/>
    <mergeCell ref="B20:C20"/>
    <mergeCell ref="M5:O5"/>
    <mergeCell ref="D22:F22"/>
    <mergeCell ref="P22:R22"/>
    <mergeCell ref="D21:F21"/>
    <mergeCell ref="M20:O20"/>
    <mergeCell ref="C5:C6"/>
  </mergeCells>
  <conditionalFormatting sqref="F7:F18 I7:I18 L7:L18 O7:O18 U7:U18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0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3" t="n"/>
      <c r="P4" s="14" t="inlineStr">
        <is>
          <t>On-going Research for Ca and B Models</t>
        </is>
      </c>
      <c r="Q4" s="15" t="n"/>
      <c r="R4" s="15" t="n"/>
      <c r="S4" s="15" t="n"/>
      <c r="T4" s="15" t="n"/>
      <c r="U4" s="16" t="n"/>
    </row>
    <row r="5" ht="34" customHeight="1">
      <c r="B5" s="17" t="inlineStr">
        <is>
          <t>Plot</t>
        </is>
      </c>
      <c r="C5" s="18" t="inlineStr">
        <is>
          <t>Pixels sampled</t>
        </is>
      </c>
      <c r="D5" s="19" t="inlineStr">
        <is>
          <t>N</t>
        </is>
      </c>
      <c r="E5" s="15" t="n"/>
      <c r="F5" s="16" t="n"/>
      <c r="G5" s="19" t="inlineStr">
        <is>
          <t>P (%)</t>
        </is>
      </c>
      <c r="H5" s="15" t="n"/>
      <c r="I5" s="16" t="n"/>
      <c r="J5" s="19" t="inlineStr">
        <is>
          <t>K (%)</t>
        </is>
      </c>
      <c r="K5" s="15" t="n"/>
      <c r="L5" s="16" t="n"/>
      <c r="M5" s="19" t="inlineStr">
        <is>
          <t>Mg (%)</t>
        </is>
      </c>
      <c r="N5" s="15" t="n"/>
      <c r="O5" s="16" t="n"/>
      <c r="P5" s="20" t="inlineStr">
        <is>
          <t>Ca (%)</t>
        </is>
      </c>
      <c r="Q5" s="15" t="n"/>
      <c r="R5" s="16" t="n"/>
      <c r="S5" s="20" t="inlineStr">
        <is>
          <t>B (%)</t>
        </is>
      </c>
      <c r="T5" s="15" t="n"/>
      <c r="U5" s="16" t="n"/>
    </row>
    <row r="6" ht="34" customHeight="1">
      <c r="B6" s="21" t="n"/>
      <c r="C6" s="22" t="n"/>
      <c r="D6" s="23" t="inlineStr">
        <is>
          <t>Lab Actual (%)</t>
        </is>
      </c>
      <c r="E6" s="24" t="inlineStr">
        <is>
          <t>Prediction (%)</t>
        </is>
      </c>
      <c r="F6" s="25" t="inlineStr">
        <is>
          <t>Accuracy (%)</t>
        </is>
      </c>
      <c r="G6" s="23" t="inlineStr">
        <is>
          <t>Lab Actual (%)</t>
        </is>
      </c>
      <c r="H6" s="24" t="inlineStr">
        <is>
          <t>Prediction (%)</t>
        </is>
      </c>
      <c r="I6" s="25" t="inlineStr">
        <is>
          <t>Accuracy (%)</t>
        </is>
      </c>
      <c r="J6" s="23" t="inlineStr">
        <is>
          <t>Lab Actual (%)</t>
        </is>
      </c>
      <c r="K6" s="24" t="inlineStr">
        <is>
          <t>Prediction (%)</t>
        </is>
      </c>
      <c r="L6" s="25" t="inlineStr">
        <is>
          <t>Accuracy (%)</t>
        </is>
      </c>
      <c r="M6" s="23" t="inlineStr">
        <is>
          <t>Lab Actual (%)</t>
        </is>
      </c>
      <c r="N6" s="24" t="inlineStr">
        <is>
          <t>Prediction (%)</t>
        </is>
      </c>
      <c r="O6" s="25" t="inlineStr">
        <is>
          <t>Accuracy (%)</t>
        </is>
      </c>
      <c r="P6" s="14" t="inlineStr">
        <is>
          <t>Lab Actual (%)</t>
        </is>
      </c>
      <c r="Q6" s="14" t="inlineStr">
        <is>
          <t>Prediction (%)</t>
        </is>
      </c>
      <c r="R6" s="25" t="inlineStr">
        <is>
          <t>Accuracy (%)</t>
        </is>
      </c>
      <c r="S6" s="14" t="inlineStr">
        <is>
          <t>Lab Actual (%)</t>
        </is>
      </c>
      <c r="T6" s="14" t="inlineStr">
        <is>
          <t>Prediction (%)</t>
        </is>
      </c>
      <c r="U6" s="25" t="inlineStr">
        <is>
          <t>Accuracy (%)</t>
        </is>
      </c>
    </row>
    <row r="7">
      <c r="B7" s="26" t="inlineStr">
        <is>
          <t>06/A</t>
        </is>
      </c>
      <c r="C7" s="27" t="n">
        <v>4612</v>
      </c>
      <c r="D7" s="28" t="n">
        <v>2.95</v>
      </c>
      <c r="E7" s="29" t="n">
        <v>2.521</v>
      </c>
      <c r="F7" s="30">
        <f>(1-ABS(D7-E7)/D7)*100</f>
        <v/>
      </c>
      <c r="G7" s="29" t="n">
        <v>0.176</v>
      </c>
      <c r="H7" s="29" t="n">
        <v>0.161</v>
      </c>
      <c r="I7" s="30">
        <f>(1-ABS(G7-H7)/G7)*100</f>
        <v/>
      </c>
      <c r="J7" s="28" t="n">
        <v>1.13</v>
      </c>
      <c r="K7" s="29" t="n">
        <v>1.059</v>
      </c>
      <c r="L7" s="30">
        <f>(1-ABS(J7-K7)/J7)*100</f>
        <v/>
      </c>
      <c r="M7" s="28" t="n">
        <v>0.34</v>
      </c>
      <c r="N7" s="29" t="n">
        <v>0.245</v>
      </c>
      <c r="O7" s="30">
        <f>(1-ABS(M7-N7)/M7)*100</f>
        <v/>
      </c>
      <c r="P7" s="31" t="n"/>
      <c r="Q7" s="32" t="n">
        <v>0.607</v>
      </c>
      <c r="R7" s="28" t="n"/>
      <c r="S7" s="33" t="n">
        <v>18.5</v>
      </c>
      <c r="T7" s="31" t="n">
        <v>13.89</v>
      </c>
      <c r="U7" s="30">
        <f>(1-ABS(S7-T7)/S7)*100</f>
        <v/>
      </c>
    </row>
    <row r="8">
      <c r="B8" s="26" t="inlineStr">
        <is>
          <t>06/B</t>
        </is>
      </c>
      <c r="C8" s="27" t="n">
        <v>4855</v>
      </c>
      <c r="D8" s="28" t="n">
        <v>2.95</v>
      </c>
      <c r="E8" s="29" t="n">
        <v>2.515</v>
      </c>
      <c r="F8" s="30">
        <f>(1-ABS(D8-E8)/D8)*100</f>
        <v/>
      </c>
      <c r="G8" s="29" t="n">
        <v>0.177</v>
      </c>
      <c r="H8" s="29" t="n">
        <v>0.161</v>
      </c>
      <c r="I8" s="30">
        <f>(1-ABS(G8-H8)/G8)*100</f>
        <v/>
      </c>
      <c r="J8" s="28" t="n">
        <v>1.08</v>
      </c>
      <c r="K8" s="29" t="n">
        <v>1.054</v>
      </c>
      <c r="L8" s="30">
        <f>(1-ABS(J8-K8)/J8)*100</f>
        <v/>
      </c>
      <c r="M8" s="28" t="n">
        <v>0.37</v>
      </c>
      <c r="N8" s="29" t="n">
        <v>0.239</v>
      </c>
      <c r="O8" s="30">
        <f>(1-ABS(M8-N8)/M8)*100</f>
        <v/>
      </c>
      <c r="P8" s="31" t="n"/>
      <c r="Q8" s="32" t="n">
        <v>0.616</v>
      </c>
      <c r="R8" s="28" t="n"/>
      <c r="S8" s="33" t="n">
        <v>18.3</v>
      </c>
      <c r="T8" s="31" t="n">
        <v>13.97</v>
      </c>
      <c r="U8" s="30">
        <f>(1-ABS(S8-T8)/S8)*100</f>
        <v/>
      </c>
    </row>
    <row r="9">
      <c r="B9" s="26" t="inlineStr">
        <is>
          <t>06/C</t>
        </is>
      </c>
      <c r="C9" s="27" t="n">
        <v>4500</v>
      </c>
      <c r="D9" s="28" t="n">
        <v>2.5</v>
      </c>
      <c r="E9" s="29" t="n">
        <v>2.526</v>
      </c>
      <c r="F9" s="30">
        <f>(1-ABS(D9-E9)/D9)*100</f>
        <v/>
      </c>
      <c r="G9" s="29" t="n">
        <v>0.172</v>
      </c>
      <c r="H9" s="29" t="n">
        <v>0.162</v>
      </c>
      <c r="I9" s="30">
        <f>(1-ABS(G9-H9)/G9)*100</f>
        <v/>
      </c>
      <c r="J9" s="28" t="n">
        <v>1.13</v>
      </c>
      <c r="K9" s="29" t="n">
        <v>1.024</v>
      </c>
      <c r="L9" s="30">
        <f>(1-ABS(J9-K9)/J9)*100</f>
        <v/>
      </c>
      <c r="M9" s="28" t="n">
        <v>0.35</v>
      </c>
      <c r="N9" s="29" t="n">
        <v>0.255</v>
      </c>
      <c r="O9" s="30">
        <f>(1-ABS(M9-N9)/M9)*100</f>
        <v/>
      </c>
      <c r="P9" s="31" t="n"/>
      <c r="Q9" s="32" t="n">
        <v>0.647</v>
      </c>
      <c r="R9" s="28" t="n"/>
      <c r="S9" s="33" t="n">
        <v>17.7</v>
      </c>
      <c r="T9" s="31" t="n">
        <v>13.84</v>
      </c>
      <c r="U9" s="30">
        <f>(1-ABS(S9-T9)/S9)*100</f>
        <v/>
      </c>
    </row>
    <row r="10">
      <c r="B10" s="26" t="inlineStr">
        <is>
          <t>06/D</t>
        </is>
      </c>
      <c r="C10" s="27" t="n">
        <v>6877</v>
      </c>
      <c r="D10" s="28" t="n">
        <v>2.49</v>
      </c>
      <c r="E10" s="29" t="n">
        <v>2.528</v>
      </c>
      <c r="F10" s="30">
        <f>(1-ABS(D10-E10)/D10)*100</f>
        <v/>
      </c>
      <c r="G10" s="29" t="n">
        <v>0.161</v>
      </c>
      <c r="H10" s="29" t="n">
        <v>0.163</v>
      </c>
      <c r="I10" s="30">
        <f>(1-ABS(G10-H10)/G10)*100</f>
        <v/>
      </c>
      <c r="J10" s="28" t="n">
        <v>1.05</v>
      </c>
      <c r="K10" s="29" t="n">
        <v>1.038</v>
      </c>
      <c r="L10" s="30">
        <f>(1-ABS(J10-K10)/J10)*100</f>
        <v/>
      </c>
      <c r="M10" s="28" t="n">
        <v>0.34</v>
      </c>
      <c r="N10" s="29" t="n">
        <v>0.24</v>
      </c>
      <c r="O10" s="30">
        <f>(1-ABS(M10-N10)/M10)*100</f>
        <v/>
      </c>
      <c r="P10" s="31" t="n"/>
      <c r="Q10" s="32" t="n">
        <v>0.637</v>
      </c>
      <c r="R10" s="28" t="n"/>
      <c r="S10" s="33" t="n">
        <v>18.3</v>
      </c>
      <c r="T10" s="31" t="n">
        <v>14.56</v>
      </c>
      <c r="U10" s="30">
        <f>(1-ABS(S10-T10)/S10)*100</f>
        <v/>
      </c>
    </row>
    <row r="11">
      <c r="B11" s="26" t="inlineStr">
        <is>
          <t>06/E</t>
        </is>
      </c>
      <c r="C11" s="27" t="n">
        <v>7060</v>
      </c>
      <c r="D11" s="28" t="n">
        <v>2.59</v>
      </c>
      <c r="E11" s="29" t="n">
        <v>2.487</v>
      </c>
      <c r="F11" s="30">
        <f>(1-ABS(D11-E11)/D11)*100</f>
        <v/>
      </c>
      <c r="G11" s="29" t="n">
        <v>0.18</v>
      </c>
      <c r="H11" s="29" t="n">
        <v>0.16</v>
      </c>
      <c r="I11" s="30">
        <f>(1-ABS(G11-H11)/G11)*100</f>
        <v/>
      </c>
      <c r="J11" s="28" t="n">
        <v>1.2</v>
      </c>
      <c r="K11" s="29" t="n">
        <v>0.998</v>
      </c>
      <c r="L11" s="30">
        <f>(1-ABS(J11-K11)/J11)*100</f>
        <v/>
      </c>
      <c r="M11" s="28" t="n">
        <v>0.36</v>
      </c>
      <c r="N11" s="29" t="n">
        <v>0.257</v>
      </c>
      <c r="O11" s="30">
        <f>(1-ABS(M11-N11)/M11)*100</f>
        <v/>
      </c>
      <c r="P11" s="31" t="n"/>
      <c r="Q11" s="32" t="n">
        <v>0.641</v>
      </c>
      <c r="R11" s="28" t="n"/>
      <c r="S11" s="33" t="n">
        <v>14.7</v>
      </c>
      <c r="T11" s="31" t="n">
        <v>13.74</v>
      </c>
      <c r="U11" s="30">
        <f>(1-ABS(S11-T11)/S11)*100</f>
        <v/>
      </c>
    </row>
    <row r="12">
      <c r="B12" s="26" t="inlineStr">
        <is>
          <t>06/F</t>
        </is>
      </c>
      <c r="C12" s="27" t="n">
        <v>6906</v>
      </c>
      <c r="D12" s="28" t="n">
        <v>2.66</v>
      </c>
      <c r="E12" s="29" t="n">
        <v>2.471</v>
      </c>
      <c r="F12" s="30">
        <f>(1-ABS(D12-E12)/D12)*100</f>
        <v/>
      </c>
      <c r="G12" s="29" t="n">
        <v>0.183</v>
      </c>
      <c r="H12" s="29" t="n">
        <v>0.16</v>
      </c>
      <c r="I12" s="30">
        <f>(1-ABS(G12-H12)/G12)*100</f>
        <v/>
      </c>
      <c r="J12" s="28" t="n">
        <v>1.26</v>
      </c>
      <c r="K12" s="29" t="n">
        <v>1</v>
      </c>
      <c r="L12" s="30">
        <f>(1-ABS(J12-K12)/J12)*100</f>
        <v/>
      </c>
      <c r="M12" s="28" t="n">
        <v>0.37</v>
      </c>
      <c r="N12" s="29" t="n">
        <v>0.268</v>
      </c>
      <c r="O12" s="30">
        <f>(1-ABS(M12-N12)/M12)*100</f>
        <v/>
      </c>
      <c r="P12" s="31" t="n"/>
      <c r="Q12" s="32" t="n">
        <v>0.632</v>
      </c>
      <c r="R12" s="28" t="n"/>
      <c r="S12" s="33" t="n">
        <v>17.6</v>
      </c>
      <c r="T12" s="31" t="n">
        <v>13.3</v>
      </c>
      <c r="U12" s="30">
        <f>(1-ABS(S12-T12)/S12)*100</f>
        <v/>
      </c>
    </row>
    <row r="13">
      <c r="B13" s="26" t="inlineStr">
        <is>
          <t>07/A</t>
        </is>
      </c>
      <c r="C13" s="27" t="n">
        <v>5877</v>
      </c>
      <c r="D13" s="28" t="n">
        <v>2.45</v>
      </c>
      <c r="E13" s="29" t="n">
        <v>2.516</v>
      </c>
      <c r="F13" s="30">
        <f>(1-ABS(D13-E13)/D13)*100</f>
        <v/>
      </c>
      <c r="G13" s="29" t="n">
        <v>0.181</v>
      </c>
      <c r="H13" s="29" t="n">
        <v>0.163</v>
      </c>
      <c r="I13" s="30">
        <f>(1-ABS(G13-H13)/G13)*100</f>
        <v/>
      </c>
      <c r="J13" s="28" t="n">
        <v>1.04</v>
      </c>
      <c r="K13" s="29" t="n">
        <v>1.007</v>
      </c>
      <c r="L13" s="30">
        <f>(1-ABS(J13-K13)/J13)*100</f>
        <v/>
      </c>
      <c r="M13" s="28" t="n">
        <v>0.37</v>
      </c>
      <c r="N13" s="29" t="n">
        <v>0.246</v>
      </c>
      <c r="O13" s="30">
        <f>(1-ABS(M13-N13)/M13)*100</f>
        <v/>
      </c>
      <c r="P13" s="31" t="n"/>
      <c r="Q13" s="32" t="n">
        <v>0.649</v>
      </c>
      <c r="R13" s="28" t="n"/>
      <c r="S13" s="33" t="n">
        <v>16.2</v>
      </c>
      <c r="T13" s="31" t="n">
        <v>14.63</v>
      </c>
      <c r="U13" s="30">
        <f>(1-ABS(S13-T13)/S13)*100</f>
        <v/>
      </c>
    </row>
    <row r="14">
      <c r="B14" s="26" t="inlineStr">
        <is>
          <t>07/B</t>
        </is>
      </c>
      <c r="C14" s="27" t="n">
        <v>5840</v>
      </c>
      <c r="D14" s="28" t="n">
        <v>2.89</v>
      </c>
      <c r="E14" s="29" t="n">
        <v>2.526</v>
      </c>
      <c r="F14" s="30">
        <f>(1-ABS(D14-E14)/D14)*100</f>
        <v/>
      </c>
      <c r="G14" s="29" t="n">
        <v>0.176</v>
      </c>
      <c r="H14" s="29" t="n">
        <v>0.164</v>
      </c>
      <c r="I14" s="30">
        <f>(1-ABS(G14-H14)/G14)*100</f>
        <v/>
      </c>
      <c r="J14" s="28" t="n">
        <v>1.09</v>
      </c>
      <c r="K14" s="29" t="n">
        <v>1.012</v>
      </c>
      <c r="L14" s="30">
        <f>(1-ABS(J14-K14)/J14)*100</f>
        <v/>
      </c>
      <c r="M14" s="28" t="n">
        <v>0.35</v>
      </c>
      <c r="N14" s="29" t="n">
        <v>0.244</v>
      </c>
      <c r="O14" s="30">
        <f>(1-ABS(M14-N14)/M14)*100</f>
        <v/>
      </c>
      <c r="P14" s="31" t="n"/>
      <c r="Q14" s="32" t="n">
        <v>0.654</v>
      </c>
      <c r="R14" s="28" t="n"/>
      <c r="S14" s="33" t="n">
        <v>14.7</v>
      </c>
      <c r="T14" s="31" t="n">
        <v>14.85</v>
      </c>
      <c r="U14" s="30">
        <f>(1-ABS(S14-T14)/S14)*100</f>
        <v/>
      </c>
    </row>
    <row r="15">
      <c r="B15" s="26" t="inlineStr">
        <is>
          <t>07/D</t>
        </is>
      </c>
      <c r="C15" s="27" t="n">
        <v>5886</v>
      </c>
      <c r="D15" s="28" t="n">
        <v>2.51</v>
      </c>
      <c r="E15" s="29" t="n">
        <v>2.523</v>
      </c>
      <c r="F15" s="30">
        <f>(1-ABS(D15-E15)/D15)*100</f>
        <v/>
      </c>
      <c r="G15" s="29" t="n">
        <v>0.161</v>
      </c>
      <c r="H15" s="29" t="n">
        <v>0.163</v>
      </c>
      <c r="I15" s="30">
        <f>(1-ABS(G15-H15)/G15)*100</f>
        <v/>
      </c>
      <c r="J15" s="28" t="n">
        <v>1.09</v>
      </c>
      <c r="K15" s="29" t="n">
        <v>1.04</v>
      </c>
      <c r="L15" s="30">
        <f>(1-ABS(J15-K15)/J15)*100</f>
        <v/>
      </c>
      <c r="M15" s="28" t="n">
        <v>0.38</v>
      </c>
      <c r="N15" s="29" t="n">
        <v>0.249</v>
      </c>
      <c r="O15" s="30">
        <f>(1-ABS(M15-N15)/M15)*100</f>
        <v/>
      </c>
      <c r="P15" s="31" t="n"/>
      <c r="Q15" s="32" t="n">
        <v>0.632</v>
      </c>
      <c r="R15" s="28" t="n"/>
      <c r="S15" s="33" t="n">
        <v>17.9</v>
      </c>
      <c r="T15" s="31" t="n">
        <v>14.19</v>
      </c>
      <c r="U15" s="30">
        <f>(1-ABS(S15-T15)/S15)*100</f>
        <v/>
      </c>
    </row>
    <row r="16">
      <c r="B16" s="26" t="inlineStr">
        <is>
          <t>07/2</t>
        </is>
      </c>
      <c r="C16" s="27" t="n">
        <v>7678</v>
      </c>
      <c r="D16" s="28" t="n">
        <v>2.52</v>
      </c>
      <c r="E16" s="29" t="n">
        <v>2.529</v>
      </c>
      <c r="F16" s="30">
        <f>(1-ABS(D16-E16)/D16)*100</f>
        <v/>
      </c>
      <c r="G16" s="29" t="n">
        <v>0.174</v>
      </c>
      <c r="H16" s="29" t="n">
        <v>0.165</v>
      </c>
      <c r="I16" s="30">
        <f>(1-ABS(G16-H16)/G16)*100</f>
        <v/>
      </c>
      <c r="J16" s="28" t="n">
        <v>1.02</v>
      </c>
      <c r="K16" s="29" t="n">
        <v>1.033</v>
      </c>
      <c r="L16" s="30">
        <f>(1-ABS(J16-K16)/J16)*100</f>
        <v/>
      </c>
      <c r="M16" s="28" t="n">
        <v>0.34</v>
      </c>
      <c r="N16" s="29" t="n">
        <v>0.263</v>
      </c>
      <c r="O16" s="30">
        <f>(1-ABS(M16-N16)/M16)*100</f>
        <v/>
      </c>
      <c r="P16" s="31" t="n"/>
      <c r="Q16" s="32" t="n">
        <v>0.64</v>
      </c>
      <c r="R16" s="28" t="n"/>
      <c r="S16" s="33" t="n">
        <v>16.3</v>
      </c>
      <c r="T16" s="31" t="n">
        <v>14.45</v>
      </c>
      <c r="U16" s="30">
        <f>(1-ABS(S16-T16)/S16)*100</f>
        <v/>
      </c>
    </row>
    <row r="17" ht="40" customHeight="1">
      <c r="A17" s="34" t="inlineStr">
        <is>
          <t>Best result closer to 1</t>
        </is>
      </c>
      <c r="B17" s="26" t="inlineStr">
        <is>
          <t>08/2</t>
        </is>
      </c>
      <c r="C17" s="27" t="n">
        <v>8862</v>
      </c>
      <c r="D17" s="28" t="n">
        <v>2.8</v>
      </c>
      <c r="E17" s="29" t="n">
        <v>2.538</v>
      </c>
      <c r="F17" s="30">
        <f>(1-ABS(D17-E17)/D17)*100</f>
        <v/>
      </c>
      <c r="G17" s="29" t="n">
        <v>0.165</v>
      </c>
      <c r="H17" s="29" t="n">
        <v>0.164</v>
      </c>
      <c r="I17" s="30">
        <f>(1-ABS(G17-H17)/G17)*100</f>
        <v/>
      </c>
      <c r="J17" s="28" t="n">
        <v>1.04</v>
      </c>
      <c r="K17" s="29" t="n">
        <v>1.049</v>
      </c>
      <c r="L17" s="30">
        <f>(1-ABS(J17-K17)/J17)*100</f>
        <v/>
      </c>
      <c r="M17" s="28" t="n">
        <v>0.36</v>
      </c>
      <c r="N17" s="29" t="n">
        <v>0.264</v>
      </c>
      <c r="O17" s="30">
        <f>(1-ABS(M17-N17)/M17)*100</f>
        <v/>
      </c>
      <c r="P17" s="31" t="n"/>
      <c r="Q17" s="32" t="n">
        <v>0.635</v>
      </c>
      <c r="R17" s="28" t="n"/>
      <c r="S17" s="33" t="n">
        <v>16.6</v>
      </c>
      <c r="T17" s="31" t="n">
        <v>13.79</v>
      </c>
      <c r="U17" s="30">
        <f>(1-ABS(S17-T17)/S17)*100</f>
        <v/>
      </c>
    </row>
    <row r="18" ht="39" customHeight="1">
      <c r="A18" s="34" t="inlineStr">
        <is>
          <t>Best result closer to 0</t>
        </is>
      </c>
      <c r="B18" s="26" t="inlineStr">
        <is>
          <t>12/A</t>
        </is>
      </c>
      <c r="C18" s="27" t="n">
        <v>4409</v>
      </c>
      <c r="D18" s="28" t="n">
        <v>2.56</v>
      </c>
      <c r="E18" s="29" t="n">
        <v>2.516</v>
      </c>
      <c r="F18" s="30">
        <f>(1-ABS(D18-E18)/D18)*100</f>
        <v/>
      </c>
      <c r="G18" s="29" t="n">
        <v>0.176</v>
      </c>
      <c r="H18" s="29" t="n">
        <v>0.163</v>
      </c>
      <c r="I18" s="30">
        <f>(1-ABS(G18-H18)/G18)*100</f>
        <v/>
      </c>
      <c r="J18" s="28" t="n">
        <v>1.03</v>
      </c>
      <c r="K18" s="29" t="n">
        <v>1.024</v>
      </c>
      <c r="L18" s="30">
        <f>(1-ABS(J18-K18)/J18)*100</f>
        <v/>
      </c>
      <c r="M18" s="28" t="n">
        <v>0.37</v>
      </c>
      <c r="N18" s="29" t="n">
        <v>0.289</v>
      </c>
      <c r="O18" s="30">
        <f>(1-ABS(M18-N18)/M18)*100</f>
        <v/>
      </c>
      <c r="P18" s="31" t="n"/>
      <c r="Q18" s="32" t="n">
        <v>0.641</v>
      </c>
      <c r="R18" s="28" t="n"/>
      <c r="S18" s="33" t="n">
        <v>17.1</v>
      </c>
      <c r="T18" s="31" t="n">
        <v>13.26</v>
      </c>
      <c r="U18" s="30">
        <f>(1-ABS(S18-T18)/S18)*100</f>
        <v/>
      </c>
    </row>
    <row r="19" ht="66" customHeight="1">
      <c r="A19" s="34" t="inlineStr">
        <is>
          <t>Best result closer to 1</t>
        </is>
      </c>
      <c r="B19" s="26" t="inlineStr">
        <is>
          <t>12/B</t>
        </is>
      </c>
      <c r="C19" s="27" t="n">
        <v>3999</v>
      </c>
      <c r="D19" s="28" t="n">
        <v>2.83</v>
      </c>
      <c r="E19" s="29" t="n">
        <v>2.523</v>
      </c>
      <c r="F19" s="30">
        <f>(1-ABS(D19-E19)/D19)*100</f>
        <v/>
      </c>
      <c r="G19" s="29" t="n">
        <v>0.179</v>
      </c>
      <c r="H19" s="29" t="n">
        <v>0.163</v>
      </c>
      <c r="I19" s="30">
        <f>(1-ABS(G19-H19)/G19)*100</f>
        <v/>
      </c>
      <c r="J19" s="28" t="n">
        <v>1.14</v>
      </c>
      <c r="K19" s="29" t="n">
        <v>1.035</v>
      </c>
      <c r="L19" s="30">
        <f>(1-ABS(J19-K19)/J19)*100</f>
        <v/>
      </c>
      <c r="M19" s="28" t="n">
        <v>0.35</v>
      </c>
      <c r="N19" s="29" t="n">
        <v>0.271</v>
      </c>
      <c r="O19" s="30">
        <f>(1-ABS(M19-N19)/M19)*100</f>
        <v/>
      </c>
      <c r="P19" s="31" t="n"/>
      <c r="Q19" s="32" t="n">
        <v>0.631</v>
      </c>
      <c r="R19" s="28" t="n"/>
      <c r="S19" s="33" t="n">
        <v>17.4</v>
      </c>
      <c r="T19" s="31" t="n">
        <v>13.96</v>
      </c>
      <c r="U19" s="30">
        <f>(1-ABS(S19-T19)/S19)*100</f>
        <v/>
      </c>
    </row>
    <row r="20">
      <c r="B20" s="26" t="inlineStr">
        <is>
          <t>12/C</t>
        </is>
      </c>
      <c r="C20" s="27" t="n">
        <v>4057</v>
      </c>
      <c r="D20" s="28" t="n">
        <v>2.79</v>
      </c>
      <c r="E20" s="29" t="n">
        <v>2.296</v>
      </c>
      <c r="F20" s="30">
        <f>(1-ABS(D20-E20)/D20)*100</f>
        <v/>
      </c>
      <c r="G20" s="29" t="n">
        <v>0.184</v>
      </c>
      <c r="H20" s="29" t="n">
        <v>0.147</v>
      </c>
      <c r="I20" s="30">
        <f>(1-ABS(G20-H20)/G20)*100</f>
        <v/>
      </c>
      <c r="J20" s="28" t="n">
        <v>1.07</v>
      </c>
      <c r="K20" s="29" t="n">
        <v>0.926</v>
      </c>
      <c r="L20" s="30">
        <f>(1-ABS(J20-K20)/J20)*100</f>
        <v/>
      </c>
      <c r="M20" s="28" t="n">
        <v>0.37</v>
      </c>
      <c r="N20" s="29" t="n">
        <v>0.267</v>
      </c>
      <c r="O20" s="30">
        <f>(1-ABS(M20-N20)/M20)*100</f>
        <v/>
      </c>
      <c r="P20" s="31" t="n"/>
      <c r="Q20" s="32" t="n">
        <v>0.584</v>
      </c>
      <c r="R20" s="28" t="n"/>
      <c r="S20" s="33" t="n">
        <v>15.6</v>
      </c>
      <c r="T20" s="31" t="n">
        <v>11.93</v>
      </c>
      <c r="U20" s="30">
        <f>(1-ABS(S20-T20)/S20)*100</f>
        <v/>
      </c>
    </row>
    <row r="21">
      <c r="B21" s="26" t="inlineStr">
        <is>
          <t>12/D</t>
        </is>
      </c>
      <c r="C21" s="27" t="n">
        <v>3465</v>
      </c>
      <c r="D21" s="28" t="n">
        <v>2.7</v>
      </c>
      <c r="E21" s="29" t="n">
        <v>2.53</v>
      </c>
      <c r="F21" s="30">
        <f>(1-ABS(D21-E21)/D21)*100</f>
        <v/>
      </c>
      <c r="G21" s="29" t="n">
        <v>0.171</v>
      </c>
      <c r="H21" s="29" t="n">
        <v>0.164</v>
      </c>
      <c r="I21" s="30">
        <f>(1-ABS(G21-H21)/G21)*100</f>
        <v/>
      </c>
      <c r="J21" s="28" t="n">
        <v>1.03</v>
      </c>
      <c r="K21" s="29" t="n">
        <v>1.036</v>
      </c>
      <c r="L21" s="30">
        <f>(1-ABS(J21-K21)/J21)*100</f>
        <v/>
      </c>
      <c r="M21" s="28" t="n">
        <v>0.3315</v>
      </c>
      <c r="N21" s="29" t="n">
        <v>0.281</v>
      </c>
      <c r="O21" s="30">
        <f>(1-ABS(M21-N21)/M21)*100</f>
        <v/>
      </c>
      <c r="P21" s="31" t="n"/>
      <c r="Q21" s="32" t="n">
        <v>0.64</v>
      </c>
      <c r="R21" s="28" t="n"/>
      <c r="S21" s="33" t="n">
        <v>15.2</v>
      </c>
      <c r="T21" s="31" t="n">
        <v>13.76</v>
      </c>
      <c r="U21" s="30">
        <f>(1-ABS(S21-T21)/S21)*100</f>
        <v/>
      </c>
    </row>
    <row r="22">
      <c r="B22" s="26" t="inlineStr">
        <is>
          <t>12/E</t>
        </is>
      </c>
      <c r="C22" s="27" t="n">
        <v>4247</v>
      </c>
      <c r="D22" s="28" t="n">
        <v>2.64</v>
      </c>
      <c r="E22" s="29" t="n">
        <v>2.571</v>
      </c>
      <c r="F22" s="30">
        <f>(1-ABS(D22-E22)/D22)*100</f>
        <v/>
      </c>
      <c r="G22" s="29" t="n">
        <v>0.163</v>
      </c>
      <c r="H22" s="29" t="n">
        <v>0.165</v>
      </c>
      <c r="I22" s="30">
        <f>(1-ABS(G22-H22)/G22)*100</f>
        <v/>
      </c>
      <c r="J22" s="28" t="n">
        <v>1.04</v>
      </c>
      <c r="K22" s="29" t="n">
        <v>1.06</v>
      </c>
      <c r="L22" s="30">
        <f>(1-ABS(J22-K22)/J22)*100</f>
        <v/>
      </c>
      <c r="M22" s="28" t="n">
        <v>0.36</v>
      </c>
      <c r="N22" s="29" t="n">
        <v>0.287</v>
      </c>
      <c r="O22" s="30">
        <f>(1-ABS(M22-N22)/M22)*100</f>
        <v/>
      </c>
      <c r="P22" s="31" t="n"/>
      <c r="Q22" s="32" t="n">
        <v>0.637</v>
      </c>
      <c r="R22" s="28" t="n"/>
      <c r="S22" s="33" t="n">
        <v>15</v>
      </c>
      <c r="T22" s="31" t="n">
        <v>13.71</v>
      </c>
      <c r="U22" s="30">
        <f>(1-ABS(S22-T22)/S22)*100</f>
        <v/>
      </c>
    </row>
    <row r="23">
      <c r="B23" s="26" t="inlineStr">
        <is>
          <t>12/F</t>
        </is>
      </c>
      <c r="C23" s="27" t="n">
        <v>3196</v>
      </c>
      <c r="D23" s="28" t="n">
        <v>2.73</v>
      </c>
      <c r="E23" s="29" t="n">
        <v>2.555</v>
      </c>
      <c r="F23" s="30">
        <f>(1-ABS(D23-E23)/D23)*100</f>
        <v/>
      </c>
      <c r="G23" s="29" t="n">
        <v>0.171</v>
      </c>
      <c r="H23" s="29" t="n">
        <v>0.166</v>
      </c>
      <c r="I23" s="30">
        <f>(1-ABS(G23-H23)/G23)*100</f>
        <v/>
      </c>
      <c r="J23" s="28" t="n">
        <v>1.02</v>
      </c>
      <c r="K23" s="29" t="n">
        <v>1.04</v>
      </c>
      <c r="L23" s="30">
        <f>(1-ABS(J23-K23)/J23)*100</f>
        <v/>
      </c>
      <c r="M23" s="28" t="n">
        <v>0.37</v>
      </c>
      <c r="N23" s="29" t="n">
        <v>0.276</v>
      </c>
      <c r="O23" s="30">
        <f>(1-ABS(M23-N23)/M23)*100</f>
        <v/>
      </c>
      <c r="P23" s="31" t="n"/>
      <c r="Q23" s="32" t="n">
        <v>0.645</v>
      </c>
      <c r="R23" s="28" t="n"/>
      <c r="S23" s="33" t="n">
        <v>18.1</v>
      </c>
      <c r="T23" s="31" t="n">
        <v>14.31</v>
      </c>
      <c r="U23" s="30">
        <f>(1-ABS(S23-T23)/S23)*100</f>
        <v/>
      </c>
    </row>
    <row r="24">
      <c r="B24" s="26" t="inlineStr">
        <is>
          <t>12/G</t>
        </is>
      </c>
      <c r="C24" s="27" t="n">
        <v>4495</v>
      </c>
      <c r="D24" s="28" t="n">
        <v>2.51</v>
      </c>
      <c r="E24" s="29" t="n">
        <v>2.509</v>
      </c>
      <c r="F24" s="30">
        <f>(1-ABS(D24-E24)/D24)*100</f>
        <v/>
      </c>
      <c r="G24" s="29" t="n">
        <v>0.162</v>
      </c>
      <c r="H24" s="29" t="n">
        <v>0.164</v>
      </c>
      <c r="I24" s="30">
        <f>(1-ABS(G24-H24)/G24)*100</f>
        <v/>
      </c>
      <c r="J24" s="28" t="n">
        <v>1.04</v>
      </c>
      <c r="K24" s="29" t="n">
        <v>1.02</v>
      </c>
      <c r="L24" s="30">
        <f>(1-ABS(J24-K24)/J24)*100</f>
        <v/>
      </c>
      <c r="M24" s="28" t="n">
        <v>0.38</v>
      </c>
      <c r="N24" s="29" t="n">
        <v>0.295</v>
      </c>
      <c r="O24" s="30">
        <f>(1-ABS(M24-N24)/M24)*100</f>
        <v/>
      </c>
      <c r="P24" s="31" t="n"/>
      <c r="Q24" s="32" t="n">
        <v>0.662</v>
      </c>
      <c r="R24" s="28" t="n"/>
      <c r="S24" s="33" t="n">
        <v>17.3</v>
      </c>
      <c r="T24" s="31" t="n">
        <v>12.4</v>
      </c>
      <c r="U24" s="30">
        <f>(1-ABS(S24-T24)/S24)*100</f>
        <v/>
      </c>
    </row>
    <row r="25">
      <c r="B25" s="26" t="inlineStr">
        <is>
          <t>12/H</t>
        </is>
      </c>
      <c r="C25" s="27" t="n">
        <v>3069</v>
      </c>
      <c r="D25" s="28" t="n">
        <v>2.73</v>
      </c>
      <c r="E25" s="29" t="n">
        <v>2.501</v>
      </c>
      <c r="F25" s="30">
        <f>(1-ABS(D25-E25)/D25)*100</f>
        <v/>
      </c>
      <c r="G25" s="29" t="n">
        <v>0.175</v>
      </c>
      <c r="H25" s="29" t="n">
        <v>0.163</v>
      </c>
      <c r="I25" s="30">
        <f>(1-ABS(G25-H25)/G25)*100</f>
        <v/>
      </c>
      <c r="J25" s="28" t="n">
        <v>1.02</v>
      </c>
      <c r="K25" s="29" t="n">
        <v>1.014</v>
      </c>
      <c r="L25" s="30">
        <f>(1-ABS(J25-K25)/J25)*100</f>
        <v/>
      </c>
      <c r="M25" s="28" t="n">
        <v>0.38</v>
      </c>
      <c r="N25" s="29" t="n">
        <v>0.305</v>
      </c>
      <c r="O25" s="30">
        <f>(1-ABS(M25-N25)/M25)*100</f>
        <v/>
      </c>
      <c r="P25" s="31" t="n"/>
      <c r="Q25" s="32" t="n">
        <v>0.664</v>
      </c>
      <c r="R25" s="28" t="n"/>
      <c r="S25" s="33" t="n">
        <v>18.1</v>
      </c>
      <c r="T25" s="31" t="n">
        <v>11.55</v>
      </c>
      <c r="U25" s="30">
        <f>(1-ABS(S25-T25)/S25)*100</f>
        <v/>
      </c>
    </row>
    <row r="26">
      <c r="B26" s="26" t="inlineStr">
        <is>
          <t>12/1</t>
        </is>
      </c>
      <c r="C26" s="27" t="n">
        <v>4143</v>
      </c>
      <c r="D26" s="28" t="n">
        <v>2.49</v>
      </c>
      <c r="E26" s="29" t="n">
        <v>2.556</v>
      </c>
      <c r="F26" s="30">
        <f>(1-ABS(D26-E26)/D26)*100</f>
        <v/>
      </c>
      <c r="G26" s="29" t="n">
        <v>0.165</v>
      </c>
      <c r="H26" s="29" t="n">
        <v>0.165</v>
      </c>
      <c r="I26" s="30">
        <f>(1-ABS(G26-H26)/G26)*100</f>
        <v/>
      </c>
      <c r="J26" s="28" t="n">
        <v>1.04</v>
      </c>
      <c r="K26" s="29" t="n">
        <v>1.055</v>
      </c>
      <c r="L26" s="30">
        <f>(1-ABS(J26-K26)/J26)*100</f>
        <v/>
      </c>
      <c r="M26" s="28" t="n">
        <v>0.34</v>
      </c>
      <c r="N26" s="29" t="n">
        <v>0.271</v>
      </c>
      <c r="O26" s="30">
        <f>(1-ABS(M26-N26)/M26)*100</f>
        <v/>
      </c>
      <c r="P26" s="31" t="n"/>
      <c r="Q26" s="32" t="n">
        <v>0.64</v>
      </c>
      <c r="R26" s="28" t="n"/>
      <c r="S26" s="33" t="n">
        <v>18.4</v>
      </c>
      <c r="T26" s="31" t="n">
        <v>13.91</v>
      </c>
      <c r="U26" s="30">
        <f>(1-ABS(S26-T26)/S26)*100</f>
        <v/>
      </c>
    </row>
    <row r="27" ht="35" customHeight="1">
      <c r="A27" s="35" t="inlineStr">
        <is>
          <t>AVG ACCURACY</t>
        </is>
      </c>
      <c r="F27" s="36">
        <f>AVERAGE(F7:F26)</f>
        <v/>
      </c>
      <c r="I27" s="36">
        <f>AVERAGE(I7:I26)</f>
        <v/>
      </c>
      <c r="L27" s="36">
        <f>AVERAGE(L7:L26)</f>
        <v/>
      </c>
      <c r="O27" s="37">
        <f>AVERAGE(O7:O26)</f>
        <v/>
      </c>
      <c r="R27" s="38" t="inlineStr">
        <is>
          <t>-</t>
        </is>
      </c>
      <c r="U27" s="36">
        <f>AVERAGE(U7:U26)</f>
        <v/>
      </c>
    </row>
    <row r="28" ht="40" customHeight="1">
      <c r="A28" s="39" t="inlineStr">
        <is>
          <t>Best result closer to 0</t>
        </is>
      </c>
      <c r="B28" s="26" t="inlineStr">
        <is>
          <t>R^2 (Coefficient of determination)</t>
        </is>
      </c>
      <c r="C28" s="40" t="n"/>
      <c r="D28" s="41">
        <f>RSQ(E7:E26, D7:D26)</f>
        <v/>
      </c>
      <c r="E28" s="42" t="n"/>
      <c r="F28" s="40" t="n"/>
      <c r="G28" s="41">
        <f>RSQ(H7:H26, G7:G26)</f>
        <v/>
      </c>
      <c r="H28" s="42" t="n"/>
      <c r="I28" s="40" t="n"/>
      <c r="J28" s="41">
        <f>RSQ(K7:K26, J7:J26)</f>
        <v/>
      </c>
      <c r="K28" s="42" t="n"/>
      <c r="L28" s="40" t="n"/>
      <c r="M28" s="41">
        <f>RSQ(N7:N26, M7:M26)</f>
        <v/>
      </c>
      <c r="N28" s="42" t="n"/>
      <c r="O28" s="40" t="n"/>
      <c r="P28" s="43" t="inlineStr">
        <is>
          <t>-</t>
        </is>
      </c>
      <c r="Q28" s="42" t="n"/>
      <c r="R28" s="40" t="n"/>
      <c r="S28" s="43">
        <f>RSQ(T7:T26, S7:S26)</f>
        <v/>
      </c>
      <c r="T28" s="42" t="n"/>
      <c r="U28" s="40" t="n"/>
    </row>
    <row r="29" ht="39" customHeight="1">
      <c r="A29" s="39" t="inlineStr">
        <is>
          <t>Best result closer to 1</t>
        </is>
      </c>
      <c r="B29" s="26" t="inlineStr">
        <is>
          <t>MAE (Average size of prediction errors)</t>
        </is>
      </c>
      <c r="C29" s="40" t="n"/>
      <c r="D29" s="41">
        <f>SUMPRODUCT(ABS(D7:D26-E7:E26))/COUNT(D7:D26)</f>
        <v/>
      </c>
      <c r="E29" s="42" t="n"/>
      <c r="F29" s="40" t="n"/>
      <c r="G29" s="41">
        <f>SUMPRODUCT(ABS(G7:G26-H7:H26))/COUNT(G7:G26)</f>
        <v/>
      </c>
      <c r="H29" s="42" t="n"/>
      <c r="I29" s="40" t="n"/>
      <c r="J29" s="41">
        <f>SUMPRODUCT(ABS(J7:J26-K7:K26))/COUNT(J7:J26)</f>
        <v/>
      </c>
      <c r="K29" s="42" t="n"/>
      <c r="L29" s="40" t="n"/>
      <c r="M29" s="41">
        <f>SUMPRODUCT(ABS(M7:M26-N7:N26))/COUNT(M7:M26)</f>
        <v/>
      </c>
      <c r="N29" s="42" t="n"/>
      <c r="O29" s="40" t="n"/>
      <c r="P29" s="43" t="inlineStr">
        <is>
          <t>-</t>
        </is>
      </c>
      <c r="Q29" s="42" t="n"/>
      <c r="R29" s="40" t="n"/>
      <c r="S29" s="43">
        <f>SUMPRODUCT(ABS(S7:S26-T7:T26))/COUNT(S7:S26)</f>
        <v/>
      </c>
      <c r="T29" s="42" t="n"/>
      <c r="U29" s="40" t="n"/>
    </row>
    <row r="30" ht="66" customHeight="1">
      <c r="A30" s="39" t="inlineStr">
        <is>
          <t>Best result closer to 1</t>
        </is>
      </c>
      <c r="B30" s="26" t="inlineStr">
        <is>
          <t>RMSE (Prediction error, with larger mistakes penalised more)</t>
        </is>
      </c>
      <c r="C30" s="40" t="n"/>
      <c r="D30" s="41">
        <f>SQRT(SUMXMY2(D7:D26, E7:E26)/COUNT(D7:D26))</f>
        <v/>
      </c>
      <c r="E30" s="42" t="n"/>
      <c r="F30" s="40" t="n"/>
      <c r="G30" s="41">
        <f>SQRT(SUMXMY2(G7:G26, H7:H26)/COUNT(G7:G26))</f>
        <v/>
      </c>
      <c r="H30" s="42" t="n"/>
      <c r="I30" s="40" t="n"/>
      <c r="J30" s="41">
        <f>SQRT(SUMXMY2(J7:J26, K7:K26)/COUNT(J7:J26))</f>
        <v/>
      </c>
      <c r="K30" s="42" t="n"/>
      <c r="L30" s="40" t="n"/>
      <c r="M30" s="41">
        <f>SQRT(SUMXMY2(M7:M26, N7:N26)/COUNT(M7:M26))</f>
        <v/>
      </c>
      <c r="N30" s="42" t="n"/>
      <c r="O30" s="40" t="n"/>
      <c r="P30" s="43" t="inlineStr">
        <is>
          <t>-</t>
        </is>
      </c>
      <c r="Q30" s="42" t="n"/>
      <c r="R30" s="40" t="n"/>
      <c r="S30" s="43">
        <f>SQRT(SUMXMY2(S7:S26, T7:T26)/COUNT(S7:S26))</f>
        <v/>
      </c>
      <c r="T30" s="42" t="n"/>
      <c r="U30" s="40" t="n"/>
    </row>
  </sheetData>
  <mergeCells count="31">
    <mergeCell ref="B4:O4"/>
    <mergeCell ref="G28:I28"/>
    <mergeCell ref="S28:U28"/>
    <mergeCell ref="G30:I30"/>
    <mergeCell ref="M30:O30"/>
    <mergeCell ref="M28:O28"/>
    <mergeCell ref="D28:F28"/>
    <mergeCell ref="G5:I5"/>
    <mergeCell ref="P28:R28"/>
    <mergeCell ref="S30:U30"/>
    <mergeCell ref="D30:F30"/>
    <mergeCell ref="G29:I29"/>
    <mergeCell ref="M29:O29"/>
    <mergeCell ref="S29:U29"/>
    <mergeCell ref="P30:R30"/>
    <mergeCell ref="S5:U5"/>
    <mergeCell ref="D29:F29"/>
    <mergeCell ref="B29:C29"/>
    <mergeCell ref="D5:F5"/>
    <mergeCell ref="P5:R5"/>
    <mergeCell ref="B28:C28"/>
    <mergeCell ref="B5:B6"/>
    <mergeCell ref="P4:U4"/>
    <mergeCell ref="J29:L29"/>
    <mergeCell ref="P29:R29"/>
    <mergeCell ref="J5:L5"/>
    <mergeCell ref="B30:C30"/>
    <mergeCell ref="J28:L28"/>
    <mergeCell ref="M5:O5"/>
    <mergeCell ref="J30:L30"/>
    <mergeCell ref="C5:C6"/>
  </mergeCells>
  <conditionalFormatting sqref="F7:F26 I7:I26 L7:L26 O7:O26 U7:U26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3" t="n"/>
      <c r="P4" s="14" t="inlineStr">
        <is>
          <t>On-going Research for Ca and B Models</t>
        </is>
      </c>
      <c r="Q4" s="15" t="n"/>
      <c r="R4" s="15" t="n"/>
      <c r="S4" s="15" t="n"/>
      <c r="T4" s="15" t="n"/>
      <c r="U4" s="16" t="n"/>
    </row>
    <row r="5" ht="34" customHeight="1">
      <c r="B5" s="17" t="inlineStr">
        <is>
          <t>Plot</t>
        </is>
      </c>
      <c r="C5" s="18" t="inlineStr">
        <is>
          <t>Pixels sampled</t>
        </is>
      </c>
      <c r="D5" s="19" t="inlineStr">
        <is>
          <t>N</t>
        </is>
      </c>
      <c r="E5" s="15" t="n"/>
      <c r="F5" s="16" t="n"/>
      <c r="G5" s="19" t="inlineStr">
        <is>
          <t>P (%)</t>
        </is>
      </c>
      <c r="H5" s="15" t="n"/>
      <c r="I5" s="16" t="n"/>
      <c r="J5" s="19" t="inlineStr">
        <is>
          <t>K (%)</t>
        </is>
      </c>
      <c r="K5" s="15" t="n"/>
      <c r="L5" s="16" t="n"/>
      <c r="M5" s="19" t="inlineStr">
        <is>
          <t>Mg (%)</t>
        </is>
      </c>
      <c r="N5" s="15" t="n"/>
      <c r="O5" s="16" t="n"/>
      <c r="P5" s="20" t="inlineStr">
        <is>
          <t>Ca (%)</t>
        </is>
      </c>
      <c r="Q5" s="15" t="n"/>
      <c r="R5" s="16" t="n"/>
      <c r="S5" s="20" t="inlineStr">
        <is>
          <t>B (%)</t>
        </is>
      </c>
      <c r="T5" s="15" t="n"/>
      <c r="U5" s="16" t="n"/>
    </row>
    <row r="6" ht="34" customHeight="1">
      <c r="B6" s="21" t="n"/>
      <c r="C6" s="22" t="n"/>
      <c r="D6" s="23" t="inlineStr">
        <is>
          <t>Lab Actual (%)</t>
        </is>
      </c>
      <c r="E6" s="24" t="inlineStr">
        <is>
          <t>Prediction (%)</t>
        </is>
      </c>
      <c r="F6" s="25" t="inlineStr">
        <is>
          <t>Accuracy (%)</t>
        </is>
      </c>
      <c r="G6" s="23" t="inlineStr">
        <is>
          <t>Lab Actual (%)</t>
        </is>
      </c>
      <c r="H6" s="24" t="inlineStr">
        <is>
          <t>Prediction (%)</t>
        </is>
      </c>
      <c r="I6" s="25" t="inlineStr">
        <is>
          <t>Accuracy (%)</t>
        </is>
      </c>
      <c r="J6" s="23" t="inlineStr">
        <is>
          <t>Lab Actual (%)</t>
        </is>
      </c>
      <c r="K6" s="24" t="inlineStr">
        <is>
          <t>Prediction (%)</t>
        </is>
      </c>
      <c r="L6" s="25" t="inlineStr">
        <is>
          <t>Accuracy (%)</t>
        </is>
      </c>
      <c r="M6" s="23" t="inlineStr">
        <is>
          <t>Lab Actual (%)</t>
        </is>
      </c>
      <c r="N6" s="24" t="inlineStr">
        <is>
          <t>Prediction (%)</t>
        </is>
      </c>
      <c r="O6" s="25" t="inlineStr">
        <is>
          <t>Accuracy (%)</t>
        </is>
      </c>
      <c r="P6" s="14" t="inlineStr">
        <is>
          <t>Lab Actual (%)</t>
        </is>
      </c>
      <c r="Q6" s="14" t="inlineStr">
        <is>
          <t>Prediction (%)</t>
        </is>
      </c>
      <c r="R6" s="25" t="inlineStr">
        <is>
          <t>Accuracy (%)</t>
        </is>
      </c>
      <c r="S6" s="14" t="inlineStr">
        <is>
          <t>Lab Actual (%)</t>
        </is>
      </c>
      <c r="T6" s="14" t="inlineStr">
        <is>
          <t>Prediction (%)</t>
        </is>
      </c>
      <c r="U6" s="25" t="inlineStr">
        <is>
          <t>Accuracy (%)</t>
        </is>
      </c>
    </row>
    <row r="7">
      <c r="B7" s="26" t="inlineStr">
        <is>
          <t>06/01</t>
        </is>
      </c>
      <c r="C7" s="27" t="n">
        <v>2710</v>
      </c>
      <c r="D7" s="28" t="n">
        <v>2.81</v>
      </c>
      <c r="E7" s="29" t="n">
        <v>2.535</v>
      </c>
      <c r="F7" s="30">
        <f>(1-ABS(D7-E7)/D7)*100</f>
        <v/>
      </c>
      <c r="G7" s="29" t="n">
        <v>0.171</v>
      </c>
      <c r="H7" s="29" t="n">
        <v>0.162</v>
      </c>
      <c r="I7" s="30">
        <f>(1-ABS(G7-H7)/G7)*100</f>
        <v/>
      </c>
      <c r="J7" s="28" t="n">
        <v>1.06</v>
      </c>
      <c r="K7" s="29" t="n">
        <v>1.063</v>
      </c>
      <c r="L7" s="30">
        <f>(1-ABS(J7-K7)/J7)*100</f>
        <v/>
      </c>
      <c r="M7" s="28" t="n">
        <v>0.43</v>
      </c>
      <c r="N7" s="29" t="n">
        <v>0.237</v>
      </c>
      <c r="O7" s="30">
        <f>(1-ABS(M7-N7)/M7)*100</f>
        <v/>
      </c>
      <c r="P7" s="31" t="n"/>
      <c r="Q7" s="32" t="n">
        <v>0.624</v>
      </c>
      <c r="R7" s="28" t="n"/>
      <c r="S7" s="33" t="n">
        <v>17.7</v>
      </c>
      <c r="T7" s="31" t="n">
        <v>14.26</v>
      </c>
      <c r="U7" s="30">
        <f>(1-ABS(S7-T7)/S7)*100</f>
        <v/>
      </c>
    </row>
    <row r="8">
      <c r="B8" s="26" t="inlineStr">
        <is>
          <t>07/01</t>
        </is>
      </c>
      <c r="C8" s="27" t="n">
        <v>6029</v>
      </c>
      <c r="D8" s="28" t="n">
        <v>2.68</v>
      </c>
      <c r="E8" s="29" t="n">
        <v>2.543</v>
      </c>
      <c r="F8" s="30">
        <f>(1-ABS(D8-E8)/D8)*100</f>
        <v/>
      </c>
      <c r="G8" s="29" t="n">
        <v>0.16</v>
      </c>
      <c r="H8" s="29" t="n">
        <v>0.163</v>
      </c>
      <c r="I8" s="30">
        <f>(1-ABS(G8-H8)/G8)*100</f>
        <v/>
      </c>
      <c r="J8" s="28" t="n">
        <v>1.04</v>
      </c>
      <c r="K8" s="29" t="n">
        <v>1.062</v>
      </c>
      <c r="L8" s="30">
        <f>(1-ABS(J8-K8)/J8)*100</f>
        <v/>
      </c>
      <c r="M8" s="28" t="n">
        <v>0.38</v>
      </c>
      <c r="N8" s="29" t="n">
        <v>0.245</v>
      </c>
      <c r="O8" s="30">
        <f>(1-ABS(M8-N8)/M8)*100</f>
        <v/>
      </c>
      <c r="P8" s="31" t="n"/>
      <c r="Q8" s="32" t="n">
        <v>0.627</v>
      </c>
      <c r="R8" s="28" t="n"/>
      <c r="S8" s="33" t="n">
        <v>15.8</v>
      </c>
      <c r="T8" s="31" t="n">
        <v>14.3</v>
      </c>
      <c r="U8" s="30">
        <f>(1-ABS(S8-T8)/S8)*100</f>
        <v/>
      </c>
    </row>
    <row r="9">
      <c r="B9" s="26" t="inlineStr">
        <is>
          <t>07/02</t>
        </is>
      </c>
      <c r="C9" s="27" t="n">
        <v>5060</v>
      </c>
      <c r="D9" s="28" t="n">
        <v>2.96</v>
      </c>
      <c r="E9" s="29" t="n">
        <v>2.539</v>
      </c>
      <c r="F9" s="30">
        <f>(1-ABS(D9-E9)/D9)*100</f>
        <v/>
      </c>
      <c r="G9" s="29" t="n">
        <v>0.174</v>
      </c>
      <c r="H9" s="29" t="n">
        <v>0.163</v>
      </c>
      <c r="I9" s="30">
        <f>(1-ABS(G9-H9)/G9)*100</f>
        <v/>
      </c>
      <c r="J9" s="28" t="n">
        <v>1.17</v>
      </c>
      <c r="K9" s="29" t="n">
        <v>1.058</v>
      </c>
      <c r="L9" s="30">
        <f>(1-ABS(J9-K9)/J9)*100</f>
        <v/>
      </c>
      <c r="M9" s="28" t="n">
        <v>0.37</v>
      </c>
      <c r="N9" s="29" t="n">
        <v>0.243</v>
      </c>
      <c r="O9" s="30">
        <f>(1-ABS(M9-N9)/M9)*100</f>
        <v/>
      </c>
      <c r="P9" s="31" t="n"/>
      <c r="Q9" s="32" t="n">
        <v>0.626</v>
      </c>
      <c r="R9" s="28" t="n"/>
      <c r="S9" s="33" t="n">
        <v>18.9</v>
      </c>
      <c r="T9" s="31" t="n">
        <v>14.24</v>
      </c>
      <c r="U9" s="30">
        <f>(1-ABS(S9-T9)/S9)*100</f>
        <v/>
      </c>
    </row>
    <row r="10">
      <c r="B10" s="26" t="inlineStr">
        <is>
          <t>07/06A</t>
        </is>
      </c>
      <c r="C10" s="27" t="n">
        <v>8597</v>
      </c>
      <c r="D10" s="28" t="n">
        <v>2.81</v>
      </c>
      <c r="E10" s="29" t="n">
        <v>2.522</v>
      </c>
      <c r="F10" s="30">
        <f>(1-ABS(D10-E10)/D10)*100</f>
        <v/>
      </c>
      <c r="G10" s="29" t="n">
        <v>0.177</v>
      </c>
      <c r="H10" s="29" t="n">
        <v>0.162</v>
      </c>
      <c r="I10" s="30">
        <f>(1-ABS(G10-H10)/G10)*100</f>
        <v/>
      </c>
      <c r="J10" s="28" t="n">
        <v>1.16</v>
      </c>
      <c r="K10" s="29" t="n">
        <v>1.047</v>
      </c>
      <c r="L10" s="30">
        <f>(1-ABS(J10-K10)/J10)*100</f>
        <v/>
      </c>
      <c r="M10" s="28" t="n">
        <v>0.4</v>
      </c>
      <c r="N10" s="29" t="n">
        <v>0.246</v>
      </c>
      <c r="O10" s="30">
        <f>(1-ABS(M10-N10)/M10)*100</f>
        <v/>
      </c>
      <c r="P10" s="31" t="n"/>
      <c r="Q10" s="32" t="n">
        <v>0.623</v>
      </c>
      <c r="R10" s="28" t="n"/>
      <c r="S10" s="33" t="n">
        <v>16.4</v>
      </c>
      <c r="T10" s="31" t="n">
        <v>14.01</v>
      </c>
      <c r="U10" s="30">
        <f>(1-ABS(S10-T10)/S10)*100</f>
        <v/>
      </c>
    </row>
    <row r="11">
      <c r="B11" s="26" t="inlineStr">
        <is>
          <t>07/07A</t>
        </is>
      </c>
      <c r="C11" s="27" t="n">
        <v>4761</v>
      </c>
      <c r="D11" s="28" t="n">
        <v>2.62</v>
      </c>
      <c r="E11" s="29" t="n">
        <v>2.529</v>
      </c>
      <c r="F11" s="30">
        <f>(1-ABS(D11-E11)/D11)*100</f>
        <v/>
      </c>
      <c r="G11" s="29" t="n">
        <v>0.159</v>
      </c>
      <c r="H11" s="29" t="n">
        <v>0.163</v>
      </c>
      <c r="I11" s="30">
        <f>(1-ABS(G11-H11)/G11)*100</f>
        <v/>
      </c>
      <c r="J11" s="28" t="n">
        <v>1.03</v>
      </c>
      <c r="K11" s="29" t="n">
        <v>1.05</v>
      </c>
      <c r="L11" s="30">
        <f>(1-ABS(J11-K11)/J11)*100</f>
        <v/>
      </c>
      <c r="M11" s="28" t="n">
        <v>0.39</v>
      </c>
      <c r="N11" s="29" t="n">
        <v>0.255</v>
      </c>
      <c r="O11" s="30">
        <f>(1-ABS(M11-N11)/M11)*100</f>
        <v/>
      </c>
      <c r="P11" s="31" t="n"/>
      <c r="Q11" s="32" t="n">
        <v>0.631</v>
      </c>
      <c r="R11" s="28" t="n"/>
      <c r="S11" s="33" t="n">
        <v>14.6</v>
      </c>
      <c r="T11" s="31" t="n">
        <v>13.52</v>
      </c>
      <c r="U11" s="30">
        <f>(1-ABS(S11-T11)/S11)*100</f>
        <v/>
      </c>
    </row>
    <row r="12">
      <c r="B12" s="26" t="inlineStr">
        <is>
          <t>07/08</t>
        </is>
      </c>
      <c r="C12" s="27" t="n">
        <v>6136</v>
      </c>
      <c r="D12" s="28" t="n">
        <v>2.81</v>
      </c>
      <c r="E12" s="29" t="n">
        <v>2.552</v>
      </c>
      <c r="F12" s="30">
        <f>(1-ABS(D12-E12)/D12)*100</f>
        <v/>
      </c>
      <c r="G12" s="29" t="n">
        <v>0.173</v>
      </c>
      <c r="H12" s="29" t="n">
        <v>0.165</v>
      </c>
      <c r="I12" s="30">
        <f>(1-ABS(G12-H12)/G12)*100</f>
        <v/>
      </c>
      <c r="J12" s="28" t="n">
        <v>1.13</v>
      </c>
      <c r="K12" s="29" t="n">
        <v>1.043</v>
      </c>
      <c r="L12" s="30">
        <f>(1-ABS(J12-K12)/J12)*100</f>
        <v/>
      </c>
      <c r="M12" s="28" t="n">
        <v>0.37</v>
      </c>
      <c r="N12" s="29" t="n">
        <v>0.275</v>
      </c>
      <c r="O12" s="30">
        <f>(1-ABS(M12-N12)/M12)*100</f>
        <v/>
      </c>
      <c r="P12" s="31" t="n"/>
      <c r="Q12" s="32" t="n">
        <v>0.641</v>
      </c>
      <c r="R12" s="28" t="n"/>
      <c r="S12" s="33" t="n">
        <v>15.6</v>
      </c>
      <c r="T12" s="31" t="n">
        <v>14.05</v>
      </c>
      <c r="U12" s="30">
        <f>(1-ABS(S12-T12)/S12)*100</f>
        <v/>
      </c>
    </row>
    <row r="13">
      <c r="B13" s="26" t="inlineStr">
        <is>
          <t>07/09A</t>
        </is>
      </c>
      <c r="C13" s="27" t="n">
        <v>8467</v>
      </c>
      <c r="D13" s="28" t="n">
        <v>2.71</v>
      </c>
      <c r="E13" s="29" t="n">
        <v>2.503</v>
      </c>
      <c r="F13" s="30">
        <f>(1-ABS(D13-E13)/D13)*100</f>
        <v/>
      </c>
      <c r="G13" s="29" t="n">
        <v>0.174</v>
      </c>
      <c r="H13" s="29" t="n">
        <v>0.163</v>
      </c>
      <c r="I13" s="30">
        <f>(1-ABS(G13-H13)/G13)*100</f>
        <v/>
      </c>
      <c r="J13" s="28" t="n">
        <v>1.06</v>
      </c>
      <c r="K13" s="29" t="n">
        <v>1.012</v>
      </c>
      <c r="L13" s="30">
        <f>(1-ABS(J13-K13)/J13)*100</f>
        <v/>
      </c>
      <c r="M13" s="28" t="n">
        <v>0.37</v>
      </c>
      <c r="N13" s="29" t="n">
        <v>0.277</v>
      </c>
      <c r="O13" s="30">
        <f>(1-ABS(M13-N13)/M13)*100</f>
        <v/>
      </c>
      <c r="P13" s="31" t="n"/>
      <c r="Q13" s="32" t="n">
        <v>0.641</v>
      </c>
      <c r="R13" s="28" t="n"/>
      <c r="S13" s="33" t="n">
        <v>18.6</v>
      </c>
      <c r="T13" s="31" t="n">
        <v>13.47</v>
      </c>
      <c r="U13" s="30">
        <f>(1-ABS(S13-T13)/S13)*100</f>
        <v/>
      </c>
    </row>
    <row r="14">
      <c r="B14" s="26" t="inlineStr">
        <is>
          <t>09/13</t>
        </is>
      </c>
      <c r="C14" s="27" t="n">
        <v>4273</v>
      </c>
      <c r="D14" s="28" t="n">
        <v>2.98</v>
      </c>
      <c r="E14" s="29" t="n">
        <v>2.517</v>
      </c>
      <c r="F14" s="30">
        <f>(1-ABS(D14-E14)/D14)*100</f>
        <v/>
      </c>
      <c r="G14" s="29" t="n">
        <v>0.175</v>
      </c>
      <c r="H14" s="29" t="n">
        <v>0.164</v>
      </c>
      <c r="I14" s="30">
        <f>(1-ABS(G14-H14)/G14)*100</f>
        <v/>
      </c>
      <c r="J14" s="28" t="n">
        <v>1.17</v>
      </c>
      <c r="K14" s="29" t="n">
        <v>1.02</v>
      </c>
      <c r="L14" s="30">
        <f>(1-ABS(J14-K14)/J14)*100</f>
        <v/>
      </c>
      <c r="M14" s="28" t="n">
        <v>0.36</v>
      </c>
      <c r="N14" s="29" t="n">
        <v>0.286</v>
      </c>
      <c r="O14" s="30">
        <f>(1-ABS(M14-N14)/M14)*100</f>
        <v/>
      </c>
      <c r="P14" s="31" t="n"/>
      <c r="Q14" s="32" t="n">
        <v>0.652</v>
      </c>
      <c r="R14" s="28" t="n"/>
      <c r="S14" s="33" t="n">
        <v>14.6</v>
      </c>
      <c r="T14" s="31" t="n">
        <v>13.03</v>
      </c>
      <c r="U14" s="30">
        <f>(1-ABS(S14-T14)/S14)*100</f>
        <v/>
      </c>
    </row>
    <row r="15">
      <c r="B15" s="26" t="inlineStr">
        <is>
          <t>09/14</t>
        </is>
      </c>
      <c r="C15" s="27" t="n">
        <v>3983</v>
      </c>
      <c r="D15" s="28" t="n">
        <v>2.93</v>
      </c>
      <c r="E15" s="29" t="n">
        <v>2.487</v>
      </c>
      <c r="F15" s="30">
        <f>(1-ABS(D15-E15)/D15)*100</f>
        <v/>
      </c>
      <c r="G15" s="29" t="n">
        <v>0.174</v>
      </c>
      <c r="H15" s="29" t="n">
        <v>0.162</v>
      </c>
      <c r="I15" s="30">
        <f>(1-ABS(G15-H15)/G15)*100</f>
        <v/>
      </c>
      <c r="J15" s="28" t="n">
        <v>1.2</v>
      </c>
      <c r="K15" s="29" t="n">
        <v>1.002</v>
      </c>
      <c r="L15" s="30">
        <f>(1-ABS(J15-K15)/J15)*100</f>
        <v/>
      </c>
      <c r="M15" s="28" t="n">
        <v>0.41</v>
      </c>
      <c r="N15" s="29" t="n">
        <v>0.288</v>
      </c>
      <c r="O15" s="30">
        <f>(1-ABS(M15-N15)/M15)*100</f>
        <v/>
      </c>
      <c r="P15" s="31" t="n"/>
      <c r="Q15" s="32" t="n">
        <v>0.646</v>
      </c>
      <c r="R15" s="28" t="n"/>
      <c r="S15" s="33" t="n">
        <v>17.6</v>
      </c>
      <c r="T15" s="31" t="n">
        <v>12.91</v>
      </c>
      <c r="U15" s="30">
        <f>(1-ABS(S15-T15)/S15)*100</f>
        <v/>
      </c>
    </row>
    <row r="16">
      <c r="B16" s="26" t="inlineStr">
        <is>
          <t>09/15</t>
        </is>
      </c>
      <c r="C16" s="27" t="n">
        <v>3433</v>
      </c>
      <c r="D16" s="28" t="n">
        <v>2.88</v>
      </c>
      <c r="E16" s="29" t="n">
        <v>2.532</v>
      </c>
      <c r="F16" s="30">
        <f>(1-ABS(D16-E16)/D16)*100</f>
        <v/>
      </c>
      <c r="G16" s="29" t="n">
        <v>0.181</v>
      </c>
      <c r="H16" s="29" t="n">
        <v>0.164</v>
      </c>
      <c r="I16" s="30">
        <f>(1-ABS(G16-H16)/G16)*100</f>
        <v/>
      </c>
      <c r="J16" s="28" t="n">
        <v>1.14</v>
      </c>
      <c r="K16" s="29" t="n">
        <v>1.022</v>
      </c>
      <c r="L16" s="30">
        <f>(1-ABS(J16-K16)/J16)*100</f>
        <v/>
      </c>
      <c r="M16" s="28" t="n">
        <v>0.38</v>
      </c>
      <c r="N16" s="29" t="n">
        <v>0.276</v>
      </c>
      <c r="O16" s="30">
        <f>(1-ABS(M16-N16)/M16)*100</f>
        <v/>
      </c>
      <c r="P16" s="31" t="n"/>
      <c r="Q16" s="32" t="n">
        <v>0.642</v>
      </c>
      <c r="R16" s="28" t="n"/>
      <c r="S16" s="33" t="n">
        <v>14.7</v>
      </c>
      <c r="T16" s="31" t="n">
        <v>13.96</v>
      </c>
      <c r="U16" s="30">
        <f>(1-ABS(S16-T16)/S16)*100</f>
        <v/>
      </c>
    </row>
    <row r="17" ht="40" customHeight="1">
      <c r="A17" s="34" t="inlineStr">
        <is>
          <t>Best result closer to 1</t>
        </is>
      </c>
      <c r="B17" s="26" t="inlineStr">
        <is>
          <t>09/16</t>
        </is>
      </c>
      <c r="C17" s="27" t="n">
        <v>3106</v>
      </c>
      <c r="D17" s="28" t="n">
        <v>2.82</v>
      </c>
      <c r="E17" s="29" t="n">
        <v>2.517</v>
      </c>
      <c r="F17" s="30">
        <f>(1-ABS(D17-E17)/D17)*100</f>
        <v/>
      </c>
      <c r="G17" s="29" t="n">
        <v>0.172</v>
      </c>
      <c r="H17" s="29" t="n">
        <v>0.164</v>
      </c>
      <c r="I17" s="30">
        <f>(1-ABS(G17-H17)/G17)*100</f>
        <v/>
      </c>
      <c r="J17" s="28" t="n">
        <v>1.04</v>
      </c>
      <c r="K17" s="29" t="n">
        <v>1.008</v>
      </c>
      <c r="L17" s="30">
        <f>(1-ABS(J17-K17)/J17)*100</f>
        <v/>
      </c>
      <c r="M17" s="28" t="n">
        <v>0.43</v>
      </c>
      <c r="N17" s="29" t="n">
        <v>0.268</v>
      </c>
      <c r="O17" s="30">
        <f>(1-ABS(M17-N17)/M17)*100</f>
        <v/>
      </c>
      <c r="P17" s="31" t="n"/>
      <c r="Q17" s="32" t="n">
        <v>0.638</v>
      </c>
      <c r="R17" s="28" t="n"/>
      <c r="S17" s="33" t="n">
        <v>17.4</v>
      </c>
      <c r="T17" s="31" t="n">
        <v>14.22</v>
      </c>
      <c r="U17" s="30">
        <f>(1-ABS(S17-T17)/S17)*100</f>
        <v/>
      </c>
    </row>
    <row r="18" ht="39" customHeight="1">
      <c r="A18" s="34" t="inlineStr">
        <is>
          <t>Best result closer to 0</t>
        </is>
      </c>
      <c r="B18" s="26" t="inlineStr">
        <is>
          <t>11/12</t>
        </is>
      </c>
      <c r="C18" s="27" t="n">
        <v>6031</v>
      </c>
      <c r="D18" s="28" t="n">
        <v>2.99</v>
      </c>
      <c r="E18" s="29" t="n">
        <v>2.537</v>
      </c>
      <c r="F18" s="30">
        <f>(1-ABS(D18-E18)/D18)*100</f>
        <v/>
      </c>
      <c r="G18" s="29" t="n">
        <v>0.182</v>
      </c>
      <c r="H18" s="29" t="n">
        <v>0.165</v>
      </c>
      <c r="I18" s="30">
        <f>(1-ABS(G18-H18)/G18)*100</f>
        <v/>
      </c>
      <c r="J18" s="28" t="n">
        <v>1.22</v>
      </c>
      <c r="K18" s="29" t="n">
        <v>1.022</v>
      </c>
      <c r="L18" s="30">
        <f>(1-ABS(J18-K18)/J18)*100</f>
        <v/>
      </c>
      <c r="M18" s="28" t="n">
        <v>0.36</v>
      </c>
      <c r="N18" s="29" t="n">
        <v>0.265</v>
      </c>
      <c r="O18" s="30">
        <f>(1-ABS(M18-N18)/M18)*100</f>
        <v/>
      </c>
      <c r="P18" s="31" t="n"/>
      <c r="Q18" s="32" t="n">
        <v>0.643</v>
      </c>
      <c r="R18" s="28" t="n"/>
      <c r="S18" s="33" t="n">
        <v>16.3</v>
      </c>
      <c r="T18" s="31" t="n">
        <v>14.22</v>
      </c>
      <c r="U18" s="30">
        <f>(1-ABS(S18-T18)/S18)*100</f>
        <v/>
      </c>
    </row>
    <row r="19" ht="66" customHeight="1">
      <c r="A19" s="34" t="inlineStr">
        <is>
          <t>Best result closer to 1</t>
        </is>
      </c>
      <c r="B19" s="26" t="inlineStr">
        <is>
          <t>11/13</t>
        </is>
      </c>
      <c r="C19" s="27" t="n">
        <v>5319</v>
      </c>
      <c r="D19" s="28" t="n">
        <v>2.83</v>
      </c>
      <c r="E19" s="29" t="n">
        <v>2.554</v>
      </c>
      <c r="F19" s="30">
        <f>(1-ABS(D19-E19)/D19)*100</f>
        <v/>
      </c>
      <c r="G19" s="29" t="n">
        <v>0.181</v>
      </c>
      <c r="H19" s="29" t="n">
        <v>0.164</v>
      </c>
      <c r="I19" s="30">
        <f>(1-ABS(G19-H19)/G19)*100</f>
        <v/>
      </c>
      <c r="J19" s="28" t="n">
        <v>1.13</v>
      </c>
      <c r="K19" s="29" t="n">
        <v>1.051</v>
      </c>
      <c r="L19" s="30">
        <f>(1-ABS(J19-K19)/J19)*100</f>
        <v/>
      </c>
      <c r="M19" s="28" t="n">
        <v>0.39</v>
      </c>
      <c r="N19" s="29" t="n">
        <v>0.272</v>
      </c>
      <c r="O19" s="30">
        <f>(1-ABS(M19-N19)/M19)*100</f>
        <v/>
      </c>
      <c r="P19" s="31" t="n"/>
      <c r="Q19" s="32" t="n">
        <v>0.635</v>
      </c>
      <c r="R19" s="28" t="n"/>
      <c r="S19" s="33" t="n">
        <v>16.5</v>
      </c>
      <c r="T19" s="31" t="n">
        <v>14.07</v>
      </c>
      <c r="U19" s="30">
        <f>(1-ABS(S19-T19)/S19)*100</f>
        <v/>
      </c>
    </row>
    <row r="20">
      <c r="B20" s="26" t="inlineStr">
        <is>
          <t>11/14</t>
        </is>
      </c>
      <c r="C20" s="27" t="n">
        <v>5232</v>
      </c>
      <c r="D20" s="28" t="n">
        <v>2.75</v>
      </c>
      <c r="E20" s="29" t="n">
        <v>2.548</v>
      </c>
      <c r="F20" s="30">
        <f>(1-ABS(D20-E20)/D20)*100</f>
        <v/>
      </c>
      <c r="G20" s="29" t="n">
        <v>0.17</v>
      </c>
      <c r="H20" s="29" t="n">
        <v>0.164</v>
      </c>
      <c r="I20" s="30">
        <f>(1-ABS(G20-H20)/G20)*100</f>
        <v/>
      </c>
      <c r="J20" s="28" t="n">
        <v>1.11</v>
      </c>
      <c r="K20" s="29" t="n">
        <v>1.053</v>
      </c>
      <c r="L20" s="30">
        <f>(1-ABS(J20-K20)/J20)*100</f>
        <v/>
      </c>
      <c r="M20" s="28" t="n">
        <v>0.38</v>
      </c>
      <c r="N20" s="29" t="n">
        <v>0.257</v>
      </c>
      <c r="O20" s="30">
        <f>(1-ABS(M20-N20)/M20)*100</f>
        <v/>
      </c>
      <c r="P20" s="31" t="n"/>
      <c r="Q20" s="32" t="n">
        <v>0.633</v>
      </c>
      <c r="R20" s="28" t="n"/>
      <c r="S20" s="33" t="n">
        <v>15.1</v>
      </c>
      <c r="T20" s="31" t="n">
        <v>14.23</v>
      </c>
      <c r="U20" s="30">
        <f>(1-ABS(S20-T20)/S20)*100</f>
        <v/>
      </c>
    </row>
    <row r="21">
      <c r="B21" s="26" t="inlineStr">
        <is>
          <t>11/15</t>
        </is>
      </c>
      <c r="C21" s="27" t="n">
        <v>2638</v>
      </c>
      <c r="D21" s="28" t="n">
        <v>2.74</v>
      </c>
      <c r="E21" s="29" t="n">
        <v>2.549</v>
      </c>
      <c r="F21" s="30">
        <f>(1-ABS(D21-E21)/D21)*100</f>
        <v/>
      </c>
      <c r="G21" s="29" t="n">
        <v>0.176</v>
      </c>
      <c r="H21" s="29" t="n">
        <v>0.165</v>
      </c>
      <c r="I21" s="30">
        <f>(1-ABS(G21-H21)/G21)*100</f>
        <v/>
      </c>
      <c r="J21" s="28" t="n">
        <v>1.14</v>
      </c>
      <c r="K21" s="29" t="n">
        <v>1.05</v>
      </c>
      <c r="L21" s="30">
        <f>(1-ABS(J21-K21)/J21)*100</f>
        <v/>
      </c>
      <c r="M21" s="28" t="n">
        <v>0.37</v>
      </c>
      <c r="N21" s="29" t="n">
        <v>0.27</v>
      </c>
      <c r="O21" s="30">
        <f>(1-ABS(M21-N21)/M21)*100</f>
        <v/>
      </c>
      <c r="P21" s="31" t="n"/>
      <c r="Q21" s="32" t="n">
        <v>0.645</v>
      </c>
      <c r="R21" s="28" t="n"/>
      <c r="S21" s="33" t="n">
        <v>15.3</v>
      </c>
      <c r="T21" s="31" t="n">
        <v>13.75</v>
      </c>
      <c r="U21" s="30">
        <f>(1-ABS(S21-T21)/S21)*100</f>
        <v/>
      </c>
    </row>
    <row r="22">
      <c r="B22" s="26" t="inlineStr">
        <is>
          <t>11/16</t>
        </is>
      </c>
      <c r="C22" s="27" t="n">
        <v>6510</v>
      </c>
      <c r="D22" s="28" t="n">
        <v>2.86</v>
      </c>
      <c r="E22" s="29" t="n">
        <v>2.546</v>
      </c>
      <c r="F22" s="30">
        <f>(1-ABS(D22-E22)/D22)*100</f>
        <v/>
      </c>
      <c r="G22" s="29" t="n">
        <v>0.179</v>
      </c>
      <c r="H22" s="29" t="n">
        <v>0.164</v>
      </c>
      <c r="I22" s="30">
        <f>(1-ABS(G22-H22)/G22)*100</f>
        <v/>
      </c>
      <c r="J22" s="28" t="n">
        <v>1.17</v>
      </c>
      <c r="K22" s="29" t="n">
        <v>1.038</v>
      </c>
      <c r="L22" s="30">
        <f>(1-ABS(J22-K22)/J22)*100</f>
        <v/>
      </c>
      <c r="M22" s="28" t="n">
        <v>0.42</v>
      </c>
      <c r="N22" s="29" t="n">
        <v>0.273</v>
      </c>
      <c r="O22" s="30">
        <f>(1-ABS(M22-N22)/M22)*100</f>
        <v/>
      </c>
      <c r="P22" s="31" t="n"/>
      <c r="Q22" s="32" t="n">
        <v>0.643</v>
      </c>
      <c r="R22" s="28" t="n"/>
      <c r="S22" s="33" t="n">
        <v>16.2</v>
      </c>
      <c r="T22" s="31" t="n">
        <v>13.91</v>
      </c>
      <c r="U22" s="30">
        <f>(1-ABS(S22-T22)/S22)*100</f>
        <v/>
      </c>
    </row>
    <row r="23">
      <c r="B23" s="26" t="inlineStr">
        <is>
          <t>11/17</t>
        </is>
      </c>
      <c r="C23" s="27" t="n">
        <v>5009</v>
      </c>
      <c r="D23" s="28" t="n">
        <v>2.56</v>
      </c>
      <c r="E23" s="29" t="n">
        <v>2.542</v>
      </c>
      <c r="F23" s="30">
        <f>(1-ABS(D23-E23)/D23)*100</f>
        <v/>
      </c>
      <c r="G23" s="29" t="n">
        <v>0.161</v>
      </c>
      <c r="H23" s="29" t="n">
        <v>0.163</v>
      </c>
      <c r="I23" s="30">
        <f>(1-ABS(G23-H23)/G23)*100</f>
        <v/>
      </c>
      <c r="J23" s="28" t="n">
        <v>1.05</v>
      </c>
      <c r="K23" s="29" t="n">
        <v>1.056</v>
      </c>
      <c r="L23" s="30">
        <f>(1-ABS(J23-K23)/J23)*100</f>
        <v/>
      </c>
      <c r="M23" s="28" t="n">
        <v>0.39</v>
      </c>
      <c r="N23" s="29" t="n">
        <v>0.246</v>
      </c>
      <c r="O23" s="30">
        <f>(1-ABS(M23-N23)/M23)*100</f>
        <v/>
      </c>
      <c r="P23" s="31" t="n"/>
      <c r="Q23" s="32" t="n">
        <v>0.631</v>
      </c>
      <c r="R23" s="28" t="n"/>
      <c r="S23" s="33" t="n">
        <v>15.1</v>
      </c>
      <c r="T23" s="31" t="n">
        <v>14.25</v>
      </c>
      <c r="U23" s="30">
        <f>(1-ABS(S23-T23)/S23)*100</f>
        <v/>
      </c>
    </row>
    <row r="24">
      <c r="B24" s="26" t="inlineStr">
        <is>
          <t>11/18</t>
        </is>
      </c>
      <c r="C24" s="27" t="n">
        <v>3457</v>
      </c>
      <c r="D24" s="28" t="n">
        <v>2.97</v>
      </c>
      <c r="E24" s="29" t="n">
        <v>2.541</v>
      </c>
      <c r="F24" s="30">
        <f>(1-ABS(D24-E24)/D24)*100</f>
        <v/>
      </c>
      <c r="G24" s="29" t="n">
        <v>0.18</v>
      </c>
      <c r="H24" s="29" t="n">
        <v>0.164</v>
      </c>
      <c r="I24" s="30">
        <f>(1-ABS(G24-H24)/G24)*100</f>
        <v/>
      </c>
      <c r="J24" s="28" t="n">
        <v>1.19</v>
      </c>
      <c r="K24" s="29" t="n">
        <v>1.032</v>
      </c>
      <c r="L24" s="30">
        <f>(1-ABS(J24-K24)/J24)*100</f>
        <v/>
      </c>
      <c r="M24" s="28" t="n">
        <v>0.35</v>
      </c>
      <c r="N24" s="29" t="n">
        <v>0.249</v>
      </c>
      <c r="O24" s="30">
        <f>(1-ABS(M24-N24)/M24)*100</f>
        <v/>
      </c>
      <c r="P24" s="31" t="n"/>
      <c r="Q24" s="32" t="n">
        <v>0.635</v>
      </c>
      <c r="R24" s="28" t="n"/>
      <c r="S24" s="33" t="n">
        <v>15.8</v>
      </c>
      <c r="T24" s="31" t="n">
        <v>14.64</v>
      </c>
      <c r="U24" s="30">
        <f>(1-ABS(S24-T24)/S24)*100</f>
        <v/>
      </c>
    </row>
    <row r="25">
      <c r="B25" s="26" t="inlineStr">
        <is>
          <t>11/19</t>
        </is>
      </c>
      <c r="C25" s="27" t="n">
        <v>2597</v>
      </c>
      <c r="D25" s="28" t="n">
        <v>2.78</v>
      </c>
      <c r="E25" s="29" t="n">
        <v>2.498</v>
      </c>
      <c r="F25" s="30">
        <f>(1-ABS(D25-E25)/D25)*100</f>
        <v/>
      </c>
      <c r="G25" s="29" t="n">
        <v>0.167</v>
      </c>
      <c r="H25" s="29" t="n">
        <v>0.161</v>
      </c>
      <c r="I25" s="30">
        <f>(1-ABS(G25-H25)/G25)*100</f>
        <v/>
      </c>
      <c r="J25" s="28" t="n">
        <v>1.11</v>
      </c>
      <c r="K25" s="29" t="n">
        <v>1.017</v>
      </c>
      <c r="L25" s="30">
        <f>(1-ABS(J25-K25)/J25)*100</f>
        <v/>
      </c>
      <c r="M25" s="28" t="n">
        <v>0.38</v>
      </c>
      <c r="N25" s="29" t="n">
        <v>0.254</v>
      </c>
      <c r="O25" s="30">
        <f>(1-ABS(M25-N25)/M25)*100</f>
        <v/>
      </c>
      <c r="P25" s="31" t="n"/>
      <c r="Q25" s="32" t="n">
        <v>0.632</v>
      </c>
      <c r="R25" s="28" t="n"/>
      <c r="S25" s="33" t="n">
        <v>16.1</v>
      </c>
      <c r="T25" s="31" t="n">
        <v>13.68</v>
      </c>
      <c r="U25" s="30">
        <f>(1-ABS(S25-T25)/S25)*100</f>
        <v/>
      </c>
    </row>
    <row r="26">
      <c r="B26" s="26" t="inlineStr">
        <is>
          <t>11/20</t>
        </is>
      </c>
      <c r="C26" s="27" t="n">
        <v>1930</v>
      </c>
      <c r="D26" s="28" t="n">
        <v>2.8</v>
      </c>
      <c r="E26" s="29" t="n">
        <v>2.249</v>
      </c>
      <c r="F26" s="30">
        <f>(1-ABS(D26-E26)/D26)*100</f>
        <v/>
      </c>
      <c r="G26" s="29" t="n">
        <v>0.162</v>
      </c>
      <c r="H26" s="29" t="n">
        <v>0.142</v>
      </c>
      <c r="I26" s="30">
        <f>(1-ABS(G26-H26)/G26)*100</f>
        <v/>
      </c>
      <c r="J26" s="28" t="n">
        <v>1.05</v>
      </c>
      <c r="K26" s="29" t="n">
        <v>0.918</v>
      </c>
      <c r="L26" s="30">
        <f>(1-ABS(J26-K26)/J26)*100</f>
        <v/>
      </c>
      <c r="M26" s="28" t="n">
        <v>0.37</v>
      </c>
      <c r="N26" s="29" t="n">
        <v>0.257</v>
      </c>
      <c r="O26" s="30">
        <f>(1-ABS(M26-N26)/M26)*100</f>
        <v/>
      </c>
      <c r="P26" s="31" t="n"/>
      <c r="Q26" s="32" t="n">
        <v>0.573</v>
      </c>
      <c r="R26" s="28" t="n"/>
      <c r="S26" s="33" t="n">
        <v>14.7</v>
      </c>
      <c r="T26" s="31" t="n">
        <v>10.96</v>
      </c>
      <c r="U26" s="30">
        <f>(1-ABS(S26-T26)/S26)*100</f>
        <v/>
      </c>
    </row>
    <row r="27">
      <c r="B27" s="26" t="inlineStr">
        <is>
          <t>11/21A</t>
        </is>
      </c>
      <c r="C27" s="27" t="n">
        <v>2740</v>
      </c>
      <c r="D27" s="28" t="n">
        <v>2.81</v>
      </c>
      <c r="E27" s="29" t="n">
        <v>2.489</v>
      </c>
      <c r="F27" s="30">
        <f>(1-ABS(D27-E27)/D27)*100</f>
        <v/>
      </c>
      <c r="G27" s="29" t="n">
        <v>0.173</v>
      </c>
      <c r="H27" s="29" t="n">
        <v>0.162</v>
      </c>
      <c r="I27" s="30">
        <f>(1-ABS(G27-H27)/G27)*100</f>
        <v/>
      </c>
      <c r="J27" s="28" t="n">
        <v>1.12</v>
      </c>
      <c r="K27" s="29" t="n">
        <v>0.996</v>
      </c>
      <c r="L27" s="30">
        <f>(1-ABS(J27-K27)/J27)*100</f>
        <v/>
      </c>
      <c r="M27" s="28" t="n">
        <v>0.36</v>
      </c>
      <c r="N27" s="29" t="n">
        <v>0.273</v>
      </c>
      <c r="O27" s="30">
        <f>(1-ABS(M27-N27)/M27)*100</f>
        <v/>
      </c>
      <c r="P27" s="31" t="n"/>
      <c r="Q27" s="32" t="n">
        <v>0.638</v>
      </c>
      <c r="R27" s="28" t="n"/>
      <c r="S27" s="33" t="n">
        <v>16.8</v>
      </c>
      <c r="T27" s="31" t="n">
        <v>13.72</v>
      </c>
      <c r="U27" s="30">
        <f>(1-ABS(S27-T27)/S27)*100</f>
        <v/>
      </c>
    </row>
    <row r="28" ht="35" customHeight="1">
      <c r="A28" s="35" t="inlineStr">
        <is>
          <t>AVG ACCURACY</t>
        </is>
      </c>
      <c r="F28" s="36">
        <f>AVERAGE(F7:F27)</f>
        <v/>
      </c>
      <c r="I28" s="36">
        <f>AVERAGE(I7:I27)</f>
        <v/>
      </c>
      <c r="L28" s="36">
        <f>AVERAGE(L7:L27)</f>
        <v/>
      </c>
      <c r="O28" s="37">
        <f>AVERAGE(O7:O27)</f>
        <v/>
      </c>
      <c r="R28" s="38" t="inlineStr">
        <is>
          <t>-</t>
        </is>
      </c>
      <c r="U28" s="36">
        <f>AVERAGE(U7:U27)</f>
        <v/>
      </c>
    </row>
    <row r="29" ht="40" customHeight="1">
      <c r="A29" s="39" t="inlineStr">
        <is>
          <t>Best result closer to 0</t>
        </is>
      </c>
      <c r="B29" s="26" t="inlineStr">
        <is>
          <t>R^2 (Coefficient of determination)</t>
        </is>
      </c>
      <c r="C29" s="40" t="n"/>
      <c r="D29" s="41">
        <f>RSQ(E7:E27, D7:D27)</f>
        <v/>
      </c>
      <c r="E29" s="42" t="n"/>
      <c r="F29" s="40" t="n"/>
      <c r="G29" s="41">
        <f>RSQ(H7:H27, G7:G27)</f>
        <v/>
      </c>
      <c r="H29" s="42" t="n"/>
      <c r="I29" s="40" t="n"/>
      <c r="J29" s="41">
        <f>RSQ(K7:K27, J7:J27)</f>
        <v/>
      </c>
      <c r="K29" s="42" t="n"/>
      <c r="L29" s="40" t="n"/>
      <c r="M29" s="41">
        <f>RSQ(N7:N27, M7:M27)</f>
        <v/>
      </c>
      <c r="N29" s="42" t="n"/>
      <c r="O29" s="40" t="n"/>
      <c r="P29" s="43" t="inlineStr">
        <is>
          <t>-</t>
        </is>
      </c>
      <c r="Q29" s="42" t="n"/>
      <c r="R29" s="40" t="n"/>
      <c r="S29" s="43">
        <f>RSQ(T7:T27, S7:S27)</f>
        <v/>
      </c>
      <c r="T29" s="42" t="n"/>
      <c r="U29" s="40" t="n"/>
    </row>
    <row r="30" ht="39" customHeight="1">
      <c r="A30" s="39" t="inlineStr">
        <is>
          <t>Best result closer to 1</t>
        </is>
      </c>
      <c r="B30" s="26" t="inlineStr">
        <is>
          <t>MAE (Average size of prediction errors)</t>
        </is>
      </c>
      <c r="C30" s="40" t="n"/>
      <c r="D30" s="41">
        <f>SUMPRODUCT(ABS(D7:D27-E7:E27))/COUNT(D7:D27)</f>
        <v/>
      </c>
      <c r="E30" s="42" t="n"/>
      <c r="F30" s="40" t="n"/>
      <c r="G30" s="41">
        <f>SUMPRODUCT(ABS(G7:G27-H7:H27))/COUNT(G7:G27)</f>
        <v/>
      </c>
      <c r="H30" s="42" t="n"/>
      <c r="I30" s="40" t="n"/>
      <c r="J30" s="41">
        <f>SUMPRODUCT(ABS(J7:J27-K7:K27))/COUNT(J7:J27)</f>
        <v/>
      </c>
      <c r="K30" s="42" t="n"/>
      <c r="L30" s="40" t="n"/>
      <c r="M30" s="41">
        <f>SUMPRODUCT(ABS(M7:M27-N7:N27))/COUNT(M7:M27)</f>
        <v/>
      </c>
      <c r="N30" s="42" t="n"/>
      <c r="O30" s="40" t="n"/>
      <c r="P30" s="43" t="inlineStr">
        <is>
          <t>-</t>
        </is>
      </c>
      <c r="Q30" s="42" t="n"/>
      <c r="R30" s="40" t="n"/>
      <c r="S30" s="43">
        <f>SUMPRODUCT(ABS(S7:S27-T7:T27))/COUNT(S7:S27)</f>
        <v/>
      </c>
      <c r="T30" s="42" t="n"/>
      <c r="U30" s="40" t="n"/>
    </row>
    <row r="31" ht="66" customHeight="1">
      <c r="A31" s="39" t="inlineStr">
        <is>
          <t>Best result closer to 1</t>
        </is>
      </c>
      <c r="B31" s="26" t="inlineStr">
        <is>
          <t>RMSE (Prediction error, with larger mistakes penalised more)</t>
        </is>
      </c>
      <c r="C31" s="40" t="n"/>
      <c r="D31" s="41">
        <f>SQRT(SUMXMY2(D7:D27, E7:E27)/COUNT(D7:D27))</f>
        <v/>
      </c>
      <c r="E31" s="42" t="n"/>
      <c r="F31" s="40" t="n"/>
      <c r="G31" s="41">
        <f>SQRT(SUMXMY2(G7:G27, H7:H27)/COUNT(G7:G27))</f>
        <v/>
      </c>
      <c r="H31" s="42" t="n"/>
      <c r="I31" s="40" t="n"/>
      <c r="J31" s="41">
        <f>SQRT(SUMXMY2(J7:J27, K7:K27)/COUNT(J7:J27))</f>
        <v/>
      </c>
      <c r="K31" s="42" t="n"/>
      <c r="L31" s="40" t="n"/>
      <c r="M31" s="41">
        <f>SQRT(SUMXMY2(M7:M27, N7:N27)/COUNT(M7:M27))</f>
        <v/>
      </c>
      <c r="N31" s="42" t="n"/>
      <c r="O31" s="40" t="n"/>
      <c r="P31" s="43" t="inlineStr">
        <is>
          <t>-</t>
        </is>
      </c>
      <c r="Q31" s="42" t="n"/>
      <c r="R31" s="40" t="n"/>
      <c r="S31" s="43">
        <f>SQRT(SUMXMY2(S7:S27, T7:T27)/COUNT(S7:S27))</f>
        <v/>
      </c>
      <c r="T31" s="42" t="n"/>
      <c r="U31" s="40" t="n"/>
    </row>
  </sheetData>
  <mergeCells count="31">
    <mergeCell ref="B4:O4"/>
    <mergeCell ref="M31:O31"/>
    <mergeCell ref="B31:C31"/>
    <mergeCell ref="G30:I30"/>
    <mergeCell ref="M30:O30"/>
    <mergeCell ref="G5:I5"/>
    <mergeCell ref="J31:L31"/>
    <mergeCell ref="S30:U30"/>
    <mergeCell ref="D30:F30"/>
    <mergeCell ref="G29:I29"/>
    <mergeCell ref="M29:O29"/>
    <mergeCell ref="S29:U29"/>
    <mergeCell ref="P30:R30"/>
    <mergeCell ref="S5:U5"/>
    <mergeCell ref="D29:F29"/>
    <mergeCell ref="B29:C29"/>
    <mergeCell ref="D5:F5"/>
    <mergeCell ref="P5:R5"/>
    <mergeCell ref="G31:I31"/>
    <mergeCell ref="S31:U31"/>
    <mergeCell ref="B5:B6"/>
    <mergeCell ref="P4:U4"/>
    <mergeCell ref="J29:L29"/>
    <mergeCell ref="P29:R29"/>
    <mergeCell ref="J5:L5"/>
    <mergeCell ref="B30:C30"/>
    <mergeCell ref="D31:F31"/>
    <mergeCell ref="M5:O5"/>
    <mergeCell ref="P31:R31"/>
    <mergeCell ref="J30:L30"/>
    <mergeCell ref="C5:C6"/>
  </mergeCells>
  <conditionalFormatting sqref="F7:F27 I7:I27 L7:L27 O7:O27 U7:U27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3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3" t="n"/>
      <c r="P4" s="14" t="inlineStr">
        <is>
          <t>On-going Research for Ca and B Models</t>
        </is>
      </c>
      <c r="Q4" s="15" t="n"/>
      <c r="R4" s="15" t="n"/>
      <c r="S4" s="15" t="n"/>
      <c r="T4" s="15" t="n"/>
      <c r="U4" s="16" t="n"/>
    </row>
    <row r="5" ht="34" customHeight="1">
      <c r="B5" s="17" t="inlineStr">
        <is>
          <t>Plot</t>
        </is>
      </c>
      <c r="C5" s="18" t="inlineStr">
        <is>
          <t>Pixels sampled</t>
        </is>
      </c>
      <c r="D5" s="19" t="inlineStr">
        <is>
          <t>N</t>
        </is>
      </c>
      <c r="E5" s="15" t="n"/>
      <c r="F5" s="16" t="n"/>
      <c r="G5" s="19" t="inlineStr">
        <is>
          <t>P (%)</t>
        </is>
      </c>
      <c r="H5" s="15" t="n"/>
      <c r="I5" s="16" t="n"/>
      <c r="J5" s="19" t="inlineStr">
        <is>
          <t>K (%)</t>
        </is>
      </c>
      <c r="K5" s="15" t="n"/>
      <c r="L5" s="16" t="n"/>
      <c r="M5" s="19" t="inlineStr">
        <is>
          <t>Mg (%)</t>
        </is>
      </c>
      <c r="N5" s="15" t="n"/>
      <c r="O5" s="16" t="n"/>
      <c r="P5" s="20" t="inlineStr">
        <is>
          <t>Ca (%)</t>
        </is>
      </c>
      <c r="Q5" s="15" t="n"/>
      <c r="R5" s="16" t="n"/>
      <c r="S5" s="20" t="inlineStr">
        <is>
          <t>B (%)</t>
        </is>
      </c>
      <c r="T5" s="15" t="n"/>
      <c r="U5" s="16" t="n"/>
    </row>
    <row r="6" ht="34" customHeight="1">
      <c r="B6" s="21" t="n"/>
      <c r="C6" s="22" t="n"/>
      <c r="D6" s="23" t="inlineStr">
        <is>
          <t>Lab Actual (%)</t>
        </is>
      </c>
      <c r="E6" s="24" t="inlineStr">
        <is>
          <t>Prediction (%)</t>
        </is>
      </c>
      <c r="F6" s="25" t="inlineStr">
        <is>
          <t>Accuracy (%)</t>
        </is>
      </c>
      <c r="G6" s="23" t="inlineStr">
        <is>
          <t>Lab Actual (%)</t>
        </is>
      </c>
      <c r="H6" s="24" t="inlineStr">
        <is>
          <t>Prediction (%)</t>
        </is>
      </c>
      <c r="I6" s="25" t="inlineStr">
        <is>
          <t>Accuracy (%)</t>
        </is>
      </c>
      <c r="J6" s="23" t="inlineStr">
        <is>
          <t>Lab Actual (%)</t>
        </is>
      </c>
      <c r="K6" s="24" t="inlineStr">
        <is>
          <t>Prediction (%)</t>
        </is>
      </c>
      <c r="L6" s="25" t="inlineStr">
        <is>
          <t>Accuracy (%)</t>
        </is>
      </c>
      <c r="M6" s="23" t="inlineStr">
        <is>
          <t>Lab Actual (%)</t>
        </is>
      </c>
      <c r="N6" s="24" t="inlineStr">
        <is>
          <t>Prediction (%)</t>
        </is>
      </c>
      <c r="O6" s="25" t="inlineStr">
        <is>
          <t>Accuracy (%)</t>
        </is>
      </c>
      <c r="P6" s="14" t="inlineStr">
        <is>
          <t>Lab Actual (%)</t>
        </is>
      </c>
      <c r="Q6" s="14" t="inlineStr">
        <is>
          <t>Prediction (%)</t>
        </is>
      </c>
      <c r="R6" s="25" t="inlineStr">
        <is>
          <t>Accuracy (%)</t>
        </is>
      </c>
      <c r="S6" s="14" t="inlineStr">
        <is>
          <t>Lab Actual (%)</t>
        </is>
      </c>
      <c r="T6" s="14" t="inlineStr">
        <is>
          <t>Prediction (%)</t>
        </is>
      </c>
      <c r="U6" s="25" t="inlineStr">
        <is>
          <t>Accuracy (%)</t>
        </is>
      </c>
    </row>
    <row r="7">
      <c r="B7" s="26" t="inlineStr">
        <is>
          <t>09/01</t>
        </is>
      </c>
      <c r="C7" s="27" t="n">
        <v>4581</v>
      </c>
      <c r="D7" s="28" t="n">
        <v>2.96</v>
      </c>
      <c r="E7" s="29" t="n">
        <v>2.396</v>
      </c>
      <c r="F7" s="30">
        <f>(1-ABS(D7-E7)/D7)*100</f>
        <v/>
      </c>
      <c r="G7" s="29" t="n">
        <v>0.192</v>
      </c>
      <c r="H7" s="29" t="n">
        <v>0.154</v>
      </c>
      <c r="I7" s="30">
        <f>(1-ABS(G7-H7)/G7)*100</f>
        <v/>
      </c>
      <c r="J7" s="28" t="n">
        <v>1.42</v>
      </c>
      <c r="K7" s="29" t="n">
        <v>0.944</v>
      </c>
      <c r="L7" s="30">
        <f>(1-ABS(J7-K7)/J7)*100</f>
        <v/>
      </c>
      <c r="M7" s="28" t="n">
        <v>0.39</v>
      </c>
      <c r="N7" s="29" t="n">
        <v>0.297</v>
      </c>
      <c r="O7" s="30">
        <f>(1-ABS(M7-N7)/M7)*100</f>
        <v/>
      </c>
      <c r="P7" s="31" t="n"/>
      <c r="Q7" s="32" t="n">
        <v>0.661</v>
      </c>
      <c r="R7" s="28" t="n"/>
      <c r="S7" s="33" t="n">
        <v>15.9</v>
      </c>
      <c r="T7" s="31" t="n">
        <v>10.66</v>
      </c>
      <c r="U7" s="30">
        <f>(1-ABS(S7-T7)/S7)*100</f>
        <v/>
      </c>
    </row>
    <row r="8">
      <c r="B8" s="26" t="inlineStr">
        <is>
          <t>09/02</t>
        </is>
      </c>
      <c r="C8" s="27" t="n">
        <v>4564</v>
      </c>
      <c r="D8" s="28" t="n">
        <v>2.87</v>
      </c>
      <c r="E8" s="29" t="n">
        <v>2.494</v>
      </c>
      <c r="F8" s="30">
        <f>(1-ABS(D8-E8)/D8)*100</f>
        <v/>
      </c>
      <c r="G8" s="29" t="n">
        <v>0.192</v>
      </c>
      <c r="H8" s="29" t="n">
        <v>0.16</v>
      </c>
      <c r="I8" s="30">
        <f>(1-ABS(G8-H8)/G8)*100</f>
        <v/>
      </c>
      <c r="J8" s="28" t="n">
        <v>1.51</v>
      </c>
      <c r="K8" s="29" t="n">
        <v>0.979</v>
      </c>
      <c r="L8" s="30">
        <f>(1-ABS(J8-K8)/J8)*100</f>
        <v/>
      </c>
      <c r="M8" s="28" t="n">
        <v>0.37</v>
      </c>
      <c r="N8" s="29" t="n">
        <v>0.313</v>
      </c>
      <c r="O8" s="30">
        <f>(1-ABS(M8-N8)/M8)*100</f>
        <v/>
      </c>
      <c r="P8" s="31" t="n"/>
      <c r="Q8" s="32" t="n">
        <v>0.697</v>
      </c>
      <c r="R8" s="28" t="n"/>
      <c r="S8" s="33" t="n">
        <v>15.5</v>
      </c>
      <c r="T8" s="31" t="n">
        <v>11.16</v>
      </c>
      <c r="U8" s="30">
        <f>(1-ABS(S8-T8)/S8)*100</f>
        <v/>
      </c>
    </row>
    <row r="9">
      <c r="B9" s="26" t="inlineStr">
        <is>
          <t>09/03</t>
        </is>
      </c>
      <c r="C9" s="27" t="n">
        <v>6070</v>
      </c>
      <c r="D9" s="28" t="n">
        <v>2.68</v>
      </c>
      <c r="E9" s="29" t="n">
        <v>2.401</v>
      </c>
      <c r="F9" s="30">
        <f>(1-ABS(D9-E9)/D9)*100</f>
        <v/>
      </c>
      <c r="G9" s="29" t="n">
        <v>0.191</v>
      </c>
      <c r="H9" s="29" t="n">
        <v>0.154</v>
      </c>
      <c r="I9" s="30">
        <f>(1-ABS(G9-H9)/G9)*100</f>
        <v/>
      </c>
      <c r="J9" s="28" t="n">
        <v>1.51</v>
      </c>
      <c r="K9" s="29" t="n">
        <v>0.949</v>
      </c>
      <c r="L9" s="30">
        <f>(1-ABS(J9-K9)/J9)*100</f>
        <v/>
      </c>
      <c r="M9" s="28" t="n">
        <v>0.37</v>
      </c>
      <c r="N9" s="29" t="n">
        <v>0.301</v>
      </c>
      <c r="O9" s="30">
        <f>(1-ABS(M9-N9)/M9)*100</f>
        <v/>
      </c>
      <c r="P9" s="31" t="n"/>
      <c r="Q9" s="32" t="n">
        <v>0.664</v>
      </c>
      <c r="R9" s="28" t="n"/>
      <c r="S9" s="33" t="n">
        <v>15.2</v>
      </c>
      <c r="T9" s="31" t="n">
        <v>10.64</v>
      </c>
      <c r="U9" s="30">
        <f>(1-ABS(S9-T9)/S9)*100</f>
        <v/>
      </c>
    </row>
    <row r="10">
      <c r="B10" s="26" t="inlineStr">
        <is>
          <t>09/04</t>
        </is>
      </c>
      <c r="C10" s="27" t="n">
        <v>3548</v>
      </c>
      <c r="D10" s="28" t="n">
        <v>2.94</v>
      </c>
      <c r="E10" s="29" t="n">
        <v>2.478</v>
      </c>
      <c r="F10" s="30">
        <f>(1-ABS(D10-E10)/D10)*100</f>
        <v/>
      </c>
      <c r="G10" s="29" t="n">
        <v>0.198</v>
      </c>
      <c r="H10" s="29" t="n">
        <v>0.16</v>
      </c>
      <c r="I10" s="30">
        <f>(1-ABS(G10-H10)/G10)*100</f>
        <v/>
      </c>
      <c r="J10" s="28" t="n">
        <v>1.49</v>
      </c>
      <c r="K10" s="29" t="n">
        <v>0.98</v>
      </c>
      <c r="L10" s="30">
        <f>(1-ABS(J10-K10)/J10)*100</f>
        <v/>
      </c>
      <c r="M10" s="28" t="n">
        <v>0.39</v>
      </c>
      <c r="N10" s="29" t="n">
        <v>0.308</v>
      </c>
      <c r="O10" s="30">
        <f>(1-ABS(M10-N10)/M10)*100</f>
        <v/>
      </c>
      <c r="P10" s="31" t="n"/>
      <c r="Q10" s="32" t="n">
        <v>0.6830000000000001</v>
      </c>
      <c r="R10" s="28" t="n"/>
      <c r="S10" s="33" t="n">
        <v>14.9</v>
      </c>
      <c r="T10" s="31" t="n">
        <v>11.05</v>
      </c>
      <c r="U10" s="30">
        <f>(1-ABS(S10-T10)/S10)*100</f>
        <v/>
      </c>
    </row>
    <row r="11">
      <c r="B11" s="26" t="inlineStr">
        <is>
          <t>09/05</t>
        </is>
      </c>
      <c r="C11" s="27" t="n">
        <v>4262</v>
      </c>
      <c r="D11" s="28" t="n">
        <v>2.9</v>
      </c>
      <c r="E11" s="29" t="n">
        <v>2.441</v>
      </c>
      <c r="F11" s="30">
        <f>(1-ABS(D11-E11)/D11)*100</f>
        <v/>
      </c>
      <c r="G11" s="29" t="n">
        <v>0.196</v>
      </c>
      <c r="H11" s="29" t="n">
        <v>0.159</v>
      </c>
      <c r="I11" s="30">
        <f>(1-ABS(G11-H11)/G11)*100</f>
        <v/>
      </c>
      <c r="J11" s="28" t="n">
        <v>1.51</v>
      </c>
      <c r="K11" s="29" t="n">
        <v>0.976</v>
      </c>
      <c r="L11" s="30">
        <f>(1-ABS(J11-K11)/J11)*100</f>
        <v/>
      </c>
      <c r="M11" s="28" t="n">
        <v>0.4</v>
      </c>
      <c r="N11" s="29" t="n">
        <v>0.304</v>
      </c>
      <c r="O11" s="30">
        <f>(1-ABS(M11-N11)/M11)*100</f>
        <v/>
      </c>
      <c r="P11" s="31" t="n"/>
      <c r="Q11" s="32" t="n">
        <v>0.672</v>
      </c>
      <c r="R11" s="28" t="n"/>
      <c r="S11" s="33" t="n">
        <v>14.5</v>
      </c>
      <c r="T11" s="31" t="n">
        <v>10.81</v>
      </c>
      <c r="U11" s="30">
        <f>(1-ABS(S11-T11)/S11)*100</f>
        <v/>
      </c>
    </row>
    <row r="12">
      <c r="B12" s="26" t="inlineStr">
        <is>
          <t>09/06</t>
        </is>
      </c>
      <c r="C12" s="27" t="n">
        <v>4852</v>
      </c>
      <c r="D12" s="28" t="n">
        <v>2.86</v>
      </c>
      <c r="E12" s="29" t="n">
        <v>2.284</v>
      </c>
      <c r="F12" s="30">
        <f>(1-ABS(D12-E12)/D12)*100</f>
        <v/>
      </c>
      <c r="G12" s="29" t="n">
        <v>0.183</v>
      </c>
      <c r="H12" s="29" t="n">
        <v>0.149</v>
      </c>
      <c r="I12" s="30">
        <f>(1-ABS(G12-H12)/G12)*100</f>
        <v/>
      </c>
      <c r="J12" s="28" t="n">
        <v>1.35</v>
      </c>
      <c r="K12" s="29" t="n">
        <v>0.913</v>
      </c>
      <c r="L12" s="30">
        <f>(1-ABS(J12-K12)/J12)*100</f>
        <v/>
      </c>
      <c r="M12" s="28" t="n">
        <v>0.38</v>
      </c>
      <c r="N12" s="29" t="n">
        <v>0.287</v>
      </c>
      <c r="O12" s="30">
        <f>(1-ABS(M12-N12)/M12)*100</f>
        <v/>
      </c>
      <c r="P12" s="31" t="n"/>
      <c r="Q12" s="32" t="n">
        <v>0.627</v>
      </c>
      <c r="R12" s="28" t="n"/>
      <c r="S12" s="33" t="n">
        <v>17.5</v>
      </c>
      <c r="T12" s="31" t="n">
        <v>10.11</v>
      </c>
      <c r="U12" s="30">
        <f>(1-ABS(S12-T12)/S12)*100</f>
        <v/>
      </c>
    </row>
    <row r="13">
      <c r="B13" s="26" t="inlineStr">
        <is>
          <t>09/07</t>
        </is>
      </c>
      <c r="C13" s="27" t="n">
        <v>4728</v>
      </c>
      <c r="D13" s="28" t="n">
        <v>2.96</v>
      </c>
      <c r="E13" s="29" t="n">
        <v>2.377</v>
      </c>
      <c r="F13" s="30">
        <f>(1-ABS(D13-E13)/D13)*100</f>
        <v/>
      </c>
      <c r="G13" s="29" t="n">
        <v>0.194</v>
      </c>
      <c r="H13" s="29" t="n">
        <v>0.155</v>
      </c>
      <c r="I13" s="30">
        <f>(1-ABS(G13-H13)/G13)*100</f>
        <v/>
      </c>
      <c r="J13" s="28" t="n">
        <v>1.54</v>
      </c>
      <c r="K13" s="29" t="n">
        <v>0.949</v>
      </c>
      <c r="L13" s="30">
        <f>(1-ABS(J13-K13)/J13)*100</f>
        <v/>
      </c>
      <c r="M13" s="28" t="n">
        <v>0.36</v>
      </c>
      <c r="N13" s="29" t="n">
        <v>0.304</v>
      </c>
      <c r="O13" s="30">
        <f>(1-ABS(M13-N13)/M13)*100</f>
        <v/>
      </c>
      <c r="P13" s="31" t="n"/>
      <c r="Q13" s="32" t="n">
        <v>0.677</v>
      </c>
      <c r="R13" s="28" t="n"/>
      <c r="S13" s="33" t="n">
        <v>15.1</v>
      </c>
      <c r="T13" s="31" t="n">
        <v>10.52</v>
      </c>
      <c r="U13" s="30">
        <f>(1-ABS(S13-T13)/S13)*100</f>
        <v/>
      </c>
    </row>
    <row r="14">
      <c r="B14" s="26" t="inlineStr">
        <is>
          <t>09/08</t>
        </is>
      </c>
      <c r="C14" s="27" t="n">
        <v>2558</v>
      </c>
      <c r="D14" s="28" t="n">
        <v>2.76</v>
      </c>
      <c r="E14" s="29" t="n">
        <v>2.449</v>
      </c>
      <c r="F14" s="30">
        <f>(1-ABS(D14-E14)/D14)*100</f>
        <v/>
      </c>
      <c r="G14" s="29" t="n">
        <v>0.19</v>
      </c>
      <c r="H14" s="29" t="n">
        <v>0.157</v>
      </c>
      <c r="I14" s="30">
        <f>(1-ABS(G14-H14)/G14)*100</f>
        <v/>
      </c>
      <c r="J14" s="28" t="n">
        <v>1.53</v>
      </c>
      <c r="K14" s="29" t="n">
        <v>0.964</v>
      </c>
      <c r="L14" s="30">
        <f>(1-ABS(J14-K14)/J14)*100</f>
        <v/>
      </c>
      <c r="M14" s="28" t="n">
        <v>0.36</v>
      </c>
      <c r="N14" s="29" t="n">
        <v>0.308</v>
      </c>
      <c r="O14" s="30">
        <f>(1-ABS(M14-N14)/M14)*100</f>
        <v/>
      </c>
      <c r="P14" s="31" t="n"/>
      <c r="Q14" s="32" t="n">
        <v>0.6840000000000001</v>
      </c>
      <c r="R14" s="28" t="n"/>
      <c r="S14" s="33" t="n">
        <v>15.6</v>
      </c>
      <c r="T14" s="31" t="n">
        <v>10.99</v>
      </c>
      <c r="U14" s="30">
        <f>(1-ABS(S14-T14)/S14)*100</f>
        <v/>
      </c>
    </row>
    <row r="15">
      <c r="B15" s="26" t="inlineStr">
        <is>
          <t>09/09</t>
        </is>
      </c>
      <c r="C15" s="27" t="n">
        <v>3645</v>
      </c>
      <c r="D15" s="28" t="n">
        <v>2.93</v>
      </c>
      <c r="E15" s="29" t="n">
        <v>2.514</v>
      </c>
      <c r="F15" s="30">
        <f>(1-ABS(D15-E15)/D15)*100</f>
        <v/>
      </c>
      <c r="G15" s="29" t="n">
        <v>0.195</v>
      </c>
      <c r="H15" s="29" t="n">
        <v>0.163</v>
      </c>
      <c r="I15" s="30">
        <f>(1-ABS(G15-H15)/G15)*100</f>
        <v/>
      </c>
      <c r="J15" s="28" t="n">
        <v>1.38</v>
      </c>
      <c r="K15" s="29" t="n">
        <v>1.02</v>
      </c>
      <c r="L15" s="30">
        <f>(1-ABS(J15-K15)/J15)*100</f>
        <v/>
      </c>
      <c r="M15" s="28" t="n">
        <v>0.34</v>
      </c>
      <c r="N15" s="29" t="n">
        <v>0.292</v>
      </c>
      <c r="O15" s="30">
        <f>(1-ABS(M15-N15)/M15)*100</f>
        <v/>
      </c>
      <c r="P15" s="31" t="n"/>
      <c r="Q15" s="32" t="n">
        <v>0.654</v>
      </c>
      <c r="R15" s="28" t="n"/>
      <c r="S15" s="33" t="n">
        <v>15.9</v>
      </c>
      <c r="T15" s="31" t="n">
        <v>11.21</v>
      </c>
      <c r="U15" s="30">
        <f>(1-ABS(S15-T15)/S15)*100</f>
        <v/>
      </c>
    </row>
    <row r="16">
      <c r="B16" s="26" t="inlineStr">
        <is>
          <t>09/10</t>
        </is>
      </c>
      <c r="C16" s="27" t="n">
        <v>3949</v>
      </c>
      <c r="D16" s="28" t="n">
        <v>2.93</v>
      </c>
      <c r="E16" s="29" t="n">
        <v>2.454</v>
      </c>
      <c r="F16" s="30">
        <f>(1-ABS(D16-E16)/D16)*100</f>
        <v/>
      </c>
      <c r="G16" s="29" t="n">
        <v>0.195</v>
      </c>
      <c r="H16" s="29" t="n">
        <v>0.16</v>
      </c>
      <c r="I16" s="30">
        <f>(1-ABS(G16-H16)/G16)*100</f>
        <v/>
      </c>
      <c r="J16" s="28" t="n">
        <v>1.4</v>
      </c>
      <c r="K16" s="29" t="n">
        <v>0.988</v>
      </c>
      <c r="L16" s="30">
        <f>(1-ABS(J16-K16)/J16)*100</f>
        <v/>
      </c>
      <c r="M16" s="28" t="n">
        <v>0.36</v>
      </c>
      <c r="N16" s="29" t="n">
        <v>0.297</v>
      </c>
      <c r="O16" s="30">
        <f>(1-ABS(M16-N16)/M16)*100</f>
        <v/>
      </c>
      <c r="P16" s="31" t="n"/>
      <c r="Q16" s="32" t="n">
        <v>0.662</v>
      </c>
      <c r="R16" s="28" t="n"/>
      <c r="S16" s="33" t="n">
        <v>15</v>
      </c>
      <c r="T16" s="31" t="n">
        <v>10.99</v>
      </c>
      <c r="U16" s="30">
        <f>(1-ABS(S16-T16)/S16)*100</f>
        <v/>
      </c>
    </row>
    <row r="17" ht="40" customHeight="1">
      <c r="A17" s="34" t="inlineStr">
        <is>
          <t>Best result closer to 1</t>
        </is>
      </c>
      <c r="B17" s="26" t="inlineStr">
        <is>
          <t>09/11</t>
        </is>
      </c>
      <c r="C17" s="27" t="n">
        <v>4396</v>
      </c>
      <c r="D17" s="28" t="n">
        <v>2.96</v>
      </c>
      <c r="E17" s="29" t="n">
        <v>2.503</v>
      </c>
      <c r="F17" s="30">
        <f>(1-ABS(D17-E17)/D17)*100</f>
        <v/>
      </c>
      <c r="G17" s="29" t="n">
        <v>0.194</v>
      </c>
      <c r="H17" s="29" t="n">
        <v>0.161</v>
      </c>
      <c r="I17" s="30">
        <f>(1-ABS(G17-H17)/G17)*100</f>
        <v/>
      </c>
      <c r="J17" s="28" t="n">
        <v>1.37</v>
      </c>
      <c r="K17" s="29" t="n">
        <v>0.991</v>
      </c>
      <c r="L17" s="30">
        <f>(1-ABS(J17-K17)/J17)*100</f>
        <v/>
      </c>
      <c r="M17" s="28" t="n">
        <v>0.38</v>
      </c>
      <c r="N17" s="29" t="n">
        <v>0.308</v>
      </c>
      <c r="O17" s="30">
        <f>(1-ABS(M17-N17)/M17)*100</f>
        <v/>
      </c>
      <c r="P17" s="31" t="n"/>
      <c r="Q17" s="32" t="n">
        <v>0.6879999999999999</v>
      </c>
      <c r="R17" s="28" t="n"/>
      <c r="S17" s="33" t="n">
        <v>14.3</v>
      </c>
      <c r="T17" s="31" t="n">
        <v>11.28</v>
      </c>
      <c r="U17" s="30">
        <f>(1-ABS(S17-T17)/S17)*100</f>
        <v/>
      </c>
    </row>
    <row r="18" ht="39" customHeight="1">
      <c r="A18" s="34" t="inlineStr">
        <is>
          <t>Best result closer to 0</t>
        </is>
      </c>
      <c r="B18" s="26" t="inlineStr">
        <is>
          <t>09/12</t>
        </is>
      </c>
      <c r="C18" s="27" t="n">
        <v>4068</v>
      </c>
      <c r="D18" s="28" t="n">
        <v>2.79</v>
      </c>
      <c r="E18" s="29" t="n">
        <v>2.484</v>
      </c>
      <c r="F18" s="30">
        <f>(1-ABS(D18-E18)/D18)*100</f>
        <v/>
      </c>
      <c r="G18" s="29" t="n">
        <v>0.19</v>
      </c>
      <c r="H18" s="29" t="n">
        <v>0.161</v>
      </c>
      <c r="I18" s="30">
        <f>(1-ABS(G18-H18)/G18)*100</f>
        <v/>
      </c>
      <c r="J18" s="28" t="n">
        <v>1.42</v>
      </c>
      <c r="K18" s="29" t="n">
        <v>0.998</v>
      </c>
      <c r="L18" s="30">
        <f>(1-ABS(J18-K18)/J18)*100</f>
        <v/>
      </c>
      <c r="M18" s="28" t="n">
        <v>0.37</v>
      </c>
      <c r="N18" s="29" t="n">
        <v>0.299</v>
      </c>
      <c r="O18" s="30">
        <f>(1-ABS(M18-N18)/M18)*100</f>
        <v/>
      </c>
      <c r="P18" s="31" t="n"/>
      <c r="Q18" s="32" t="n">
        <v>0.668</v>
      </c>
      <c r="R18" s="28" t="n"/>
      <c r="S18" s="33" t="n">
        <v>14.6</v>
      </c>
      <c r="T18" s="31" t="n">
        <v>11.47</v>
      </c>
      <c r="U18" s="30">
        <f>(1-ABS(S18-T18)/S18)*100</f>
        <v/>
      </c>
    </row>
    <row r="19" ht="66" customHeight="1">
      <c r="A19" s="34" t="inlineStr">
        <is>
          <t>Best result closer to 1</t>
        </is>
      </c>
      <c r="B19" s="26" t="inlineStr">
        <is>
          <t>09/13</t>
        </is>
      </c>
      <c r="C19" s="27" t="n">
        <v>3272</v>
      </c>
      <c r="D19" s="28" t="n">
        <v>2.87</v>
      </c>
      <c r="E19" s="29" t="n">
        <v>2.482</v>
      </c>
      <c r="F19" s="30">
        <f>(1-ABS(D19-E19)/D19)*100</f>
        <v/>
      </c>
      <c r="G19" s="29" t="n">
        <v>0.195</v>
      </c>
      <c r="H19" s="29" t="n">
        <v>0.161</v>
      </c>
      <c r="I19" s="30">
        <f>(1-ABS(G19-H19)/G19)*100</f>
        <v/>
      </c>
      <c r="J19" s="28" t="n">
        <v>1.43</v>
      </c>
      <c r="K19" s="29" t="n">
        <v>0.998</v>
      </c>
      <c r="L19" s="30">
        <f>(1-ABS(J19-K19)/J19)*100</f>
        <v/>
      </c>
      <c r="M19" s="28" t="n">
        <v>0.4</v>
      </c>
      <c r="N19" s="29" t="n">
        <v>0.295</v>
      </c>
      <c r="O19" s="30">
        <f>(1-ABS(M19-N19)/M19)*100</f>
        <v/>
      </c>
      <c r="P19" s="31" t="n"/>
      <c r="Q19" s="32" t="n">
        <v>0.659</v>
      </c>
      <c r="R19" s="28" t="n"/>
      <c r="S19" s="33" t="n">
        <v>14.3</v>
      </c>
      <c r="T19" s="31" t="n">
        <v>11.42</v>
      </c>
      <c r="U19" s="30">
        <f>(1-ABS(S19-T19)/S19)*100</f>
        <v/>
      </c>
    </row>
    <row r="20">
      <c r="B20" s="26" t="inlineStr">
        <is>
          <t>09/14</t>
        </is>
      </c>
      <c r="C20" s="27" t="n">
        <v>6436</v>
      </c>
      <c r="D20" s="28" t="n">
        <v>2.97</v>
      </c>
      <c r="E20" s="29" t="n">
        <v>2.466</v>
      </c>
      <c r="F20" s="30">
        <f>(1-ABS(D20-E20)/D20)*100</f>
        <v/>
      </c>
      <c r="G20" s="29" t="n">
        <v>0.193</v>
      </c>
      <c r="H20" s="29" t="n">
        <v>0.16</v>
      </c>
      <c r="I20" s="30">
        <f>(1-ABS(G20-H20)/G20)*100</f>
        <v/>
      </c>
      <c r="J20" s="28" t="n">
        <v>1.57</v>
      </c>
      <c r="K20" s="29" t="n">
        <v>0.997</v>
      </c>
      <c r="L20" s="30">
        <f>(1-ABS(J20-K20)/J20)*100</f>
        <v/>
      </c>
      <c r="M20" s="28" t="n">
        <v>0.38</v>
      </c>
      <c r="N20" s="29" t="n">
        <v>0.296</v>
      </c>
      <c r="O20" s="30">
        <f>(1-ABS(M20-N20)/M20)*100</f>
        <v/>
      </c>
      <c r="P20" s="31" t="n"/>
      <c r="Q20" s="32" t="n">
        <v>0.642</v>
      </c>
      <c r="R20" s="28" t="n"/>
      <c r="S20" s="33" t="n">
        <v>15.7</v>
      </c>
      <c r="T20" s="31" t="n">
        <v>11.91</v>
      </c>
      <c r="U20" s="30">
        <f>(1-ABS(S20-T20)/S20)*100</f>
        <v/>
      </c>
    </row>
    <row r="21">
      <c r="B21" s="26" t="inlineStr">
        <is>
          <t>09/15</t>
        </is>
      </c>
      <c r="C21" s="27" t="n">
        <v>5283</v>
      </c>
      <c r="D21" s="28" t="n">
        <v>2.98</v>
      </c>
      <c r="E21" s="29" t="n">
        <v>2.496</v>
      </c>
      <c r="F21" s="30">
        <f>(1-ABS(D21-E21)/D21)*100</f>
        <v/>
      </c>
      <c r="G21" s="29" t="n">
        <v>0.193</v>
      </c>
      <c r="H21" s="29" t="n">
        <v>0.16</v>
      </c>
      <c r="I21" s="30">
        <f>(1-ABS(G21-H21)/G21)*100</f>
        <v/>
      </c>
      <c r="J21" s="28" t="n">
        <v>1.42</v>
      </c>
      <c r="K21" s="29" t="n">
        <v>0.985</v>
      </c>
      <c r="L21" s="30">
        <f>(1-ABS(J21-K21)/J21)*100</f>
        <v/>
      </c>
      <c r="M21" s="28" t="n">
        <v>0.35</v>
      </c>
      <c r="N21" s="29" t="n">
        <v>0.312</v>
      </c>
      <c r="O21" s="30">
        <f>(1-ABS(M21-N21)/M21)*100</f>
        <v/>
      </c>
      <c r="P21" s="31" t="n"/>
      <c r="Q21" s="32" t="n">
        <v>0.6929999999999999</v>
      </c>
      <c r="R21" s="28" t="n"/>
      <c r="S21" s="33" t="n">
        <v>16.9</v>
      </c>
      <c r="T21" s="31" t="n">
        <v>11.15</v>
      </c>
      <c r="U21" s="30">
        <f>(1-ABS(S21-T21)/S21)*100</f>
        <v/>
      </c>
    </row>
    <row r="22">
      <c r="B22" s="26" t="inlineStr">
        <is>
          <t>09/16</t>
        </is>
      </c>
      <c r="C22" s="27" t="n">
        <v>4717</v>
      </c>
      <c r="D22" s="28" t="n">
        <v>2.9</v>
      </c>
      <c r="E22" s="29" t="n">
        <v>2.472</v>
      </c>
      <c r="F22" s="30">
        <f>(1-ABS(D22-E22)/D22)*100</f>
        <v/>
      </c>
      <c r="G22" s="29" t="n">
        <v>0.189</v>
      </c>
      <c r="H22" s="29" t="n">
        <v>0.161</v>
      </c>
      <c r="I22" s="30">
        <f>(1-ABS(G22-H22)/G22)*100</f>
        <v/>
      </c>
      <c r="J22" s="28" t="n">
        <v>1.39</v>
      </c>
      <c r="K22" s="29" t="n">
        <v>0.996</v>
      </c>
      <c r="L22" s="30">
        <f>(1-ABS(J22-K22)/J22)*100</f>
        <v/>
      </c>
      <c r="M22" s="28" t="n">
        <v>0.37</v>
      </c>
      <c r="N22" s="29" t="n">
        <v>0.302</v>
      </c>
      <c r="O22" s="30">
        <f>(1-ABS(M22-N22)/M22)*100</f>
        <v/>
      </c>
      <c r="P22" s="31" t="n"/>
      <c r="Q22" s="32" t="n">
        <v>0.658</v>
      </c>
      <c r="R22" s="28" t="n"/>
      <c r="S22" s="33" t="n">
        <v>17.7</v>
      </c>
      <c r="T22" s="31" t="n">
        <v>10.98</v>
      </c>
      <c r="U22" s="30">
        <f>(1-ABS(S22-T22)/S22)*100</f>
        <v/>
      </c>
    </row>
    <row r="23">
      <c r="B23" s="26" t="inlineStr">
        <is>
          <t>09/17</t>
        </is>
      </c>
      <c r="C23" s="27" t="n">
        <v>2843</v>
      </c>
      <c r="D23" s="28" t="n">
        <v>2.93</v>
      </c>
      <c r="E23" s="29" t="n">
        <v>2.494</v>
      </c>
      <c r="F23" s="30">
        <f>(1-ABS(D23-E23)/D23)*100</f>
        <v/>
      </c>
      <c r="G23" s="29" t="n">
        <v>0.193</v>
      </c>
      <c r="H23" s="29" t="n">
        <v>0.162</v>
      </c>
      <c r="I23" s="30">
        <f>(1-ABS(G23-H23)/G23)*100</f>
        <v/>
      </c>
      <c r="J23" s="28" t="n">
        <v>1.43</v>
      </c>
      <c r="K23" s="29" t="n">
        <v>1.012</v>
      </c>
      <c r="L23" s="30">
        <f>(1-ABS(J23-K23)/J23)*100</f>
        <v/>
      </c>
      <c r="M23" s="28" t="n">
        <v>0.37</v>
      </c>
      <c r="N23" s="29" t="n">
        <v>0.283</v>
      </c>
      <c r="O23" s="30">
        <f>(1-ABS(M23-N23)/M23)*100</f>
        <v/>
      </c>
      <c r="P23" s="31" t="n"/>
      <c r="Q23" s="32" t="n">
        <v>0.65</v>
      </c>
      <c r="R23" s="28" t="n"/>
      <c r="S23" s="33" t="n">
        <v>15.9</v>
      </c>
      <c r="T23" s="31" t="n">
        <v>12.39</v>
      </c>
      <c r="U23" s="30">
        <f>(1-ABS(S23-T23)/S23)*100</f>
        <v/>
      </c>
    </row>
    <row r="24">
      <c r="B24" s="26" t="inlineStr">
        <is>
          <t>09/18</t>
        </is>
      </c>
      <c r="C24" s="27" t="n">
        <v>3726</v>
      </c>
      <c r="D24" s="28" t="n">
        <v>2.97</v>
      </c>
      <c r="E24" s="29" t="n">
        <v>2.455</v>
      </c>
      <c r="F24" s="30">
        <f>(1-ABS(D24-E24)/D24)*100</f>
        <v/>
      </c>
      <c r="G24" s="29" t="n">
        <v>0.194</v>
      </c>
      <c r="H24" s="29" t="n">
        <v>0.16</v>
      </c>
      <c r="I24" s="30">
        <f>(1-ABS(G24-H24)/G24)*100</f>
        <v/>
      </c>
      <c r="J24" s="28" t="n">
        <v>1.42</v>
      </c>
      <c r="K24" s="29" t="n">
        <v>0.993</v>
      </c>
      <c r="L24" s="30">
        <f>(1-ABS(J24-K24)/J24)*100</f>
        <v/>
      </c>
      <c r="M24" s="28" t="n">
        <v>0.36</v>
      </c>
      <c r="N24" s="29" t="n">
        <v>0.296</v>
      </c>
      <c r="O24" s="30">
        <f>(1-ABS(M24-N24)/M24)*100</f>
        <v/>
      </c>
      <c r="P24" s="31" t="n"/>
      <c r="Q24" s="32" t="n">
        <v>0.665</v>
      </c>
      <c r="R24" s="28" t="n"/>
      <c r="S24" s="33" t="n">
        <v>16.2</v>
      </c>
      <c r="T24" s="31" t="n">
        <v>11.39</v>
      </c>
      <c r="U24" s="30">
        <f>(1-ABS(S24-T24)/S24)*100</f>
        <v/>
      </c>
    </row>
    <row r="25">
      <c r="B25" s="26" t="inlineStr">
        <is>
          <t>10/01</t>
        </is>
      </c>
      <c r="C25" s="27" t="n">
        <v>4123</v>
      </c>
      <c r="D25" s="28" t="n">
        <v>2.95</v>
      </c>
      <c r="E25" s="29" t="n">
        <v>2.357</v>
      </c>
      <c r="F25" s="30">
        <f>(1-ABS(D25-E25)/D25)*100</f>
        <v/>
      </c>
      <c r="G25" s="29" t="n">
        <v>0.191</v>
      </c>
      <c r="H25" s="29" t="n">
        <v>0.152</v>
      </c>
      <c r="I25" s="30">
        <f>(1-ABS(G25-H25)/G25)*100</f>
        <v/>
      </c>
      <c r="J25" s="28" t="n">
        <v>1.33</v>
      </c>
      <c r="K25" s="29" t="n">
        <v>0.9320000000000001</v>
      </c>
      <c r="L25" s="30">
        <f>(1-ABS(J25-K25)/J25)*100</f>
        <v/>
      </c>
      <c r="M25" s="28" t="n">
        <v>0.39</v>
      </c>
      <c r="N25" s="29" t="n">
        <v>0.279</v>
      </c>
      <c r="O25" s="30">
        <f>(1-ABS(M25-N25)/M25)*100</f>
        <v/>
      </c>
      <c r="P25" s="31" t="n"/>
      <c r="Q25" s="32" t="n">
        <v>0.629</v>
      </c>
      <c r="R25" s="28" t="n"/>
      <c r="S25" s="33" t="n">
        <v>17.8</v>
      </c>
      <c r="T25" s="31" t="n">
        <v>11.69</v>
      </c>
      <c r="U25" s="30">
        <f>(1-ABS(S25-T25)/S25)*100</f>
        <v/>
      </c>
    </row>
    <row r="26">
      <c r="B26" s="26" t="inlineStr">
        <is>
          <t>10/02</t>
        </is>
      </c>
      <c r="C26" s="27" t="n">
        <v>5459</v>
      </c>
      <c r="D26" s="28" t="n">
        <v>2.88</v>
      </c>
      <c r="E26" s="29" t="n">
        <v>2.324</v>
      </c>
      <c r="F26" s="30">
        <f>(1-ABS(D26-E26)/D26)*100</f>
        <v/>
      </c>
      <c r="G26" s="29" t="n">
        <v>0.189</v>
      </c>
      <c r="H26" s="29" t="n">
        <v>0.151</v>
      </c>
      <c r="I26" s="30">
        <f>(1-ABS(G26-H26)/G26)*100</f>
        <v/>
      </c>
      <c r="J26" s="28" t="n">
        <v>1.31</v>
      </c>
      <c r="K26" s="29" t="n">
        <v>0.922</v>
      </c>
      <c r="L26" s="30">
        <f>(1-ABS(J26-K26)/J26)*100</f>
        <v/>
      </c>
      <c r="M26" s="28" t="n">
        <v>0.37</v>
      </c>
      <c r="N26" s="29" t="n">
        <v>0.272</v>
      </c>
      <c r="O26" s="30">
        <f>(1-ABS(M26-N26)/M26)*100</f>
        <v/>
      </c>
      <c r="P26" s="31" t="n"/>
      <c r="Q26" s="32" t="n">
        <v>0.62</v>
      </c>
      <c r="R26" s="28" t="n"/>
      <c r="S26" s="33" t="n">
        <v>17.9</v>
      </c>
      <c r="T26" s="31" t="n">
        <v>11.64</v>
      </c>
      <c r="U26" s="30">
        <f>(1-ABS(S26-T26)/S26)*100</f>
        <v/>
      </c>
    </row>
    <row r="27">
      <c r="B27" s="26" t="inlineStr">
        <is>
          <t>10/03</t>
        </is>
      </c>
      <c r="C27" s="27" t="n">
        <v>4817</v>
      </c>
      <c r="D27" s="28" t="n">
        <v>2.96</v>
      </c>
      <c r="E27" s="29" t="n">
        <v>2.332</v>
      </c>
      <c r="F27" s="30">
        <f>(1-ABS(D27-E27)/D27)*100</f>
        <v/>
      </c>
      <c r="G27" s="29" t="n">
        <v>0.182</v>
      </c>
      <c r="H27" s="29" t="n">
        <v>0.149</v>
      </c>
      <c r="I27" s="30">
        <f>(1-ABS(G27-H27)/G27)*100</f>
        <v/>
      </c>
      <c r="J27" s="28" t="n">
        <v>1.24</v>
      </c>
      <c r="K27" s="29" t="n">
        <v>0.929</v>
      </c>
      <c r="L27" s="30">
        <f>(1-ABS(J27-K27)/J27)*100</f>
        <v/>
      </c>
      <c r="M27" s="28" t="n">
        <v>0.37</v>
      </c>
      <c r="N27" s="29" t="n">
        <v>0.276</v>
      </c>
      <c r="O27" s="30">
        <f>(1-ABS(M27-N27)/M27)*100</f>
        <v/>
      </c>
      <c r="P27" s="31" t="n"/>
      <c r="Q27" s="32" t="n">
        <v>0.614</v>
      </c>
      <c r="R27" s="28" t="n"/>
      <c r="S27" s="33" t="n">
        <v>17.3</v>
      </c>
      <c r="T27" s="31" t="n">
        <v>11.63</v>
      </c>
      <c r="U27" s="30">
        <f>(1-ABS(S27-T27)/S27)*100</f>
        <v/>
      </c>
    </row>
    <row r="28">
      <c r="B28" s="26" t="inlineStr">
        <is>
          <t>10/04</t>
        </is>
      </c>
      <c r="C28" s="27" t="n">
        <v>4775</v>
      </c>
      <c r="D28" s="28" t="n">
        <v>2.79</v>
      </c>
      <c r="E28" s="29" t="n">
        <v>2.454</v>
      </c>
      <c r="F28" s="30">
        <f>(1-ABS(D28-E28)/D28)*100</f>
        <v/>
      </c>
      <c r="G28" s="29" t="n">
        <v>0.192</v>
      </c>
      <c r="H28" s="29" t="n">
        <v>0.158</v>
      </c>
      <c r="I28" s="30">
        <f>(1-ABS(G28-H28)/G28)*100</f>
        <v/>
      </c>
      <c r="J28" s="28" t="n">
        <v>1.41</v>
      </c>
      <c r="K28" s="29" t="n">
        <v>0.982</v>
      </c>
      <c r="L28" s="30">
        <f>(1-ABS(J28-K28)/J28)*100</f>
        <v/>
      </c>
      <c r="M28" s="28" t="n">
        <v>0.35</v>
      </c>
      <c r="N28" s="29" t="n">
        <v>0.288</v>
      </c>
      <c r="O28" s="30">
        <f>(1-ABS(M28-N28)/M28)*100</f>
        <v/>
      </c>
      <c r="P28" s="31" t="n"/>
      <c r="Q28" s="32" t="n">
        <v>0.646</v>
      </c>
      <c r="R28" s="28" t="n"/>
      <c r="S28" s="33" t="n">
        <v>16.9</v>
      </c>
      <c r="T28" s="31" t="n">
        <v>12.5</v>
      </c>
      <c r="U28" s="30">
        <f>(1-ABS(S28-T28)/S28)*100</f>
        <v/>
      </c>
    </row>
    <row r="29">
      <c r="B29" s="26" t="inlineStr">
        <is>
          <t>10/05</t>
        </is>
      </c>
      <c r="C29" s="27" t="n">
        <v>4581</v>
      </c>
      <c r="D29" s="28" t="n">
        <v>2.83</v>
      </c>
      <c r="E29" s="29" t="n">
        <v>2.486</v>
      </c>
      <c r="F29" s="30">
        <f>(1-ABS(D29-E29)/D29)*100</f>
        <v/>
      </c>
      <c r="G29" s="29" t="n">
        <v>0.19</v>
      </c>
      <c r="H29" s="29" t="n">
        <v>0.16</v>
      </c>
      <c r="I29" s="30">
        <f>(1-ABS(G29-H29)/G29)*100</f>
        <v/>
      </c>
      <c r="J29" s="28" t="n">
        <v>1.48</v>
      </c>
      <c r="K29" s="29" t="n">
        <v>0.99</v>
      </c>
      <c r="L29" s="30">
        <f>(1-ABS(J29-K29)/J29)*100</f>
        <v/>
      </c>
      <c r="M29" s="28" t="n">
        <v>0.36</v>
      </c>
      <c r="N29" s="29" t="n">
        <v>0.298</v>
      </c>
      <c r="O29" s="30">
        <f>(1-ABS(M29-N29)/M29)*100</f>
        <v/>
      </c>
      <c r="P29" s="31" t="n"/>
      <c r="Q29" s="32" t="n">
        <v>0.671</v>
      </c>
      <c r="R29" s="28" t="n"/>
      <c r="S29" s="33" t="n">
        <v>15.1</v>
      </c>
      <c r="T29" s="31" t="n">
        <v>11.6</v>
      </c>
      <c r="U29" s="30">
        <f>(1-ABS(S29-T29)/S29)*100</f>
        <v/>
      </c>
    </row>
    <row r="30">
      <c r="B30" s="26" t="inlineStr">
        <is>
          <t>10/06</t>
        </is>
      </c>
      <c r="C30" s="27" t="n">
        <v>4827</v>
      </c>
      <c r="D30" s="28" t="n">
        <v>2.75</v>
      </c>
      <c r="E30" s="29" t="n">
        <v>2.328</v>
      </c>
      <c r="F30" s="30">
        <f>(1-ABS(D30-E30)/D30)*100</f>
        <v/>
      </c>
      <c r="G30" s="29" t="n">
        <v>0.199</v>
      </c>
      <c r="H30" s="29" t="n">
        <v>0.152</v>
      </c>
      <c r="I30" s="30">
        <f>(1-ABS(G30-H30)/G30)*100</f>
        <v/>
      </c>
      <c r="J30" s="28" t="n">
        <v>1.52</v>
      </c>
      <c r="K30" s="29" t="n">
        <v>0.928</v>
      </c>
      <c r="L30" s="30">
        <f>(1-ABS(J30-K30)/J30)*100</f>
        <v/>
      </c>
      <c r="M30" s="28" t="n">
        <v>0.34</v>
      </c>
      <c r="N30" s="29" t="n">
        <v>0.291</v>
      </c>
      <c r="O30" s="30">
        <f>(1-ABS(M30-N30)/M30)*100</f>
        <v/>
      </c>
      <c r="P30" s="31" t="n"/>
      <c r="Q30" s="32" t="n">
        <v>0.647</v>
      </c>
      <c r="R30" s="28" t="n"/>
      <c r="S30" s="33" t="n">
        <v>14.6</v>
      </c>
      <c r="T30" s="31" t="n">
        <v>10.09</v>
      </c>
      <c r="U30" s="30">
        <f>(1-ABS(S30-T30)/S30)*100</f>
        <v/>
      </c>
    </row>
    <row r="31">
      <c r="B31" s="26" t="inlineStr">
        <is>
          <t>10/07</t>
        </is>
      </c>
      <c r="C31" s="27" t="n">
        <v>5042</v>
      </c>
      <c r="D31" s="28" t="n">
        <v>2.82</v>
      </c>
      <c r="E31" s="29" t="n">
        <v>2.359</v>
      </c>
      <c r="F31" s="30">
        <f>(1-ABS(D31-E31)/D31)*100</f>
        <v/>
      </c>
      <c r="G31" s="29" t="n">
        <v>0.19</v>
      </c>
      <c r="H31" s="29" t="n">
        <v>0.153</v>
      </c>
      <c r="I31" s="30">
        <f>(1-ABS(G31-H31)/G31)*100</f>
        <v/>
      </c>
      <c r="J31" s="28" t="n">
        <v>1.47</v>
      </c>
      <c r="K31" s="29" t="n">
        <v>0.9419999999999999</v>
      </c>
      <c r="L31" s="30">
        <f>(1-ABS(J31-K31)/J31)*100</f>
        <v/>
      </c>
      <c r="M31" s="28" t="n">
        <v>0.34</v>
      </c>
      <c r="N31" s="29" t="n">
        <v>0.28</v>
      </c>
      <c r="O31" s="30">
        <f>(1-ABS(M31-N31)/M31)*100</f>
        <v/>
      </c>
      <c r="P31" s="31" t="n"/>
      <c r="Q31" s="32" t="n">
        <v>0.636</v>
      </c>
      <c r="R31" s="28" t="n"/>
      <c r="S31" s="33" t="n">
        <v>14.8</v>
      </c>
      <c r="T31" s="31" t="n">
        <v>11.31</v>
      </c>
      <c r="U31" s="30">
        <f>(1-ABS(S31-T31)/S31)*100</f>
        <v/>
      </c>
    </row>
    <row r="32">
      <c r="B32" s="26" t="inlineStr">
        <is>
          <t>10/08</t>
        </is>
      </c>
      <c r="C32" s="27" t="n">
        <v>2714</v>
      </c>
      <c r="D32" s="28" t="n">
        <v>2.96</v>
      </c>
      <c r="E32" s="29" t="n">
        <v>1.765</v>
      </c>
      <c r="F32" s="30">
        <f>(1-ABS(D32-E32)/D32)*100</f>
        <v/>
      </c>
      <c r="G32" s="29" t="n">
        <v>0.19</v>
      </c>
      <c r="H32" s="29" t="n">
        <v>0.111</v>
      </c>
      <c r="I32" s="30">
        <f>(1-ABS(G32-H32)/G32)*100</f>
        <v/>
      </c>
      <c r="J32" s="28" t="n">
        <v>1.44</v>
      </c>
      <c r="K32" s="29" t="n">
        <v>0.678</v>
      </c>
      <c r="L32" s="30">
        <f>(1-ABS(J32-K32)/J32)*100</f>
        <v/>
      </c>
      <c r="M32" s="28" t="n">
        <v>0.37</v>
      </c>
      <c r="N32" s="29" t="n">
        <v>0.24</v>
      </c>
      <c r="O32" s="30">
        <f>(1-ABS(M32-N32)/M32)*100</f>
        <v/>
      </c>
      <c r="P32" s="31" t="n"/>
      <c r="Q32" s="32" t="n">
        <v>0.488</v>
      </c>
      <c r="R32" s="28" t="n"/>
      <c r="S32" s="33" t="n">
        <v>15.4</v>
      </c>
      <c r="T32" s="31" t="n">
        <v>7.02</v>
      </c>
      <c r="U32" s="30">
        <f>(1-ABS(S32-T32)/S32)*100</f>
        <v/>
      </c>
    </row>
    <row r="33">
      <c r="B33" s="26" t="inlineStr">
        <is>
          <t>10/09</t>
        </is>
      </c>
      <c r="C33" s="27" t="n">
        <v>2373</v>
      </c>
      <c r="D33" s="28" t="n">
        <v>2.76</v>
      </c>
      <c r="E33" s="29" t="n">
        <v>1.73</v>
      </c>
      <c r="F33" s="30">
        <f>(1-ABS(D33-E33)/D33)*100</f>
        <v/>
      </c>
      <c r="G33" s="29" t="n">
        <v>0.18</v>
      </c>
      <c r="H33" s="29" t="n">
        <v>0.106</v>
      </c>
      <c r="I33" s="30">
        <f>(1-ABS(G33-H33)/G33)*100</f>
        <v/>
      </c>
      <c r="J33" s="28" t="n">
        <v>1.34</v>
      </c>
      <c r="K33" s="29" t="n">
        <v>0.673</v>
      </c>
      <c r="L33" s="30">
        <f>(1-ABS(J33-K33)/J33)*100</f>
        <v/>
      </c>
      <c r="M33" s="28" t="n">
        <v>0.37</v>
      </c>
      <c r="N33" s="29" t="n">
        <v>0.222</v>
      </c>
      <c r="O33" s="30">
        <f>(1-ABS(M33-N33)/M33)*100</f>
        <v/>
      </c>
      <c r="P33" s="31" t="n"/>
      <c r="Q33" s="32" t="n">
        <v>0.443</v>
      </c>
      <c r="R33" s="28" t="n"/>
      <c r="S33" s="33" t="n">
        <v>17.9</v>
      </c>
      <c r="T33" s="31" t="n">
        <v>7.69</v>
      </c>
      <c r="U33" s="30">
        <f>(1-ABS(S33-T33)/S33)*100</f>
        <v/>
      </c>
    </row>
    <row r="34">
      <c r="B34" s="26" t="inlineStr">
        <is>
          <t>10/10</t>
        </is>
      </c>
      <c r="C34" s="27" t="n">
        <v>4552</v>
      </c>
      <c r="D34" s="28" t="n">
        <v>2.95</v>
      </c>
      <c r="E34" s="29" t="n">
        <v>2.166</v>
      </c>
      <c r="F34" s="30">
        <f>(1-ABS(D34-E34)/D34)*100</f>
        <v/>
      </c>
      <c r="G34" s="29" t="n">
        <v>0.197</v>
      </c>
      <c r="H34" s="29" t="n">
        <v>0.136</v>
      </c>
      <c r="I34" s="30">
        <f>(1-ABS(G34-H34)/G34)*100</f>
        <v/>
      </c>
      <c r="J34" s="28" t="n">
        <v>1.57</v>
      </c>
      <c r="K34" s="29" t="n">
        <v>0.861</v>
      </c>
      <c r="L34" s="30">
        <f>(1-ABS(J34-K34)/J34)*100</f>
        <v/>
      </c>
      <c r="M34" s="28" t="n">
        <v>0.37</v>
      </c>
      <c r="N34" s="29" t="n">
        <v>0.262</v>
      </c>
      <c r="O34" s="30">
        <f>(1-ABS(M34-N34)/M34)*100</f>
        <v/>
      </c>
      <c r="P34" s="31" t="n"/>
      <c r="Q34" s="32" t="n">
        <v>0.572</v>
      </c>
      <c r="R34" s="28" t="n"/>
      <c r="S34" s="33" t="n">
        <v>16.1</v>
      </c>
      <c r="T34" s="31" t="n">
        <v>10.44</v>
      </c>
      <c r="U34" s="30">
        <f>(1-ABS(S34-T34)/S34)*100</f>
        <v/>
      </c>
    </row>
    <row r="35">
      <c r="B35" s="26" t="inlineStr">
        <is>
          <t>10/11</t>
        </is>
      </c>
      <c r="C35" s="27" t="n">
        <v>5406</v>
      </c>
      <c r="D35" s="28" t="n">
        <v>2.97</v>
      </c>
      <c r="E35" s="29" t="n">
        <v>2.481</v>
      </c>
      <c r="F35" s="30">
        <f>(1-ABS(D35-E35)/D35)*100</f>
        <v/>
      </c>
      <c r="G35" s="29" t="n">
        <v>0.195</v>
      </c>
      <c r="H35" s="29" t="n">
        <v>0.161</v>
      </c>
      <c r="I35" s="30">
        <f>(1-ABS(G35-H35)/G35)*100</f>
        <v/>
      </c>
      <c r="J35" s="28" t="n">
        <v>1.43</v>
      </c>
      <c r="K35" s="29" t="n">
        <v>0.992</v>
      </c>
      <c r="L35" s="30">
        <f>(1-ABS(J35-K35)/J35)*100</f>
        <v/>
      </c>
      <c r="M35" s="28" t="n">
        <v>0.4</v>
      </c>
      <c r="N35" s="29" t="n">
        <v>0.28</v>
      </c>
      <c r="O35" s="30">
        <f>(1-ABS(M35-N35)/M35)*100</f>
        <v/>
      </c>
      <c r="P35" s="31" t="n"/>
      <c r="Q35" s="32" t="n">
        <v>0.661</v>
      </c>
      <c r="R35" s="28" t="n"/>
      <c r="S35" s="33" t="n">
        <v>16.9</v>
      </c>
      <c r="T35" s="31" t="n">
        <v>12.04</v>
      </c>
      <c r="U35" s="30">
        <f>(1-ABS(S35-T35)/S35)*100</f>
        <v/>
      </c>
    </row>
    <row r="36">
      <c r="B36" s="26" t="inlineStr">
        <is>
          <t>10/12</t>
        </is>
      </c>
      <c r="C36" s="27" t="n">
        <v>5117</v>
      </c>
      <c r="D36" s="28" t="n">
        <v>2.93</v>
      </c>
      <c r="E36" s="29" t="n">
        <v>2.461</v>
      </c>
      <c r="F36" s="30">
        <f>(1-ABS(D36-E36)/D36)*100</f>
        <v/>
      </c>
      <c r="G36" s="29" t="n">
        <v>0.191</v>
      </c>
      <c r="H36" s="29" t="n">
        <v>0.159</v>
      </c>
      <c r="I36" s="30">
        <f>(1-ABS(G36-H36)/G36)*100</f>
        <v/>
      </c>
      <c r="J36" s="28" t="n">
        <v>1.47</v>
      </c>
      <c r="K36" s="29" t="n">
        <v>0.982</v>
      </c>
      <c r="L36" s="30">
        <f>(1-ABS(J36-K36)/J36)*100</f>
        <v/>
      </c>
      <c r="M36" s="28" t="n">
        <v>0.39</v>
      </c>
      <c r="N36" s="29" t="n">
        <v>0.301</v>
      </c>
      <c r="O36" s="30">
        <f>(1-ABS(M36-N36)/M36)*100</f>
        <v/>
      </c>
      <c r="P36" s="31" t="n"/>
      <c r="Q36" s="32" t="n">
        <v>0.66</v>
      </c>
      <c r="R36" s="28" t="n"/>
      <c r="S36" s="33" t="n">
        <v>14.3</v>
      </c>
      <c r="T36" s="31" t="n">
        <v>11.37</v>
      </c>
      <c r="U36" s="30">
        <f>(1-ABS(S36-T36)/S36)*100</f>
        <v/>
      </c>
    </row>
    <row r="37">
      <c r="B37" s="26" t="inlineStr">
        <is>
          <t>10/13</t>
        </is>
      </c>
      <c r="C37" s="27" t="n">
        <v>5641</v>
      </c>
      <c r="D37" s="28" t="n">
        <v>2.96</v>
      </c>
      <c r="E37" s="29" t="n">
        <v>1.621</v>
      </c>
      <c r="F37" s="30">
        <f>(1-ABS(D37-E37)/D37)*100</f>
        <v/>
      </c>
      <c r="G37" s="29" t="n">
        <v>0.189</v>
      </c>
      <c r="H37" s="29" t="n">
        <v>0.097</v>
      </c>
      <c r="I37" s="30">
        <f>(1-ABS(G37-H37)/G37)*100</f>
        <v/>
      </c>
      <c r="J37" s="28" t="n">
        <v>1.27</v>
      </c>
      <c r="K37" s="29" t="n">
        <v>0.626</v>
      </c>
      <c r="L37" s="30">
        <f>(1-ABS(J37-K37)/J37)*100</f>
        <v/>
      </c>
      <c r="M37" s="28" t="n">
        <v>0.38</v>
      </c>
      <c r="N37" s="29" t="n">
        <v>0.214</v>
      </c>
      <c r="O37" s="30">
        <f>(1-ABS(M37-N37)/M37)*100</f>
        <v/>
      </c>
      <c r="P37" s="31" t="n"/>
      <c r="Q37" s="32" t="n">
        <v>0.411</v>
      </c>
      <c r="R37" s="28" t="n"/>
      <c r="S37" s="33" t="n">
        <v>18.1</v>
      </c>
      <c r="T37" s="31" t="n">
        <v>7.06</v>
      </c>
      <c r="U37" s="30">
        <f>(1-ABS(S37-T37)/S37)*100</f>
        <v/>
      </c>
    </row>
    <row r="38">
      <c r="B38" s="26" t="inlineStr">
        <is>
          <t>10/14</t>
        </is>
      </c>
      <c r="C38" s="27" t="n">
        <v>3918</v>
      </c>
      <c r="D38" s="28" t="n">
        <v>2.96</v>
      </c>
      <c r="E38" s="29" t="n">
        <v>2.413</v>
      </c>
      <c r="F38" s="30">
        <f>(1-ABS(D38-E38)/D38)*100</f>
        <v/>
      </c>
      <c r="G38" s="29" t="n">
        <v>0.193</v>
      </c>
      <c r="H38" s="29" t="n">
        <v>0.155</v>
      </c>
      <c r="I38" s="30">
        <f>(1-ABS(G38-H38)/G38)*100</f>
        <v/>
      </c>
      <c r="J38" s="28" t="n">
        <v>1.41</v>
      </c>
      <c r="K38" s="29" t="n">
        <v>0.958</v>
      </c>
      <c r="L38" s="30">
        <f>(1-ABS(J38-K38)/J38)*100</f>
        <v/>
      </c>
      <c r="M38" s="28" t="n">
        <v>0.35</v>
      </c>
      <c r="N38" s="29" t="n">
        <v>0.292</v>
      </c>
      <c r="O38" s="30">
        <f>(1-ABS(M38-N38)/M38)*100</f>
        <v/>
      </c>
      <c r="P38" s="31" t="n"/>
      <c r="Q38" s="32" t="n">
        <v>0.652</v>
      </c>
      <c r="R38" s="28" t="n"/>
      <c r="S38" s="33" t="n">
        <v>17.2</v>
      </c>
      <c r="T38" s="31" t="n">
        <v>11.14</v>
      </c>
      <c r="U38" s="30">
        <f>(1-ABS(S38-T38)/S38)*100</f>
        <v/>
      </c>
    </row>
    <row r="39">
      <c r="B39" s="26" t="inlineStr">
        <is>
          <t>10/15</t>
        </is>
      </c>
      <c r="C39" s="27" t="n">
        <v>4766</v>
      </c>
      <c r="D39" s="28" t="n">
        <v>2.9</v>
      </c>
      <c r="E39" s="29" t="n">
        <v>2.5</v>
      </c>
      <c r="F39" s="30">
        <f>(1-ABS(D39-E39)/D39)*100</f>
        <v/>
      </c>
      <c r="G39" s="29" t="n">
        <v>0.189</v>
      </c>
      <c r="H39" s="29" t="n">
        <v>0.162</v>
      </c>
      <c r="I39" s="30">
        <f>(1-ABS(G39-H39)/G39)*100</f>
        <v/>
      </c>
      <c r="J39" s="28" t="n">
        <v>1.4</v>
      </c>
      <c r="K39" s="29" t="n">
        <v>1.016</v>
      </c>
      <c r="L39" s="30">
        <f>(1-ABS(J39-K39)/J39)*100</f>
        <v/>
      </c>
      <c r="M39" s="28" t="n">
        <v>0.39</v>
      </c>
      <c r="N39" s="29" t="n">
        <v>0.305</v>
      </c>
      <c r="O39" s="30">
        <f>(1-ABS(M39-N39)/M39)*100</f>
        <v/>
      </c>
      <c r="P39" s="31" t="n"/>
      <c r="Q39" s="32" t="n">
        <v>0.648</v>
      </c>
      <c r="R39" s="28" t="n"/>
      <c r="S39" s="33" t="n">
        <v>16.9</v>
      </c>
      <c r="T39" s="31" t="n">
        <v>12.24</v>
      </c>
      <c r="U39" s="30">
        <f>(1-ABS(S39-T39)/S39)*100</f>
        <v/>
      </c>
    </row>
    <row r="40">
      <c r="B40" s="26" t="inlineStr">
        <is>
          <t>10/16</t>
        </is>
      </c>
      <c r="C40" s="27" t="n">
        <v>5627</v>
      </c>
      <c r="D40" s="28" t="n">
        <v>2.98</v>
      </c>
      <c r="E40" s="29" t="n">
        <v>2.115</v>
      </c>
      <c r="F40" s="30">
        <f>(1-ABS(D40-E40)/D40)*100</f>
        <v/>
      </c>
      <c r="G40" s="29" t="n">
        <v>0.196</v>
      </c>
      <c r="H40" s="29" t="n">
        <v>0.136</v>
      </c>
      <c r="I40" s="30">
        <f>(1-ABS(G40-H40)/G40)*100</f>
        <v/>
      </c>
      <c r="J40" s="28" t="n">
        <v>1.56</v>
      </c>
      <c r="K40" s="29" t="n">
        <v>0.829</v>
      </c>
      <c r="L40" s="30">
        <f>(1-ABS(J40-K40)/J40)*100</f>
        <v/>
      </c>
      <c r="M40" s="28" t="n">
        <v>0.37</v>
      </c>
      <c r="N40" s="29" t="n">
        <v>0.27</v>
      </c>
      <c r="O40" s="30">
        <f>(1-ABS(M40-N40)/M40)*100</f>
        <v/>
      </c>
      <c r="P40" s="31" t="n"/>
      <c r="Q40" s="32" t="n">
        <v>0.581</v>
      </c>
      <c r="R40" s="28" t="n"/>
      <c r="S40" s="33" t="n">
        <v>14.9</v>
      </c>
      <c r="T40" s="31" t="n">
        <v>9.279999999999999</v>
      </c>
      <c r="U40" s="30">
        <f>(1-ABS(S40-T40)/S40)*100</f>
        <v/>
      </c>
    </row>
    <row r="41">
      <c r="B41" s="26" t="inlineStr">
        <is>
          <t>10/17</t>
        </is>
      </c>
      <c r="C41" s="27" t="n">
        <v>5347</v>
      </c>
      <c r="D41" s="28" t="n">
        <v>2.97</v>
      </c>
      <c r="E41" s="29" t="n">
        <v>2.241</v>
      </c>
      <c r="F41" s="30">
        <f>(1-ABS(D41-E41)/D41)*100</f>
        <v/>
      </c>
      <c r="G41" s="29" t="n">
        <v>0.195</v>
      </c>
      <c r="H41" s="29" t="n">
        <v>0.143</v>
      </c>
      <c r="I41" s="30">
        <f>(1-ABS(G41-H41)/G41)*100</f>
        <v/>
      </c>
      <c r="J41" s="28" t="n">
        <v>1.54</v>
      </c>
      <c r="K41" s="29" t="n">
        <v>0.9</v>
      </c>
      <c r="L41" s="30">
        <f>(1-ABS(J41-K41)/J41)*100</f>
        <v/>
      </c>
      <c r="M41" s="28" t="n">
        <v>0.38</v>
      </c>
      <c r="N41" s="29" t="n">
        <v>0.277</v>
      </c>
      <c r="O41" s="30">
        <f>(1-ABS(M41-N41)/M41)*100</f>
        <v/>
      </c>
      <c r="P41" s="31" t="n"/>
      <c r="Q41" s="32" t="n">
        <v>0.589</v>
      </c>
      <c r="R41" s="28" t="n"/>
      <c r="S41" s="33" t="n">
        <v>15.1</v>
      </c>
      <c r="T41" s="31" t="n">
        <v>10.49</v>
      </c>
      <c r="U41" s="30">
        <f>(1-ABS(S41-T41)/S41)*100</f>
        <v/>
      </c>
    </row>
    <row r="42">
      <c r="B42" s="26" t="inlineStr">
        <is>
          <t>10/18</t>
        </is>
      </c>
      <c r="C42" s="27" t="n">
        <v>5798</v>
      </c>
      <c r="D42" s="28" t="n">
        <v>2.76</v>
      </c>
      <c r="E42" s="29" t="n">
        <v>2.08</v>
      </c>
      <c r="F42" s="30">
        <f>(1-ABS(D42-E42)/D42)*100</f>
        <v/>
      </c>
      <c r="G42" s="29" t="n">
        <v>0.195</v>
      </c>
      <c r="H42" s="29" t="n">
        <v>0.134</v>
      </c>
      <c r="I42" s="30">
        <f>(1-ABS(G42-H42)/G42)*100</f>
        <v/>
      </c>
      <c r="J42" s="28" t="n">
        <v>1.44</v>
      </c>
      <c r="K42" s="29" t="n">
        <v>0.8169999999999999</v>
      </c>
      <c r="L42" s="30">
        <f>(1-ABS(J42-K42)/J42)*100</f>
        <v/>
      </c>
      <c r="M42" s="28" t="n">
        <v>0.4</v>
      </c>
      <c r="N42" s="29" t="n">
        <v>0.273</v>
      </c>
      <c r="O42" s="30">
        <f>(1-ABS(M42-N42)/M42)*100</f>
        <v/>
      </c>
      <c r="P42" s="31" t="n"/>
      <c r="Q42" s="32" t="n">
        <v>0.58</v>
      </c>
      <c r="R42" s="28" t="n"/>
      <c r="S42" s="33" t="n">
        <v>16</v>
      </c>
      <c r="T42" s="31" t="n">
        <v>8.859999999999999</v>
      </c>
      <c r="U42" s="30">
        <f>(1-ABS(S42-T42)/S42)*100</f>
        <v/>
      </c>
    </row>
    <row r="43">
      <c r="B43" s="26" t="inlineStr">
        <is>
          <t>10/19</t>
        </is>
      </c>
      <c r="C43" s="27" t="n">
        <v>5936</v>
      </c>
      <c r="D43" s="28" t="n">
        <v>2.94</v>
      </c>
      <c r="E43" s="29" t="n">
        <v>2.174</v>
      </c>
      <c r="F43" s="30">
        <f>(1-ABS(D43-E43)/D43)*100</f>
        <v/>
      </c>
      <c r="G43" s="29" t="n">
        <v>0.2</v>
      </c>
      <c r="H43" s="29" t="n">
        <v>0.14</v>
      </c>
      <c r="I43" s="30">
        <f>(1-ABS(G43-H43)/G43)*100</f>
        <v/>
      </c>
      <c r="J43" s="28" t="n">
        <v>1.46</v>
      </c>
      <c r="K43" s="29" t="n">
        <v>0.859</v>
      </c>
      <c r="L43" s="30">
        <f>(1-ABS(J43-K43)/J43)*100</f>
        <v/>
      </c>
      <c r="M43" s="28" t="n">
        <v>0.39</v>
      </c>
      <c r="N43" s="29" t="n">
        <v>0.274</v>
      </c>
      <c r="O43" s="30">
        <f>(1-ABS(M43-N43)/M43)*100</f>
        <v/>
      </c>
      <c r="P43" s="31" t="n"/>
      <c r="Q43" s="32" t="n">
        <v>0.595</v>
      </c>
      <c r="R43" s="28" t="n"/>
      <c r="S43" s="33" t="n">
        <v>16.3</v>
      </c>
      <c r="T43" s="31" t="n">
        <v>9.199999999999999</v>
      </c>
      <c r="U43" s="30">
        <f>(1-ABS(S43-T43)/S43)*100</f>
        <v/>
      </c>
    </row>
    <row r="44">
      <c r="B44" s="26" t="inlineStr">
        <is>
          <t>10/20</t>
        </is>
      </c>
      <c r="C44" s="27" t="n">
        <v>6264</v>
      </c>
      <c r="D44" s="28" t="n">
        <v>2.95</v>
      </c>
      <c r="E44" s="29" t="n">
        <v>2.181</v>
      </c>
      <c r="F44" s="30">
        <f>(1-ABS(D44-E44)/D44)*100</f>
        <v/>
      </c>
      <c r="G44" s="29" t="n">
        <v>0.183</v>
      </c>
      <c r="H44" s="29" t="n">
        <v>0.14</v>
      </c>
      <c r="I44" s="30">
        <f>(1-ABS(G44-H44)/G44)*100</f>
        <v/>
      </c>
      <c r="J44" s="28" t="n">
        <v>1.34</v>
      </c>
      <c r="K44" s="29" t="n">
        <v>0.852</v>
      </c>
      <c r="L44" s="30">
        <f>(1-ABS(J44-K44)/J44)*100</f>
        <v/>
      </c>
      <c r="M44" s="28" t="n">
        <v>0.35</v>
      </c>
      <c r="N44" s="29" t="n">
        <v>0.272</v>
      </c>
      <c r="O44" s="30">
        <f>(1-ABS(M44-N44)/M44)*100</f>
        <v/>
      </c>
      <c r="P44" s="31" t="n"/>
      <c r="Q44" s="32" t="n">
        <v>0.611</v>
      </c>
      <c r="R44" s="28" t="n"/>
      <c r="S44" s="33" t="n">
        <v>16.7</v>
      </c>
      <c r="T44" s="31" t="n">
        <v>9.51</v>
      </c>
      <c r="U44" s="30">
        <f>(1-ABS(S44-T44)/S44)*100</f>
        <v/>
      </c>
    </row>
    <row r="45">
      <c r="B45" s="26" t="inlineStr">
        <is>
          <t>10/21</t>
        </is>
      </c>
      <c r="C45" s="27" t="n">
        <v>3147</v>
      </c>
      <c r="D45" s="28" t="n">
        <v>2.77</v>
      </c>
      <c r="E45" s="29" t="n">
        <v>2.527</v>
      </c>
      <c r="F45" s="30">
        <f>(1-ABS(D45-E45)/D45)*100</f>
        <v/>
      </c>
      <c r="G45" s="29" t="n">
        <v>0.19</v>
      </c>
      <c r="H45" s="29" t="n">
        <v>0.165</v>
      </c>
      <c r="I45" s="30">
        <f>(1-ABS(G45-H45)/G45)*100</f>
        <v/>
      </c>
      <c r="J45" s="28" t="n">
        <v>1.41</v>
      </c>
      <c r="K45" s="29" t="n">
        <v>1.038</v>
      </c>
      <c r="L45" s="30">
        <f>(1-ABS(J45-K45)/J45)*100</f>
        <v/>
      </c>
      <c r="M45" s="28" t="n">
        <v>0.38</v>
      </c>
      <c r="N45" s="29" t="n">
        <v>0.285</v>
      </c>
      <c r="O45" s="30">
        <f>(1-ABS(M45-N45)/M45)*100</f>
        <v/>
      </c>
      <c r="P45" s="31" t="n"/>
      <c r="Q45" s="32" t="n">
        <v>0.646</v>
      </c>
      <c r="R45" s="28" t="n"/>
      <c r="S45" s="33" t="n">
        <v>14.6</v>
      </c>
      <c r="T45" s="31" t="n">
        <v>12.27</v>
      </c>
      <c r="U45" s="30">
        <f>(1-ABS(S45-T45)/S45)*100</f>
        <v/>
      </c>
    </row>
    <row r="46">
      <c r="B46" s="26" t="inlineStr">
        <is>
          <t>10/22</t>
        </is>
      </c>
      <c r="C46" s="27" t="n">
        <v>2942</v>
      </c>
      <c r="D46" s="28" t="n">
        <v>2.86</v>
      </c>
      <c r="E46" s="29" t="n">
        <v>2.498</v>
      </c>
      <c r="F46" s="30">
        <f>(1-ABS(D46-E46)/D46)*100</f>
        <v/>
      </c>
      <c r="G46" s="29" t="n">
        <v>0.189</v>
      </c>
      <c r="H46" s="29" t="n">
        <v>0.16</v>
      </c>
      <c r="I46" s="30">
        <f>(1-ABS(G46-H46)/G46)*100</f>
        <v/>
      </c>
      <c r="J46" s="28" t="n">
        <v>1.33</v>
      </c>
      <c r="K46" s="29" t="n">
        <v>0.985</v>
      </c>
      <c r="L46" s="30">
        <f>(1-ABS(J46-K46)/J46)*100</f>
        <v/>
      </c>
      <c r="M46" s="28" t="n">
        <v>0.39</v>
      </c>
      <c r="N46" s="29" t="n">
        <v>0.311</v>
      </c>
      <c r="O46" s="30">
        <f>(1-ABS(M46-N46)/M46)*100</f>
        <v/>
      </c>
      <c r="P46" s="31" t="n"/>
      <c r="Q46" s="32" t="n">
        <v>0.6909999999999999</v>
      </c>
      <c r="R46" s="28" t="n"/>
      <c r="S46" s="33" t="n">
        <v>18.4</v>
      </c>
      <c r="T46" s="31" t="n">
        <v>11.16</v>
      </c>
      <c r="U46" s="30">
        <f>(1-ABS(S46-T46)/S46)*100</f>
        <v/>
      </c>
    </row>
    <row r="47">
      <c r="B47" s="26" t="inlineStr">
        <is>
          <t>10/23</t>
        </is>
      </c>
      <c r="C47" s="27" t="n">
        <v>6099</v>
      </c>
      <c r="D47" s="28" t="n">
        <v>2.72</v>
      </c>
      <c r="E47" s="29" t="n">
        <v>2.511</v>
      </c>
      <c r="F47" s="30">
        <f>(1-ABS(D47-E47)/D47)*100</f>
        <v/>
      </c>
      <c r="G47" s="29" t="n">
        <v>0.186</v>
      </c>
      <c r="H47" s="29" t="n">
        <v>0.164</v>
      </c>
      <c r="I47" s="30">
        <f>(1-ABS(G47-H47)/G47)*100</f>
        <v/>
      </c>
      <c r="J47" s="28" t="n">
        <v>1.26</v>
      </c>
      <c r="K47" s="29" t="n">
        <v>1.026</v>
      </c>
      <c r="L47" s="30">
        <f>(1-ABS(J47-K47)/J47)*100</f>
        <v/>
      </c>
      <c r="M47" s="28" t="n">
        <v>0.41</v>
      </c>
      <c r="N47" s="29" t="n">
        <v>0.283</v>
      </c>
      <c r="O47" s="30">
        <f>(1-ABS(M47-N47)/M47)*100</f>
        <v/>
      </c>
      <c r="P47" s="31" t="n"/>
      <c r="Q47" s="32" t="n">
        <v>0.648</v>
      </c>
      <c r="R47" s="28" t="n"/>
      <c r="S47" s="33" t="n">
        <v>18</v>
      </c>
      <c r="T47" s="31" t="n">
        <v>12.52</v>
      </c>
      <c r="U47" s="30">
        <f>(1-ABS(S47-T47)/S47)*100</f>
        <v/>
      </c>
    </row>
    <row r="48">
      <c r="B48" s="26" t="inlineStr">
        <is>
          <t>10/24</t>
        </is>
      </c>
      <c r="C48" s="27" t="n">
        <v>2937</v>
      </c>
      <c r="D48" s="28" t="n">
        <v>2.82</v>
      </c>
      <c r="E48" s="29" t="n">
        <v>2.434</v>
      </c>
      <c r="F48" s="30">
        <f>(1-ABS(D48-E48)/D48)*100</f>
        <v/>
      </c>
      <c r="G48" s="29" t="n">
        <v>0.19</v>
      </c>
      <c r="H48" s="29" t="n">
        <v>0.159</v>
      </c>
      <c r="I48" s="30">
        <f>(1-ABS(G48-H48)/G48)*100</f>
        <v/>
      </c>
      <c r="J48" s="28" t="n">
        <v>1.43</v>
      </c>
      <c r="K48" s="29" t="n">
        <v>0.976</v>
      </c>
      <c r="L48" s="30">
        <f>(1-ABS(J48-K48)/J48)*100</f>
        <v/>
      </c>
      <c r="M48" s="28" t="n">
        <v>0.36</v>
      </c>
      <c r="N48" s="29" t="n">
        <v>0.3</v>
      </c>
      <c r="O48" s="30">
        <f>(1-ABS(M48-N48)/M48)*100</f>
        <v/>
      </c>
      <c r="P48" s="31" t="n"/>
      <c r="Q48" s="32" t="n">
        <v>0.663</v>
      </c>
      <c r="R48" s="28" t="n"/>
      <c r="S48" s="33" t="n">
        <v>18.1</v>
      </c>
      <c r="T48" s="31" t="n">
        <v>11.08</v>
      </c>
      <c r="U48" s="30">
        <f>(1-ABS(S48-T48)/S48)*100</f>
        <v/>
      </c>
    </row>
    <row r="49">
      <c r="B49" s="26" t="inlineStr">
        <is>
          <t>10/25</t>
        </is>
      </c>
      <c r="C49" s="27" t="n">
        <v>2621</v>
      </c>
      <c r="D49" s="28" t="n">
        <v>2.78</v>
      </c>
      <c r="E49" s="29" t="n">
        <v>2.544</v>
      </c>
      <c r="F49" s="30">
        <f>(1-ABS(D49-E49)/D49)*100</f>
        <v/>
      </c>
      <c r="G49" s="29" t="n">
        <v>0.189</v>
      </c>
      <c r="H49" s="29" t="n">
        <v>0.166</v>
      </c>
      <c r="I49" s="30">
        <f>(1-ABS(G49-H49)/G49)*100</f>
        <v/>
      </c>
      <c r="J49" s="28" t="n">
        <v>1.41</v>
      </c>
      <c r="K49" s="29" t="n">
        <v>1.035</v>
      </c>
      <c r="L49" s="30">
        <f>(1-ABS(J49-K49)/J49)*100</f>
        <v/>
      </c>
      <c r="M49" s="28" t="n">
        <v>0.35</v>
      </c>
      <c r="N49" s="29" t="n">
        <v>0.277</v>
      </c>
      <c r="O49" s="30">
        <f>(1-ABS(M49-N49)/M49)*100</f>
        <v/>
      </c>
      <c r="P49" s="31" t="n"/>
      <c r="Q49" s="32" t="n">
        <v>0.65</v>
      </c>
      <c r="R49" s="28" t="n"/>
      <c r="S49" s="33" t="n">
        <v>17.3</v>
      </c>
      <c r="T49" s="31" t="n">
        <v>13.07</v>
      </c>
      <c r="U49" s="30">
        <f>(1-ABS(S49-T49)/S49)*100</f>
        <v/>
      </c>
    </row>
    <row r="50" ht="35" customHeight="1">
      <c r="A50" s="35" t="inlineStr">
        <is>
          <t>AVG ACCURACY</t>
        </is>
      </c>
      <c r="F50" s="36">
        <f>AVERAGE(F7:F49)</f>
        <v/>
      </c>
      <c r="I50" s="37">
        <f>AVERAGE(I7:I49)</f>
        <v/>
      </c>
      <c r="L50" s="37">
        <f>AVERAGE(L7:L49)</f>
        <v/>
      </c>
      <c r="O50" s="37">
        <f>AVERAGE(O7:O49)</f>
        <v/>
      </c>
      <c r="R50" s="38" t="inlineStr">
        <is>
          <t>-</t>
        </is>
      </c>
      <c r="U50" s="37">
        <f>AVERAGE(U7:U49)</f>
        <v/>
      </c>
    </row>
    <row r="51" ht="40" customHeight="1">
      <c r="A51" s="39" t="inlineStr">
        <is>
          <t>Best result closer to 0</t>
        </is>
      </c>
      <c r="B51" s="26" t="inlineStr">
        <is>
          <t>R^2 (Coefficient of determination)</t>
        </is>
      </c>
      <c r="C51" s="40" t="n"/>
      <c r="D51" s="41">
        <f>RSQ(E7:E49, D7:D49)</f>
        <v/>
      </c>
      <c r="E51" s="42" t="n"/>
      <c r="F51" s="40" t="n"/>
      <c r="G51" s="41">
        <f>RSQ(H7:H49, G7:G49)</f>
        <v/>
      </c>
      <c r="H51" s="42" t="n"/>
      <c r="I51" s="40" t="n"/>
      <c r="J51" s="41">
        <f>RSQ(K7:K49, J7:J49)</f>
        <v/>
      </c>
      <c r="K51" s="42" t="n"/>
      <c r="L51" s="40" t="n"/>
      <c r="M51" s="41">
        <f>RSQ(N7:N49, M7:M49)</f>
        <v/>
      </c>
      <c r="N51" s="42" t="n"/>
      <c r="O51" s="40" t="n"/>
      <c r="P51" s="43" t="inlineStr">
        <is>
          <t>-</t>
        </is>
      </c>
      <c r="Q51" s="42" t="n"/>
      <c r="R51" s="40" t="n"/>
      <c r="S51" s="43">
        <f>RSQ(T7:T49, S7:S49)</f>
        <v/>
      </c>
      <c r="T51" s="42" t="n"/>
      <c r="U51" s="40" t="n"/>
    </row>
    <row r="52" ht="39" customHeight="1">
      <c r="A52" s="39" t="inlineStr">
        <is>
          <t>Best result closer to 1</t>
        </is>
      </c>
      <c r="B52" s="26" t="inlineStr">
        <is>
          <t>MAE (Average size of prediction errors)</t>
        </is>
      </c>
      <c r="C52" s="40" t="n"/>
      <c r="D52" s="41">
        <f>SUMPRODUCT(ABS(D7:D49-E7:E49))/COUNT(D7:D49)</f>
        <v/>
      </c>
      <c r="E52" s="42" t="n"/>
      <c r="F52" s="40" t="n"/>
      <c r="G52" s="41">
        <f>SUMPRODUCT(ABS(G7:G49-H7:H49))/COUNT(G7:G49)</f>
        <v/>
      </c>
      <c r="H52" s="42" t="n"/>
      <c r="I52" s="40" t="n"/>
      <c r="J52" s="41">
        <f>SUMPRODUCT(ABS(J7:J49-K7:K49))/COUNT(J7:J49)</f>
        <v/>
      </c>
      <c r="K52" s="42" t="n"/>
      <c r="L52" s="40" t="n"/>
      <c r="M52" s="41">
        <f>SUMPRODUCT(ABS(M7:M49-N7:N49))/COUNT(M7:M49)</f>
        <v/>
      </c>
      <c r="N52" s="42" t="n"/>
      <c r="O52" s="40" t="n"/>
      <c r="P52" s="43" t="inlineStr">
        <is>
          <t>-</t>
        </is>
      </c>
      <c r="Q52" s="42" t="n"/>
      <c r="R52" s="40" t="n"/>
      <c r="S52" s="43">
        <f>SUMPRODUCT(ABS(S7:S49-T7:T49))/COUNT(S7:S49)</f>
        <v/>
      </c>
      <c r="T52" s="42" t="n"/>
      <c r="U52" s="40" t="n"/>
    </row>
    <row r="53" ht="66" customHeight="1">
      <c r="A53" s="39" t="inlineStr">
        <is>
          <t>Best result closer to 1</t>
        </is>
      </c>
      <c r="B53" s="26" t="inlineStr">
        <is>
          <t>RMSE (Prediction error, with larger mistakes penalised more)</t>
        </is>
      </c>
      <c r="C53" s="40" t="n"/>
      <c r="D53" s="41">
        <f>SQRT(SUMXMY2(D7:D49, E7:E49)/COUNT(D7:D49))</f>
        <v/>
      </c>
      <c r="E53" s="42" t="n"/>
      <c r="F53" s="40" t="n"/>
      <c r="G53" s="41">
        <f>SQRT(SUMXMY2(G7:G49, H7:H49)/COUNT(G7:G49))</f>
        <v/>
      </c>
      <c r="H53" s="42" t="n"/>
      <c r="I53" s="40" t="n"/>
      <c r="J53" s="41">
        <f>SQRT(SUMXMY2(J7:J49, K7:K49)/COUNT(J7:J49))</f>
        <v/>
      </c>
      <c r="K53" s="42" t="n"/>
      <c r="L53" s="40" t="n"/>
      <c r="M53" s="41">
        <f>SQRT(SUMXMY2(M7:M49, N7:N49)/COUNT(M7:M49))</f>
        <v/>
      </c>
      <c r="N53" s="42" t="n"/>
      <c r="O53" s="40" t="n"/>
      <c r="P53" s="43" t="inlineStr">
        <is>
          <t>-</t>
        </is>
      </c>
      <c r="Q53" s="42" t="n"/>
      <c r="R53" s="40" t="n"/>
      <c r="S53" s="43">
        <f>SQRT(SUMXMY2(S7:S49, T7:T49)/COUNT(S7:S49))</f>
        <v/>
      </c>
      <c r="T53" s="42" t="n"/>
      <c r="U53" s="40" t="n"/>
    </row>
  </sheetData>
  <mergeCells count="31">
    <mergeCell ref="P52:R52"/>
    <mergeCell ref="B4:O4"/>
    <mergeCell ref="G53:I53"/>
    <mergeCell ref="D53:F53"/>
    <mergeCell ref="B52:C52"/>
    <mergeCell ref="S53:U53"/>
    <mergeCell ref="G5:I5"/>
    <mergeCell ref="P53:R53"/>
    <mergeCell ref="G51:I51"/>
    <mergeCell ref="B53:C53"/>
    <mergeCell ref="D51:F51"/>
    <mergeCell ref="J51:L51"/>
    <mergeCell ref="S5:U5"/>
    <mergeCell ref="D5:F5"/>
    <mergeCell ref="P5:R5"/>
    <mergeCell ref="J52:L52"/>
    <mergeCell ref="S51:U51"/>
    <mergeCell ref="M53:O53"/>
    <mergeCell ref="G52:I52"/>
    <mergeCell ref="P51:R51"/>
    <mergeCell ref="B5:B6"/>
    <mergeCell ref="P4:U4"/>
    <mergeCell ref="J5:L5"/>
    <mergeCell ref="B51:C51"/>
    <mergeCell ref="M52:O52"/>
    <mergeCell ref="M5:O5"/>
    <mergeCell ref="S52:U52"/>
    <mergeCell ref="C5:C6"/>
    <mergeCell ref="D52:F52"/>
    <mergeCell ref="M51:O51"/>
    <mergeCell ref="J53:L53"/>
  </mergeCells>
  <conditionalFormatting sqref="F7:F49 I7:I49 L7:L49 O7:O49 U7:U49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2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3" t="n"/>
      <c r="P4" s="14" t="inlineStr">
        <is>
          <t>On-going Research for Ca and B Models</t>
        </is>
      </c>
      <c r="Q4" s="15" t="n"/>
      <c r="R4" s="15" t="n"/>
      <c r="S4" s="15" t="n"/>
      <c r="T4" s="15" t="n"/>
      <c r="U4" s="16" t="n"/>
    </row>
    <row r="5" ht="34" customHeight="1">
      <c r="B5" s="17" t="inlineStr">
        <is>
          <t>Plot</t>
        </is>
      </c>
      <c r="C5" s="18" t="inlineStr">
        <is>
          <t>Pixels sampled</t>
        </is>
      </c>
      <c r="D5" s="19" t="inlineStr">
        <is>
          <t>N</t>
        </is>
      </c>
      <c r="E5" s="15" t="n"/>
      <c r="F5" s="16" t="n"/>
      <c r="G5" s="19" t="inlineStr">
        <is>
          <t>P (%)</t>
        </is>
      </c>
      <c r="H5" s="15" t="n"/>
      <c r="I5" s="16" t="n"/>
      <c r="J5" s="19" t="inlineStr">
        <is>
          <t>K (%)</t>
        </is>
      </c>
      <c r="K5" s="15" t="n"/>
      <c r="L5" s="16" t="n"/>
      <c r="M5" s="19" t="inlineStr">
        <is>
          <t>Mg (%)</t>
        </is>
      </c>
      <c r="N5" s="15" t="n"/>
      <c r="O5" s="16" t="n"/>
      <c r="P5" s="20" t="inlineStr">
        <is>
          <t>Ca (%)</t>
        </is>
      </c>
      <c r="Q5" s="15" t="n"/>
      <c r="R5" s="16" t="n"/>
      <c r="S5" s="20" t="inlineStr">
        <is>
          <t>B (%)</t>
        </is>
      </c>
      <c r="T5" s="15" t="n"/>
      <c r="U5" s="16" t="n"/>
    </row>
    <row r="6" ht="34" customHeight="1">
      <c r="B6" s="21" t="n"/>
      <c r="C6" s="22" t="n"/>
      <c r="D6" s="23" t="inlineStr">
        <is>
          <t>Lab Actual (%)</t>
        </is>
      </c>
      <c r="E6" s="24" t="inlineStr">
        <is>
          <t>Prediction (%)</t>
        </is>
      </c>
      <c r="F6" s="25" t="inlineStr">
        <is>
          <t>Accuracy (%)</t>
        </is>
      </c>
      <c r="G6" s="23" t="inlineStr">
        <is>
          <t>Lab Actual (%)</t>
        </is>
      </c>
      <c r="H6" s="24" t="inlineStr">
        <is>
          <t>Prediction (%)</t>
        </is>
      </c>
      <c r="I6" s="25" t="inlineStr">
        <is>
          <t>Accuracy (%)</t>
        </is>
      </c>
      <c r="J6" s="23" t="inlineStr">
        <is>
          <t>Lab Actual (%)</t>
        </is>
      </c>
      <c r="K6" s="24" t="inlineStr">
        <is>
          <t>Prediction (%)</t>
        </is>
      </c>
      <c r="L6" s="25" t="inlineStr">
        <is>
          <t>Accuracy (%)</t>
        </is>
      </c>
      <c r="M6" s="23" t="inlineStr">
        <is>
          <t>Lab Actual (%)</t>
        </is>
      </c>
      <c r="N6" s="24" t="inlineStr">
        <is>
          <t>Prediction (%)</t>
        </is>
      </c>
      <c r="O6" s="25" t="inlineStr">
        <is>
          <t>Accuracy (%)</t>
        </is>
      </c>
      <c r="P6" s="14" t="inlineStr">
        <is>
          <t>Lab Actual (%)</t>
        </is>
      </c>
      <c r="Q6" s="14" t="inlineStr">
        <is>
          <t>Prediction (%)</t>
        </is>
      </c>
      <c r="R6" s="25" t="inlineStr">
        <is>
          <t>Accuracy (%)</t>
        </is>
      </c>
      <c r="S6" s="14" t="inlineStr">
        <is>
          <t>Lab Actual (%)</t>
        </is>
      </c>
      <c r="T6" s="14" t="inlineStr">
        <is>
          <t>Prediction (%)</t>
        </is>
      </c>
      <c r="U6" s="25" t="inlineStr">
        <is>
          <t>Accuracy (%)</t>
        </is>
      </c>
    </row>
    <row r="7">
      <c r="B7" s="26" t="inlineStr">
        <is>
          <t>06/01</t>
        </is>
      </c>
      <c r="C7" s="27" t="n">
        <v>5900</v>
      </c>
      <c r="D7" s="28" t="n">
        <v>2.95</v>
      </c>
      <c r="E7" s="29" t="n">
        <v>2.535</v>
      </c>
      <c r="F7" s="30">
        <f>(1-ABS(D7-E7)/D7)*100</f>
        <v/>
      </c>
      <c r="G7" s="29" t="n">
        <v>0.171</v>
      </c>
      <c r="H7" s="29" t="n">
        <v>0.163</v>
      </c>
      <c r="I7" s="30">
        <f>(1-ABS(G7-H7)/G7)*100</f>
        <v/>
      </c>
      <c r="J7" s="28" t="n">
        <v>1.13</v>
      </c>
      <c r="K7" s="29" t="n">
        <v>1.055</v>
      </c>
      <c r="L7" s="30">
        <f>(1-ABS(J7-K7)/J7)*100</f>
        <v/>
      </c>
      <c r="M7" s="28" t="n">
        <v>0.33</v>
      </c>
      <c r="N7" s="29" t="n">
        <v>0.251</v>
      </c>
      <c r="O7" s="30">
        <f>(1-ABS(M7-N7)/M7)*100</f>
        <v/>
      </c>
      <c r="P7" s="31" t="n"/>
      <c r="Q7" s="32" t="n">
        <v>0.622</v>
      </c>
      <c r="R7" s="28" t="n"/>
      <c r="S7" s="33" t="n">
        <v>15.6</v>
      </c>
      <c r="T7" s="31" t="n">
        <v>13.8</v>
      </c>
      <c r="U7" s="30">
        <f>(1-ABS(S7-T7)/S7)*100</f>
        <v/>
      </c>
    </row>
    <row r="8">
      <c r="B8" s="26" t="inlineStr">
        <is>
          <t>06/02</t>
        </is>
      </c>
      <c r="C8" s="27" t="n">
        <v>5469</v>
      </c>
      <c r="D8" s="28" t="n">
        <v>2.94</v>
      </c>
      <c r="E8" s="29" t="n">
        <v>2.542</v>
      </c>
      <c r="F8" s="30">
        <f>(1-ABS(D8-E8)/D8)*100</f>
        <v/>
      </c>
      <c r="G8" s="29" t="n">
        <v>0.178</v>
      </c>
      <c r="H8" s="29" t="n">
        <v>0.165</v>
      </c>
      <c r="I8" s="30">
        <f>(1-ABS(G8-H8)/G8)*100</f>
        <v/>
      </c>
      <c r="J8" s="28" t="n">
        <v>1.2</v>
      </c>
      <c r="K8" s="29" t="n">
        <v>1.03</v>
      </c>
      <c r="L8" s="30">
        <f>(1-ABS(J8-K8)/J8)*100</f>
        <v/>
      </c>
      <c r="M8" s="28" t="n">
        <v>0.35</v>
      </c>
      <c r="N8" s="29" t="n">
        <v>0.273</v>
      </c>
      <c r="O8" s="30">
        <f>(1-ABS(M8-N8)/M8)*100</f>
        <v/>
      </c>
      <c r="P8" s="31" t="n"/>
      <c r="Q8" s="32" t="n">
        <v>0.648</v>
      </c>
      <c r="R8" s="28" t="n"/>
      <c r="S8" s="33" t="n">
        <v>17.2</v>
      </c>
      <c r="T8" s="31" t="n">
        <v>13.84</v>
      </c>
      <c r="U8" s="30">
        <f>(1-ABS(S8-T8)/S8)*100</f>
        <v/>
      </c>
    </row>
    <row r="9">
      <c r="B9" s="26" t="inlineStr">
        <is>
          <t>06/03</t>
        </is>
      </c>
      <c r="C9" s="27" t="n">
        <v>5375</v>
      </c>
      <c r="D9" s="28" t="n">
        <v>2.75</v>
      </c>
      <c r="E9" s="29" t="n">
        <v>2.563</v>
      </c>
      <c r="F9" s="30">
        <f>(1-ABS(D9-E9)/D9)*100</f>
        <v/>
      </c>
      <c r="G9" s="29" t="n">
        <v>0.172</v>
      </c>
      <c r="H9" s="29" t="n">
        <v>0.168</v>
      </c>
      <c r="I9" s="30">
        <f>(1-ABS(G9-H9)/G9)*100</f>
        <v/>
      </c>
      <c r="J9" s="28" t="n">
        <v>1.1</v>
      </c>
      <c r="K9" s="29" t="n">
        <v>1.057</v>
      </c>
      <c r="L9" s="30">
        <f>(1-ABS(J9-K9)/J9)*100</f>
        <v/>
      </c>
      <c r="M9" s="28" t="n">
        <v>0.33</v>
      </c>
      <c r="N9" s="29" t="n">
        <v>0.274</v>
      </c>
      <c r="O9" s="30">
        <f>(1-ABS(M9-N9)/M9)*100</f>
        <v/>
      </c>
      <c r="P9" s="31" t="n"/>
      <c r="Q9" s="32" t="n">
        <v>0.649</v>
      </c>
      <c r="R9" s="28" t="n"/>
      <c r="S9" s="33" t="n">
        <v>16.1</v>
      </c>
      <c r="T9" s="31" t="n">
        <v>12.77</v>
      </c>
      <c r="U9" s="30">
        <f>(1-ABS(S9-T9)/S9)*100</f>
        <v/>
      </c>
    </row>
    <row r="10">
      <c r="B10" s="26" t="inlineStr">
        <is>
          <t>06/04</t>
        </is>
      </c>
      <c r="C10" s="27" t="n">
        <v>4905</v>
      </c>
      <c r="D10" s="28" t="n">
        <v>2.81</v>
      </c>
      <c r="E10" s="29" t="n">
        <v>2.543</v>
      </c>
      <c r="F10" s="30">
        <f>(1-ABS(D10-E10)/D10)*100</f>
        <v/>
      </c>
      <c r="G10" s="29" t="n">
        <v>0.175</v>
      </c>
      <c r="H10" s="29" t="n">
        <v>0.164</v>
      </c>
      <c r="I10" s="30">
        <f>(1-ABS(G10-H10)/G10)*100</f>
        <v/>
      </c>
      <c r="J10" s="28" t="n">
        <v>1.07</v>
      </c>
      <c r="K10" s="29" t="n">
        <v>1.053</v>
      </c>
      <c r="L10" s="30">
        <f>(1-ABS(J10-K10)/J10)*100</f>
        <v/>
      </c>
      <c r="M10" s="28" t="n">
        <v>0.36</v>
      </c>
      <c r="N10" s="29" t="n">
        <v>0.26</v>
      </c>
      <c r="O10" s="30">
        <f>(1-ABS(M10-N10)/M10)*100</f>
        <v/>
      </c>
      <c r="P10" s="31" t="n"/>
      <c r="Q10" s="32" t="n">
        <v>0.637</v>
      </c>
      <c r="R10" s="28" t="n"/>
      <c r="S10" s="33" t="n">
        <v>15.3</v>
      </c>
      <c r="T10" s="31" t="n">
        <v>13.77</v>
      </c>
      <c r="U10" s="30">
        <f>(1-ABS(S10-T10)/S10)*100</f>
        <v/>
      </c>
    </row>
    <row r="11">
      <c r="B11" s="26" t="inlineStr">
        <is>
          <t>06/05</t>
        </is>
      </c>
      <c r="C11" s="27" t="n">
        <v>5609</v>
      </c>
      <c r="D11" s="28" t="n">
        <v>2.79</v>
      </c>
      <c r="E11" s="29" t="n">
        <v>2.37</v>
      </c>
      <c r="F11" s="30">
        <f>(1-ABS(D11-E11)/D11)*100</f>
        <v/>
      </c>
      <c r="G11" s="29" t="n">
        <v>0.172</v>
      </c>
      <c r="H11" s="29" t="n">
        <v>0.152</v>
      </c>
      <c r="I11" s="30">
        <f>(1-ABS(G11-H11)/G11)*100</f>
        <v/>
      </c>
      <c r="J11" s="28" t="n">
        <v>1.07</v>
      </c>
      <c r="K11" s="29" t="n">
        <v>0.97</v>
      </c>
      <c r="L11" s="30">
        <f>(1-ABS(J11-K11)/J11)*100</f>
        <v/>
      </c>
      <c r="M11" s="28" t="n">
        <v>0.32</v>
      </c>
      <c r="N11" s="29" t="n">
        <v>0.265</v>
      </c>
      <c r="O11" s="30">
        <f>(1-ABS(M11-N11)/M11)*100</f>
        <v/>
      </c>
      <c r="P11" s="31" t="n"/>
      <c r="Q11" s="32" t="n">
        <v>0.597</v>
      </c>
      <c r="R11" s="28" t="n"/>
      <c r="S11" s="33" t="n">
        <v>15.7</v>
      </c>
      <c r="T11" s="31" t="n">
        <v>12.39</v>
      </c>
      <c r="U11" s="30">
        <f>(1-ABS(S11-T11)/S11)*100</f>
        <v/>
      </c>
    </row>
    <row r="12">
      <c r="B12" s="26" t="inlineStr">
        <is>
          <t>06/06</t>
        </is>
      </c>
      <c r="C12" s="27" t="n">
        <v>6247</v>
      </c>
      <c r="D12" s="28" t="n">
        <v>2.78</v>
      </c>
      <c r="E12" s="29" t="n">
        <v>2.533</v>
      </c>
      <c r="F12" s="30">
        <f>(1-ABS(D12-E12)/D12)*100</f>
        <v/>
      </c>
      <c r="G12" s="29" t="n">
        <v>0.174</v>
      </c>
      <c r="H12" s="29" t="n">
        <v>0.164</v>
      </c>
      <c r="I12" s="30">
        <f>(1-ABS(G12-H12)/G12)*100</f>
        <v/>
      </c>
      <c r="J12" s="28" t="n">
        <v>1.15</v>
      </c>
      <c r="K12" s="29" t="n">
        <v>1.041</v>
      </c>
      <c r="L12" s="30">
        <f>(1-ABS(J12-K12)/J12)*100</f>
        <v/>
      </c>
      <c r="M12" s="28" t="n">
        <v>0.36</v>
      </c>
      <c r="N12" s="29" t="n">
        <v>0.265</v>
      </c>
      <c r="O12" s="30">
        <f>(1-ABS(M12-N12)/M12)*100</f>
        <v/>
      </c>
      <c r="P12" s="31" t="n"/>
      <c r="Q12" s="32" t="n">
        <v>0.635</v>
      </c>
      <c r="R12" s="28" t="n"/>
      <c r="S12" s="33" t="n">
        <v>15.8</v>
      </c>
      <c r="T12" s="31" t="n">
        <v>13.68</v>
      </c>
      <c r="U12" s="30">
        <f>(1-ABS(S12-T12)/S12)*100</f>
        <v/>
      </c>
    </row>
    <row r="13">
      <c r="B13" s="26" t="inlineStr">
        <is>
          <t>06/07</t>
        </is>
      </c>
      <c r="C13" s="27" t="n">
        <v>6615</v>
      </c>
      <c r="D13" s="28" t="n">
        <v>2.67</v>
      </c>
      <c r="E13" s="29" t="n">
        <v>2.54</v>
      </c>
      <c r="F13" s="30">
        <f>(1-ABS(D13-E13)/D13)*100</f>
        <v/>
      </c>
      <c r="G13" s="29" t="n">
        <v>0.179</v>
      </c>
      <c r="H13" s="29" t="n">
        <v>0.164</v>
      </c>
      <c r="I13" s="30">
        <f>(1-ABS(G13-H13)/G13)*100</f>
        <v/>
      </c>
      <c r="J13" s="28" t="n">
        <v>1.2</v>
      </c>
      <c r="K13" s="29" t="n">
        <v>1.043</v>
      </c>
      <c r="L13" s="30">
        <f>(1-ABS(J13-K13)/J13)*100</f>
        <v/>
      </c>
      <c r="M13" s="28" t="n">
        <v>0.33</v>
      </c>
      <c r="N13" s="29" t="n">
        <v>0.274</v>
      </c>
      <c r="O13" s="30">
        <f>(1-ABS(M13-N13)/M13)*100</f>
        <v/>
      </c>
      <c r="P13" s="31" t="n"/>
      <c r="Q13" s="32" t="n">
        <v>0.641</v>
      </c>
      <c r="R13" s="28" t="n"/>
      <c r="S13" s="33" t="n">
        <v>18.2</v>
      </c>
      <c r="T13" s="31" t="n">
        <v>13.82</v>
      </c>
      <c r="U13" s="30">
        <f>(1-ABS(S13-T13)/S13)*100</f>
        <v/>
      </c>
    </row>
    <row r="14">
      <c r="B14" s="26" t="inlineStr">
        <is>
          <t>06/08</t>
        </is>
      </c>
      <c r="C14" s="27" t="n">
        <v>5401</v>
      </c>
      <c r="D14" s="28" t="n">
        <v>2.83</v>
      </c>
      <c r="E14" s="29" t="n">
        <v>2.522</v>
      </c>
      <c r="F14" s="30">
        <f>(1-ABS(D14-E14)/D14)*100</f>
        <v/>
      </c>
      <c r="G14" s="29" t="n">
        <v>0.171</v>
      </c>
      <c r="H14" s="29" t="n">
        <v>0.163</v>
      </c>
      <c r="I14" s="30">
        <f>(1-ABS(G14-H14)/G14)*100</f>
        <v/>
      </c>
      <c r="J14" s="28" t="n">
        <v>1.07</v>
      </c>
      <c r="K14" s="29" t="n">
        <v>1.029</v>
      </c>
      <c r="L14" s="30">
        <f>(1-ABS(J14-K14)/J14)*100</f>
        <v/>
      </c>
      <c r="M14" s="28" t="n">
        <v>0.35</v>
      </c>
      <c r="N14" s="29" t="n">
        <v>0.265</v>
      </c>
      <c r="O14" s="30">
        <f>(1-ABS(M14-N14)/M14)*100</f>
        <v/>
      </c>
      <c r="P14" s="31" t="n"/>
      <c r="Q14" s="32" t="n">
        <v>0.644</v>
      </c>
      <c r="R14" s="28" t="n"/>
      <c r="S14" s="33" t="n">
        <v>17.2</v>
      </c>
      <c r="T14" s="31" t="n">
        <v>13.24</v>
      </c>
      <c r="U14" s="30">
        <f>(1-ABS(S14-T14)/S14)*100</f>
        <v/>
      </c>
    </row>
    <row r="15">
      <c r="B15" s="26" t="inlineStr">
        <is>
          <t>06/09</t>
        </is>
      </c>
      <c r="C15" s="27" t="n">
        <v>4820</v>
      </c>
      <c r="D15" s="28" t="n">
        <v>2.83</v>
      </c>
      <c r="E15" s="29" t="n">
        <v>2.548</v>
      </c>
      <c r="F15" s="30">
        <f>(1-ABS(D15-E15)/D15)*100</f>
        <v/>
      </c>
      <c r="G15" s="29" t="n">
        <v>0.175</v>
      </c>
      <c r="H15" s="29" t="n">
        <v>0.165</v>
      </c>
      <c r="I15" s="30">
        <f>(1-ABS(G15-H15)/G15)*100</f>
        <v/>
      </c>
      <c r="J15" s="28" t="n">
        <v>1.12</v>
      </c>
      <c r="K15" s="29" t="n">
        <v>1.062</v>
      </c>
      <c r="L15" s="30">
        <f>(1-ABS(J15-K15)/J15)*100</f>
        <v/>
      </c>
      <c r="M15" s="28" t="n">
        <v>0.37</v>
      </c>
      <c r="N15" s="29" t="n">
        <v>0.254</v>
      </c>
      <c r="O15" s="30">
        <f>(1-ABS(M15-N15)/M15)*100</f>
        <v/>
      </c>
      <c r="P15" s="31" t="n"/>
      <c r="Q15" s="32" t="n">
        <v>0.628</v>
      </c>
      <c r="R15" s="28" t="n"/>
      <c r="S15" s="33" t="n">
        <v>16.3</v>
      </c>
      <c r="T15" s="31" t="n">
        <v>13.45</v>
      </c>
      <c r="U15" s="30">
        <f>(1-ABS(S15-T15)/S15)*100</f>
        <v/>
      </c>
    </row>
    <row r="16">
      <c r="B16" s="26" t="inlineStr">
        <is>
          <t>06/10</t>
        </is>
      </c>
      <c r="C16" s="27" t="n">
        <v>4428</v>
      </c>
      <c r="D16" s="28" t="n">
        <v>2.91</v>
      </c>
      <c r="E16" s="29" t="n">
        <v>2.533</v>
      </c>
      <c r="F16" s="30">
        <f>(1-ABS(D16-E16)/D16)*100</f>
        <v/>
      </c>
      <c r="G16" s="29" t="n">
        <v>0.178</v>
      </c>
      <c r="H16" s="29" t="n">
        <v>0.164</v>
      </c>
      <c r="I16" s="30">
        <f>(1-ABS(G16-H16)/G16)*100</f>
        <v/>
      </c>
      <c r="J16" s="28" t="n">
        <v>1.23</v>
      </c>
      <c r="K16" s="29" t="n">
        <v>1.045</v>
      </c>
      <c r="L16" s="30">
        <f>(1-ABS(J16-K16)/J16)*100</f>
        <v/>
      </c>
      <c r="M16" s="28" t="n">
        <v>0.34</v>
      </c>
      <c r="N16" s="29" t="n">
        <v>0.256</v>
      </c>
      <c r="O16" s="30">
        <f>(1-ABS(M16-N16)/M16)*100</f>
        <v/>
      </c>
      <c r="P16" s="31" t="n"/>
      <c r="Q16" s="32" t="n">
        <v>0.632</v>
      </c>
      <c r="R16" s="28" t="n"/>
      <c r="S16" s="33" t="n">
        <v>16.8</v>
      </c>
      <c r="T16" s="31" t="n">
        <v>13.41</v>
      </c>
      <c r="U16" s="30">
        <f>(1-ABS(S16-T16)/S16)*100</f>
        <v/>
      </c>
    </row>
    <row r="17" ht="40" customHeight="1">
      <c r="A17" s="34" t="inlineStr">
        <is>
          <t>Best result closer to 1</t>
        </is>
      </c>
      <c r="B17" s="26" t="inlineStr">
        <is>
          <t>06/11</t>
        </is>
      </c>
      <c r="C17" s="27" t="n">
        <v>4169</v>
      </c>
      <c r="D17" s="28" t="n">
        <v>2.78</v>
      </c>
      <c r="E17" s="29" t="n">
        <v>2.533</v>
      </c>
      <c r="F17" s="30">
        <f>(1-ABS(D17-E17)/D17)*100</f>
        <v/>
      </c>
      <c r="G17" s="29" t="n">
        <v>0.173</v>
      </c>
      <c r="H17" s="29" t="n">
        <v>0.162</v>
      </c>
      <c r="I17" s="30">
        <f>(1-ABS(G17-H17)/G17)*100</f>
        <v/>
      </c>
      <c r="J17" s="28" t="n">
        <v>1.08</v>
      </c>
      <c r="K17" s="29" t="n">
        <v>1.056</v>
      </c>
      <c r="L17" s="30">
        <f>(1-ABS(J17-K17)/J17)*100</f>
        <v/>
      </c>
      <c r="M17" s="28" t="n">
        <v>0.35</v>
      </c>
      <c r="N17" s="29" t="n">
        <v>0.248</v>
      </c>
      <c r="O17" s="30">
        <f>(1-ABS(M17-N17)/M17)*100</f>
        <v/>
      </c>
      <c r="P17" s="31" t="n"/>
      <c r="Q17" s="32" t="n">
        <v>0.619</v>
      </c>
      <c r="R17" s="28" t="n"/>
      <c r="S17" s="33" t="n">
        <v>16.5</v>
      </c>
      <c r="T17" s="31" t="n">
        <v>13.99</v>
      </c>
      <c r="U17" s="30">
        <f>(1-ABS(S17-T17)/S17)*100</f>
        <v/>
      </c>
    </row>
    <row r="18" ht="39" customHeight="1">
      <c r="A18" s="34" t="inlineStr">
        <is>
          <t>Best result closer to 0</t>
        </is>
      </c>
      <c r="B18" s="26" t="inlineStr">
        <is>
          <t>06/12</t>
        </is>
      </c>
      <c r="C18" s="27" t="n">
        <v>4910</v>
      </c>
      <c r="D18" s="28" t="n">
        <v>2.88</v>
      </c>
      <c r="E18" s="29" t="n">
        <v>2.537</v>
      </c>
      <c r="F18" s="30">
        <f>(1-ABS(D18-E18)/D18)*100</f>
        <v/>
      </c>
      <c r="G18" s="29" t="n">
        <v>0.172</v>
      </c>
      <c r="H18" s="29" t="n">
        <v>0.165</v>
      </c>
      <c r="I18" s="30">
        <f>(1-ABS(G18-H18)/G18)*100</f>
        <v/>
      </c>
      <c r="J18" s="28" t="n">
        <v>1.05</v>
      </c>
      <c r="K18" s="29" t="n">
        <v>1.042</v>
      </c>
      <c r="L18" s="30">
        <f>(1-ABS(J18-K18)/J18)*100</f>
        <v/>
      </c>
      <c r="M18" s="28" t="n">
        <v>0.36</v>
      </c>
      <c r="N18" s="29" t="n">
        <v>0.267</v>
      </c>
      <c r="O18" s="30">
        <f>(1-ABS(M18-N18)/M18)*100</f>
        <v/>
      </c>
      <c r="P18" s="31" t="n"/>
      <c r="Q18" s="32" t="n">
        <v>0.636</v>
      </c>
      <c r="R18" s="28" t="n"/>
      <c r="S18" s="33" t="n">
        <v>15.4</v>
      </c>
      <c r="T18" s="31" t="n">
        <v>13.77</v>
      </c>
      <c r="U18" s="30">
        <f>(1-ABS(S18-T18)/S18)*100</f>
        <v/>
      </c>
    </row>
    <row r="19" ht="66" customHeight="1">
      <c r="A19" s="34" t="inlineStr">
        <is>
          <t>Best result closer to 1</t>
        </is>
      </c>
      <c r="B19" s="26" t="inlineStr">
        <is>
          <t>06/13</t>
        </is>
      </c>
      <c r="C19" s="27" t="n">
        <v>6164</v>
      </c>
      <c r="D19" s="28" t="n">
        <v>2.82</v>
      </c>
      <c r="E19" s="29" t="n">
        <v>2.524</v>
      </c>
      <c r="F19" s="30">
        <f>(1-ABS(D19-E19)/D19)*100</f>
        <v/>
      </c>
      <c r="G19" s="29" t="n">
        <v>0.174</v>
      </c>
      <c r="H19" s="29" t="n">
        <v>0.164</v>
      </c>
      <c r="I19" s="30">
        <f>(1-ABS(G19-H19)/G19)*100</f>
        <v/>
      </c>
      <c r="J19" s="28" t="n">
        <v>1.07</v>
      </c>
      <c r="K19" s="29" t="n">
        <v>1.024</v>
      </c>
      <c r="L19" s="30">
        <f>(1-ABS(J19-K19)/J19)*100</f>
        <v/>
      </c>
      <c r="M19" s="28" t="n">
        <v>0.31</v>
      </c>
      <c r="N19" s="29" t="n">
        <v>0.299</v>
      </c>
      <c r="O19" s="30">
        <f>(1-ABS(M19-N19)/M19)*100</f>
        <v/>
      </c>
      <c r="P19" s="31" t="n"/>
      <c r="Q19" s="32" t="n">
        <v>0.651</v>
      </c>
      <c r="R19" s="28" t="n"/>
      <c r="S19" s="33" t="n">
        <v>16.6</v>
      </c>
      <c r="T19" s="31" t="n">
        <v>11.56</v>
      </c>
      <c r="U19" s="30">
        <f>(1-ABS(S19-T19)/S19)*100</f>
        <v/>
      </c>
    </row>
    <row r="20">
      <c r="B20" s="26" t="inlineStr">
        <is>
          <t>06/14</t>
        </is>
      </c>
      <c r="C20" s="27" t="n">
        <v>7792</v>
      </c>
      <c r="D20" s="28" t="n">
        <v>2.81</v>
      </c>
      <c r="E20" s="29" t="n">
        <v>2.521</v>
      </c>
      <c r="F20" s="30">
        <f>(1-ABS(D20-E20)/D20)*100</f>
        <v/>
      </c>
      <c r="G20" s="29" t="n">
        <v>0.184</v>
      </c>
      <c r="H20" s="29" t="n">
        <v>0.164</v>
      </c>
      <c r="I20" s="30">
        <f>(1-ABS(G20-H20)/G20)*100</f>
        <v/>
      </c>
      <c r="J20" s="28" t="n">
        <v>1.21</v>
      </c>
      <c r="K20" s="29" t="n">
        <v>1.027</v>
      </c>
      <c r="L20" s="30">
        <f>(1-ABS(J20-K20)/J20)*100</f>
        <v/>
      </c>
      <c r="M20" s="28" t="n">
        <v>0.33</v>
      </c>
      <c r="N20" s="29" t="n">
        <v>0.303</v>
      </c>
      <c r="O20" s="30">
        <f>(1-ABS(M20-N20)/M20)*100</f>
        <v/>
      </c>
      <c r="P20" s="31" t="n"/>
      <c r="Q20" s="32" t="n">
        <v>0.655</v>
      </c>
      <c r="R20" s="28" t="n"/>
      <c r="S20" s="33" t="n">
        <v>16.3</v>
      </c>
      <c r="T20" s="31" t="n">
        <v>11.44</v>
      </c>
      <c r="U20" s="30">
        <f>(1-ABS(S20-T20)/S20)*100</f>
        <v/>
      </c>
    </row>
    <row r="21">
      <c r="B21" s="26" t="inlineStr">
        <is>
          <t>06/15</t>
        </is>
      </c>
      <c r="C21" s="27" t="n">
        <v>2215</v>
      </c>
      <c r="D21" s="28" t="n">
        <v>2.69</v>
      </c>
      <c r="E21" s="29" t="n">
        <v>2.527</v>
      </c>
      <c r="F21" s="30">
        <f>(1-ABS(D21-E21)/D21)*100</f>
        <v/>
      </c>
      <c r="G21" s="29" t="n">
        <v>0.182</v>
      </c>
      <c r="H21" s="29" t="n">
        <v>0.166</v>
      </c>
      <c r="I21" s="30">
        <f>(1-ABS(G21-H21)/G21)*100</f>
        <v/>
      </c>
      <c r="J21" s="28" t="n">
        <v>1.18</v>
      </c>
      <c r="K21" s="29" t="n">
        <v>1.036</v>
      </c>
      <c r="L21" s="30">
        <f>(1-ABS(J21-K21)/J21)*100</f>
        <v/>
      </c>
      <c r="M21" s="28" t="n">
        <v>0.35</v>
      </c>
      <c r="N21" s="29" t="n">
        <v>0.283</v>
      </c>
      <c r="O21" s="30">
        <f>(1-ABS(M21-N21)/M21)*100</f>
        <v/>
      </c>
      <c r="P21" s="31" t="n"/>
      <c r="Q21" s="32" t="n">
        <v>0.653</v>
      </c>
      <c r="R21" s="28" t="n"/>
      <c r="S21" s="33" t="n">
        <v>17.7</v>
      </c>
      <c r="T21" s="31" t="n">
        <v>11.69</v>
      </c>
      <c r="U21" s="30">
        <f>(1-ABS(S21-T21)/S21)*100</f>
        <v/>
      </c>
    </row>
    <row r="22">
      <c r="B22" s="26" t="inlineStr">
        <is>
          <t>06/16</t>
        </is>
      </c>
      <c r="C22" s="27" t="n">
        <v>5419</v>
      </c>
      <c r="D22" s="28" t="n">
        <v>2.95</v>
      </c>
      <c r="E22" s="29" t="n">
        <v>2.559</v>
      </c>
      <c r="F22" s="30">
        <f>(1-ABS(D22-E22)/D22)*100</f>
        <v/>
      </c>
      <c r="G22" s="29" t="n">
        <v>0.172</v>
      </c>
      <c r="H22" s="29" t="n">
        <v>0.168</v>
      </c>
      <c r="I22" s="30">
        <f>(1-ABS(G22-H22)/G22)*100</f>
        <v/>
      </c>
      <c r="J22" s="28" t="n">
        <v>1.07</v>
      </c>
      <c r="K22" s="29" t="n">
        <v>1.049</v>
      </c>
      <c r="L22" s="30">
        <f>(1-ABS(J22-K22)/J22)*100</f>
        <v/>
      </c>
      <c r="M22" s="28" t="n">
        <v>0.34</v>
      </c>
      <c r="N22" s="29" t="n">
        <v>0.275</v>
      </c>
      <c r="O22" s="30">
        <f>(1-ABS(M22-N22)/M22)*100</f>
        <v/>
      </c>
      <c r="P22" s="31" t="n"/>
      <c r="Q22" s="32" t="n">
        <v>0.651</v>
      </c>
      <c r="R22" s="28" t="n"/>
      <c r="S22" s="33" t="n">
        <v>16.3</v>
      </c>
      <c r="T22" s="31" t="n">
        <v>12.66</v>
      </c>
      <c r="U22" s="30">
        <f>(1-ABS(S22-T22)/S22)*100</f>
        <v/>
      </c>
    </row>
    <row r="23">
      <c r="B23" s="26" t="inlineStr">
        <is>
          <t>06/17</t>
        </is>
      </c>
      <c r="C23" s="27" t="n">
        <v>2273</v>
      </c>
      <c r="D23" s="28" t="n">
        <v>2.97</v>
      </c>
      <c r="E23" s="29" t="n">
        <v>2.392</v>
      </c>
      <c r="F23" s="30">
        <f>(1-ABS(D23-E23)/D23)*100</f>
        <v/>
      </c>
      <c r="G23" s="29" t="n">
        <v>0.174</v>
      </c>
      <c r="H23" s="29" t="n">
        <v>0.156</v>
      </c>
      <c r="I23" s="30">
        <f>(1-ABS(G23-H23)/G23)*100</f>
        <v/>
      </c>
      <c r="J23" s="28" t="n">
        <v>1.07</v>
      </c>
      <c r="K23" s="29" t="n">
        <v>0.965</v>
      </c>
      <c r="L23" s="30">
        <f>(1-ABS(J23-K23)/J23)*100</f>
        <v/>
      </c>
      <c r="M23" s="28" t="n">
        <v>0.35</v>
      </c>
      <c r="N23" s="29" t="n">
        <v>0.275</v>
      </c>
      <c r="O23" s="30">
        <f>(1-ABS(M23-N23)/M23)*100</f>
        <v/>
      </c>
      <c r="P23" s="31" t="n"/>
      <c r="Q23" s="32" t="n">
        <v>0.625</v>
      </c>
      <c r="R23" s="28" t="n"/>
      <c r="S23" s="33" t="n">
        <v>16.8</v>
      </c>
      <c r="T23" s="31" t="n">
        <v>10.92</v>
      </c>
      <c r="U23" s="30">
        <f>(1-ABS(S23-T23)/S23)*100</f>
        <v/>
      </c>
    </row>
    <row r="24">
      <c r="B24" s="26" t="inlineStr">
        <is>
          <t>06/18</t>
        </is>
      </c>
      <c r="C24" s="27" t="n">
        <v>1627</v>
      </c>
      <c r="D24" s="28" t="n">
        <v>2.83</v>
      </c>
      <c r="E24" s="29" t="n">
        <v>2.534</v>
      </c>
      <c r="F24" s="30">
        <f>(1-ABS(D24-E24)/D24)*100</f>
        <v/>
      </c>
      <c r="G24" s="29" t="n">
        <v>0.178</v>
      </c>
      <c r="H24" s="29" t="n">
        <v>0.165</v>
      </c>
      <c r="I24" s="30">
        <f>(1-ABS(G24-H24)/G24)*100</f>
        <v/>
      </c>
      <c r="J24" s="28" t="n">
        <v>1.14</v>
      </c>
      <c r="K24" s="29" t="n">
        <v>1.03</v>
      </c>
      <c r="L24" s="30">
        <f>(1-ABS(J24-K24)/J24)*100</f>
        <v/>
      </c>
      <c r="M24" s="28" t="n">
        <v>0.32</v>
      </c>
      <c r="N24" s="29" t="n">
        <v>0.285</v>
      </c>
      <c r="O24" s="30">
        <f>(1-ABS(M24-N24)/M24)*100</f>
        <v/>
      </c>
      <c r="P24" s="31" t="n"/>
      <c r="Q24" s="32" t="n">
        <v>0.655</v>
      </c>
      <c r="R24" s="28" t="n"/>
      <c r="S24" s="33" t="n">
        <v>18.4</v>
      </c>
      <c r="T24" s="31" t="n">
        <v>12.07</v>
      </c>
      <c r="U24" s="30">
        <f>(1-ABS(S24-T24)/S24)*100</f>
        <v/>
      </c>
    </row>
    <row r="25">
      <c r="B25" s="26" t="inlineStr">
        <is>
          <t>07/19</t>
        </is>
      </c>
      <c r="C25" s="27" t="n">
        <v>3187</v>
      </c>
      <c r="D25" s="28" t="n">
        <v>2.74</v>
      </c>
      <c r="E25" s="29" t="n">
        <v>2.529</v>
      </c>
      <c r="F25" s="30">
        <f>(1-ABS(D25-E25)/D25)*100</f>
        <v/>
      </c>
      <c r="G25" s="29" t="n">
        <v>0.177</v>
      </c>
      <c r="H25" s="29" t="n">
        <v>0.165</v>
      </c>
      <c r="I25" s="30">
        <f>(1-ABS(G25-H25)/G25)*100</f>
        <v/>
      </c>
      <c r="J25" s="28" t="n">
        <v>1.14</v>
      </c>
      <c r="K25" s="29" t="n">
        <v>1.03</v>
      </c>
      <c r="L25" s="30">
        <f>(1-ABS(J25-K25)/J25)*100</f>
        <v/>
      </c>
      <c r="M25" s="28" t="n">
        <v>0.32</v>
      </c>
      <c r="N25" s="29" t="n">
        <v>0.31</v>
      </c>
      <c r="O25" s="30">
        <f>(1-ABS(M25-N25)/M25)*100</f>
        <v/>
      </c>
      <c r="P25" s="31" t="n"/>
      <c r="Q25" s="32" t="n">
        <v>0.664</v>
      </c>
      <c r="R25" s="28" t="n"/>
      <c r="S25" s="33" t="n">
        <v>17.8</v>
      </c>
      <c r="T25" s="31" t="n">
        <v>11.32</v>
      </c>
      <c r="U25" s="30">
        <f>(1-ABS(S25-T25)/S25)*100</f>
        <v/>
      </c>
    </row>
    <row r="26">
      <c r="B26" s="26" t="inlineStr">
        <is>
          <t>07/20</t>
        </is>
      </c>
      <c r="C26" s="27" t="n">
        <v>2468</v>
      </c>
      <c r="D26" s="28" t="n">
        <v>2.74</v>
      </c>
      <c r="E26" s="29" t="n">
        <v>2.487</v>
      </c>
      <c r="F26" s="30">
        <f>(1-ABS(D26-E26)/D26)*100</f>
        <v/>
      </c>
      <c r="G26" s="29" t="n">
        <v>0.18</v>
      </c>
      <c r="H26" s="29" t="n">
        <v>0.162</v>
      </c>
      <c r="I26" s="30">
        <f>(1-ABS(G26-H26)/G26)*100</f>
        <v/>
      </c>
      <c r="J26" s="28" t="n">
        <v>1.18</v>
      </c>
      <c r="K26" s="29" t="n">
        <v>1.011</v>
      </c>
      <c r="L26" s="30">
        <f>(1-ABS(J26-K26)/J26)*100</f>
        <v/>
      </c>
      <c r="M26" s="28" t="n">
        <v>0.31</v>
      </c>
      <c r="N26" s="29" t="n">
        <v>0.296</v>
      </c>
      <c r="O26" s="30">
        <f>(1-ABS(M26-N26)/M26)*100</f>
        <v/>
      </c>
      <c r="P26" s="31" t="n"/>
      <c r="Q26" s="32" t="n">
        <v>0.655</v>
      </c>
      <c r="R26" s="28" t="n"/>
      <c r="S26" s="33" t="n">
        <v>17.4</v>
      </c>
      <c r="T26" s="31" t="n">
        <v>11.11</v>
      </c>
      <c r="U26" s="30">
        <f>(1-ABS(S26-T26)/S26)*100</f>
        <v/>
      </c>
    </row>
    <row r="27">
      <c r="B27" s="26" t="inlineStr">
        <is>
          <t>07/21</t>
        </is>
      </c>
      <c r="C27" s="27" t="n">
        <v>2614</v>
      </c>
      <c r="D27" s="28" t="n">
        <v>2.89</v>
      </c>
      <c r="E27" s="29" t="n">
        <v>2.393</v>
      </c>
      <c r="F27" s="30">
        <f>(1-ABS(D27-E27)/D27)*100</f>
        <v/>
      </c>
      <c r="G27" s="29" t="n">
        <v>0.181</v>
      </c>
      <c r="H27" s="29" t="n">
        <v>0.156</v>
      </c>
      <c r="I27" s="30">
        <f>(1-ABS(G27-H27)/G27)*100</f>
        <v/>
      </c>
      <c r="J27" s="28" t="n">
        <v>1.19</v>
      </c>
      <c r="K27" s="29" t="n">
        <v>0.962</v>
      </c>
      <c r="L27" s="30">
        <f>(1-ABS(J27-K27)/J27)*100</f>
        <v/>
      </c>
      <c r="M27" s="28" t="n">
        <v>0.3</v>
      </c>
      <c r="N27" s="29" t="n">
        <v>0.283</v>
      </c>
      <c r="O27" s="30">
        <f>(1-ABS(M27-N27)/M27)*100</f>
        <v/>
      </c>
      <c r="P27" s="31" t="n"/>
      <c r="Q27" s="32" t="n">
        <v>0.64</v>
      </c>
      <c r="R27" s="28" t="n"/>
      <c r="S27" s="33" t="n">
        <v>17.1</v>
      </c>
      <c r="T27" s="31" t="n">
        <v>10.68</v>
      </c>
      <c r="U27" s="30">
        <f>(1-ABS(S27-T27)/S27)*100</f>
        <v/>
      </c>
    </row>
    <row r="28">
      <c r="B28" s="26" t="inlineStr">
        <is>
          <t>07/22</t>
        </is>
      </c>
      <c r="C28" s="27" t="n">
        <v>2942</v>
      </c>
      <c r="D28" s="28" t="n">
        <v>2.95</v>
      </c>
      <c r="E28" s="29" t="n">
        <v>2.459</v>
      </c>
      <c r="F28" s="30">
        <f>(1-ABS(D28-E28)/D28)*100</f>
        <v/>
      </c>
      <c r="G28" s="29" t="n">
        <v>0.185</v>
      </c>
      <c r="H28" s="29" t="n">
        <v>0.162</v>
      </c>
      <c r="I28" s="30">
        <f>(1-ABS(G28-H28)/G28)*100</f>
        <v/>
      </c>
      <c r="J28" s="28" t="n">
        <v>1.21</v>
      </c>
      <c r="K28" s="29" t="n">
        <v>1.001</v>
      </c>
      <c r="L28" s="30">
        <f>(1-ABS(J28-K28)/J28)*100</f>
        <v/>
      </c>
      <c r="M28" s="28" t="n">
        <v>0.34</v>
      </c>
      <c r="N28" s="29" t="n">
        <v>0.293</v>
      </c>
      <c r="O28" s="30">
        <f>(1-ABS(M28-N28)/M28)*100</f>
        <v/>
      </c>
      <c r="P28" s="31" t="n"/>
      <c r="Q28" s="32" t="n">
        <v>0.663</v>
      </c>
      <c r="R28" s="28" t="n"/>
      <c r="S28" s="33" t="n">
        <v>15.5</v>
      </c>
      <c r="T28" s="31" t="n">
        <v>11.49</v>
      </c>
      <c r="U28" s="30">
        <f>(1-ABS(S28-T28)/S28)*100</f>
        <v/>
      </c>
    </row>
    <row r="29">
      <c r="B29" s="26" t="inlineStr">
        <is>
          <t>07/23</t>
        </is>
      </c>
      <c r="C29" s="27" t="n">
        <v>2519</v>
      </c>
      <c r="D29" s="28" t="n">
        <v>2.91</v>
      </c>
      <c r="E29" s="29" t="n">
        <v>2.009</v>
      </c>
      <c r="F29" s="30">
        <f>(1-ABS(D29-E29)/D29)*100</f>
        <v/>
      </c>
      <c r="G29" s="29" t="n">
        <v>0.18</v>
      </c>
      <c r="H29" s="29" t="n">
        <v>0.129</v>
      </c>
      <c r="I29" s="30">
        <f>(1-ABS(G29-H29)/G29)*100</f>
        <v/>
      </c>
      <c r="J29" s="28" t="n">
        <v>1.18</v>
      </c>
      <c r="K29" s="29" t="n">
        <v>0.793</v>
      </c>
      <c r="L29" s="30">
        <f>(1-ABS(J29-K29)/J29)*100</f>
        <v/>
      </c>
      <c r="M29" s="28" t="n">
        <v>0.32</v>
      </c>
      <c r="N29" s="29" t="n">
        <v>0.248</v>
      </c>
      <c r="O29" s="30">
        <f>(1-ABS(M29-N29)/M29)*100</f>
        <v/>
      </c>
      <c r="P29" s="31" t="n"/>
      <c r="Q29" s="32" t="n">
        <v>0.536</v>
      </c>
      <c r="R29" s="28" t="n"/>
      <c r="S29" s="33" t="n">
        <v>18.1</v>
      </c>
      <c r="T29" s="31" t="n">
        <v>8.52</v>
      </c>
      <c r="U29" s="30">
        <f>(1-ABS(S29-T29)/S29)*100</f>
        <v/>
      </c>
    </row>
    <row r="30">
      <c r="B30" s="26" t="inlineStr">
        <is>
          <t>07/24</t>
        </is>
      </c>
      <c r="C30" s="27" t="n">
        <v>4725</v>
      </c>
      <c r="D30" s="28" t="n">
        <v>2.97</v>
      </c>
      <c r="E30" s="29" t="n">
        <v>2.43</v>
      </c>
      <c r="F30" s="30">
        <f>(1-ABS(D30-E30)/D30)*100</f>
        <v/>
      </c>
      <c r="G30" s="29" t="n">
        <v>0.187</v>
      </c>
      <c r="H30" s="29" t="n">
        <v>0.159</v>
      </c>
      <c r="I30" s="30">
        <f>(1-ABS(G30-H30)/G30)*100</f>
        <v/>
      </c>
      <c r="J30" s="28" t="n">
        <v>1.21</v>
      </c>
      <c r="K30" s="29" t="n">
        <v>0.991</v>
      </c>
      <c r="L30" s="30">
        <f>(1-ABS(J30-K30)/J30)*100</f>
        <v/>
      </c>
      <c r="M30" s="28" t="n">
        <v>0.36</v>
      </c>
      <c r="N30" s="29" t="n">
        <v>0.289</v>
      </c>
      <c r="O30" s="30">
        <f>(1-ABS(M30-N30)/M30)*100</f>
        <v/>
      </c>
      <c r="P30" s="31" t="n"/>
      <c r="Q30" s="32" t="n">
        <v>0.643</v>
      </c>
      <c r="R30" s="28" t="n"/>
      <c r="S30" s="33" t="n">
        <v>18.4</v>
      </c>
      <c r="T30" s="31" t="n">
        <v>10.93</v>
      </c>
      <c r="U30" s="30">
        <f>(1-ABS(S30-T30)/S30)*100</f>
        <v/>
      </c>
    </row>
    <row r="31">
      <c r="B31" s="26" t="inlineStr">
        <is>
          <t>08/1</t>
        </is>
      </c>
      <c r="C31" s="27" t="n">
        <v>6222</v>
      </c>
      <c r="D31" s="28" t="n">
        <v>2.86</v>
      </c>
      <c r="E31" s="29" t="n">
        <v>2.547</v>
      </c>
      <c r="F31" s="30">
        <f>(1-ABS(D31-E31)/D31)*100</f>
        <v/>
      </c>
      <c r="G31" s="29" t="n">
        <v>0.18</v>
      </c>
      <c r="H31" s="29" t="n">
        <v>0.164</v>
      </c>
      <c r="I31" s="30">
        <f>(1-ABS(G31-H31)/G31)*100</f>
        <v/>
      </c>
      <c r="J31" s="28" t="n">
        <v>1.14</v>
      </c>
      <c r="K31" s="29" t="n">
        <v>1.056</v>
      </c>
      <c r="L31" s="30">
        <f>(1-ABS(J31-K31)/J31)*100</f>
        <v/>
      </c>
      <c r="M31" s="28" t="n">
        <v>1.33</v>
      </c>
      <c r="N31" s="29" t="n">
        <v>0.261</v>
      </c>
      <c r="O31" s="30">
        <f>(1-ABS(M31-N31)/M31)*100</f>
        <v/>
      </c>
      <c r="P31" s="31" t="n"/>
      <c r="Q31" s="32" t="n">
        <v>0.626</v>
      </c>
      <c r="R31" s="28" t="n"/>
      <c r="S31" s="33" t="n">
        <v>15.6</v>
      </c>
      <c r="T31" s="31" t="n">
        <v>14.1</v>
      </c>
      <c r="U31" s="30">
        <f>(1-ABS(S31-T31)/S31)*100</f>
        <v/>
      </c>
    </row>
    <row r="32">
      <c r="B32" s="26" t="inlineStr">
        <is>
          <t>08/2</t>
        </is>
      </c>
      <c r="C32" s="27" t="n">
        <v>5571</v>
      </c>
      <c r="D32" s="28" t="n">
        <v>2.87</v>
      </c>
      <c r="E32" s="29" t="n">
        <v>2.54</v>
      </c>
      <c r="F32" s="30">
        <f>(1-ABS(D32-E32)/D32)*100</f>
        <v/>
      </c>
      <c r="G32" s="29" t="n">
        <v>0.174</v>
      </c>
      <c r="H32" s="29" t="n">
        <v>0.165</v>
      </c>
      <c r="I32" s="30">
        <f>(1-ABS(G32-H32)/G32)*100</f>
        <v/>
      </c>
      <c r="J32" s="28" t="n">
        <v>1.06</v>
      </c>
      <c r="K32" s="29" t="n">
        <v>1.053</v>
      </c>
      <c r="L32" s="30">
        <f>(1-ABS(J32-K32)/J32)*100</f>
        <v/>
      </c>
      <c r="M32" s="28" t="n">
        <v>0.34</v>
      </c>
      <c r="N32" s="29" t="n">
        <v>0.265</v>
      </c>
      <c r="O32" s="30">
        <f>(1-ABS(M32-N32)/M32)*100</f>
        <v/>
      </c>
      <c r="P32" s="31" t="n"/>
      <c r="Q32" s="32" t="n">
        <v>0.64</v>
      </c>
      <c r="R32" s="28" t="n"/>
      <c r="S32" s="33" t="n">
        <v>17.2</v>
      </c>
      <c r="T32" s="31" t="n">
        <v>14.12</v>
      </c>
      <c r="U32" s="30">
        <f>(1-ABS(S32-T32)/S32)*100</f>
        <v/>
      </c>
    </row>
    <row r="33">
      <c r="B33" s="26" t="inlineStr">
        <is>
          <t>08/3</t>
        </is>
      </c>
      <c r="C33" s="27" t="n">
        <v>5718</v>
      </c>
      <c r="D33" s="28" t="n">
        <v>2.78</v>
      </c>
      <c r="E33" s="29" t="n">
        <v>2.536</v>
      </c>
      <c r="F33" s="30">
        <f>(1-ABS(D33-E33)/D33)*100</f>
        <v/>
      </c>
      <c r="G33" s="29" t="n">
        <v>0.18</v>
      </c>
      <c r="H33" s="29" t="n">
        <v>0.164</v>
      </c>
      <c r="I33" s="30">
        <f>(1-ABS(G33-H33)/G33)*100</f>
        <v/>
      </c>
      <c r="J33" s="28" t="n">
        <v>1.14</v>
      </c>
      <c r="K33" s="29" t="n">
        <v>1.06</v>
      </c>
      <c r="L33" s="30">
        <f>(1-ABS(J33-K33)/J33)*100</f>
        <v/>
      </c>
      <c r="M33" s="28" t="n">
        <v>0.32</v>
      </c>
      <c r="N33" s="29" t="n">
        <v>0.251</v>
      </c>
      <c r="O33" s="30">
        <f>(1-ABS(M33-N33)/M33)*100</f>
        <v/>
      </c>
      <c r="P33" s="31" t="n"/>
      <c r="Q33" s="32" t="n">
        <v>0.626</v>
      </c>
      <c r="R33" s="28" t="n"/>
      <c r="S33" s="33" t="n">
        <v>15.5</v>
      </c>
      <c r="T33" s="31" t="n">
        <v>14.14</v>
      </c>
      <c r="U33" s="30">
        <f>(1-ABS(S33-T33)/S33)*100</f>
        <v/>
      </c>
    </row>
    <row r="34">
      <c r="B34" s="26" t="inlineStr">
        <is>
          <t>08/5</t>
        </is>
      </c>
      <c r="C34" s="27" t="n">
        <v>5172</v>
      </c>
      <c r="D34" s="28" t="n">
        <v>2.98</v>
      </c>
      <c r="E34" s="29" t="n">
        <v>2.537</v>
      </c>
      <c r="F34" s="30">
        <f>(1-ABS(D34-E34)/D34)*100</f>
        <v/>
      </c>
      <c r="G34" s="29" t="n">
        <v>0.183</v>
      </c>
      <c r="H34" s="29" t="n">
        <v>0.162</v>
      </c>
      <c r="I34" s="30">
        <f>(1-ABS(G34-H34)/G34)*100</f>
        <v/>
      </c>
      <c r="J34" s="28" t="n">
        <v>1.18</v>
      </c>
      <c r="K34" s="29" t="n">
        <v>1.06</v>
      </c>
      <c r="L34" s="30">
        <f>(1-ABS(J34-K34)/J34)*100</f>
        <v/>
      </c>
      <c r="M34" s="28" t="n">
        <v>0.38</v>
      </c>
      <c r="N34" s="29" t="n">
        <v>0.243</v>
      </c>
      <c r="O34" s="30">
        <f>(1-ABS(M34-N34)/M34)*100</f>
        <v/>
      </c>
      <c r="P34" s="31" t="n"/>
      <c r="Q34" s="32" t="n">
        <v>0.618</v>
      </c>
      <c r="R34" s="28" t="n"/>
      <c r="S34" s="33" t="n">
        <v>16.6</v>
      </c>
      <c r="T34" s="31" t="n">
        <v>14.25</v>
      </c>
      <c r="U34" s="30">
        <f>(1-ABS(S34-T34)/S34)*100</f>
        <v/>
      </c>
    </row>
    <row r="35">
      <c r="B35" s="26" t="inlineStr">
        <is>
          <t>08/6</t>
        </is>
      </c>
      <c r="C35" s="27" t="n">
        <v>4997</v>
      </c>
      <c r="D35" s="28" t="n">
        <v>2.82</v>
      </c>
      <c r="E35" s="29" t="n">
        <v>2.546</v>
      </c>
      <c r="F35" s="30">
        <f>(1-ABS(D35-E35)/D35)*100</f>
        <v/>
      </c>
      <c r="G35" s="29" t="n">
        <v>0.181</v>
      </c>
      <c r="H35" s="29" t="n">
        <v>0.165</v>
      </c>
      <c r="I35" s="30">
        <f>(1-ABS(G35-H35)/G35)*100</f>
        <v/>
      </c>
      <c r="J35" s="28" t="n">
        <v>1.13</v>
      </c>
      <c r="K35" s="29" t="n">
        <v>1.051</v>
      </c>
      <c r="L35" s="30">
        <f>(1-ABS(J35-K35)/J35)*100</f>
        <v/>
      </c>
      <c r="M35" s="28" t="n">
        <v>0.33</v>
      </c>
      <c r="N35" s="29" t="n">
        <v>0.258</v>
      </c>
      <c r="O35" s="30">
        <f>(1-ABS(M35-N35)/M35)*100</f>
        <v/>
      </c>
      <c r="P35" s="31" t="n"/>
      <c r="Q35" s="32" t="n">
        <v>0.635</v>
      </c>
      <c r="R35" s="28" t="n"/>
      <c r="S35" s="33" t="n">
        <v>18.6</v>
      </c>
      <c r="T35" s="31" t="n">
        <v>14.25</v>
      </c>
      <c r="U35" s="30">
        <f>(1-ABS(S35-T35)/S35)*100</f>
        <v/>
      </c>
    </row>
    <row r="36">
      <c r="B36" s="26" t="inlineStr">
        <is>
          <t>08/7</t>
        </is>
      </c>
      <c r="C36" s="27" t="n">
        <v>5440</v>
      </c>
      <c r="D36" s="28" t="n">
        <v>2.67</v>
      </c>
      <c r="E36" s="29" t="n">
        <v>2.55</v>
      </c>
      <c r="F36" s="30">
        <f>(1-ABS(D36-E36)/D36)*100</f>
        <v/>
      </c>
      <c r="G36" s="29" t="n">
        <v>0.182</v>
      </c>
      <c r="H36" s="29" t="n">
        <v>0.165</v>
      </c>
      <c r="I36" s="30">
        <f>(1-ABS(G36-H36)/G36)*100</f>
        <v/>
      </c>
      <c r="J36" s="28" t="n">
        <v>1.18</v>
      </c>
      <c r="K36" s="29" t="n">
        <v>1.038</v>
      </c>
      <c r="L36" s="30">
        <f>(1-ABS(J36-K36)/J36)*100</f>
        <v/>
      </c>
      <c r="M36" s="28" t="n">
        <v>0.34</v>
      </c>
      <c r="N36" s="29" t="n">
        <v>0.273</v>
      </c>
      <c r="O36" s="30">
        <f>(1-ABS(M36-N36)/M36)*100</f>
        <v/>
      </c>
      <c r="P36" s="31" t="n"/>
      <c r="Q36" s="32" t="n">
        <v>0.646</v>
      </c>
      <c r="R36" s="28" t="n"/>
      <c r="S36" s="33" t="n">
        <v>16.6</v>
      </c>
      <c r="T36" s="31" t="n">
        <v>14.13</v>
      </c>
      <c r="U36" s="30">
        <f>(1-ABS(S36-T36)/S36)*100</f>
        <v/>
      </c>
    </row>
    <row r="37">
      <c r="B37" s="26" t="inlineStr">
        <is>
          <t>08/25</t>
        </is>
      </c>
      <c r="C37" s="27" t="n">
        <v>2751</v>
      </c>
      <c r="D37" s="28" t="n">
        <v>2.76</v>
      </c>
      <c r="E37" s="29" t="n">
        <v>2.432</v>
      </c>
      <c r="F37" s="30">
        <f>(1-ABS(D37-E37)/D37)*100</f>
        <v/>
      </c>
      <c r="G37" s="29" t="n">
        <v>0.177</v>
      </c>
      <c r="H37" s="29" t="n">
        <v>0.159</v>
      </c>
      <c r="I37" s="30">
        <f>(1-ABS(G37-H37)/G37)*100</f>
        <v/>
      </c>
      <c r="J37" s="28" t="n">
        <v>1.08</v>
      </c>
      <c r="K37" s="29" t="n">
        <v>0.98</v>
      </c>
      <c r="L37" s="30">
        <f>(1-ABS(J37-K37)/J37)*100</f>
        <v/>
      </c>
      <c r="M37" s="28" t="n">
        <v>0.35</v>
      </c>
      <c r="N37" s="29" t="n">
        <v>0.299</v>
      </c>
      <c r="O37" s="30">
        <f>(1-ABS(M37-N37)/M37)*100</f>
        <v/>
      </c>
      <c r="P37" s="31" t="n"/>
      <c r="Q37" s="32" t="n">
        <v>0.661</v>
      </c>
      <c r="R37" s="28" t="n"/>
      <c r="S37" s="33" t="n">
        <v>15.6</v>
      </c>
      <c r="T37" s="31" t="n">
        <v>10.83</v>
      </c>
      <c r="U37" s="30">
        <f>(1-ABS(S37-T37)/S37)*100</f>
        <v/>
      </c>
    </row>
    <row r="38">
      <c r="B38" s="26" t="inlineStr">
        <is>
          <t>08/26</t>
        </is>
      </c>
      <c r="C38" s="27" t="n">
        <v>2191</v>
      </c>
      <c r="D38" s="28" t="n">
        <v>2.94</v>
      </c>
      <c r="E38" s="29" t="n">
        <v>2.326</v>
      </c>
      <c r="F38" s="30">
        <f>(1-ABS(D38-E38)/D38)*100</f>
        <v/>
      </c>
      <c r="G38" s="29" t="n">
        <v>0.177</v>
      </c>
      <c r="H38" s="29" t="n">
        <v>0.154</v>
      </c>
      <c r="I38" s="30">
        <f>(1-ABS(G38-H38)/G38)*100</f>
        <v/>
      </c>
      <c r="J38" s="28" t="n">
        <v>1.09</v>
      </c>
      <c r="K38" s="29" t="n">
        <v>0.9389999999999999</v>
      </c>
      <c r="L38" s="30">
        <f>(1-ABS(J38-K38)/J38)*100</f>
        <v/>
      </c>
      <c r="M38" s="28" t="n">
        <v>0.34</v>
      </c>
      <c r="N38" s="29" t="n">
        <v>0.295</v>
      </c>
      <c r="O38" s="30">
        <f>(1-ABS(M38-N38)/M38)*100</f>
        <v/>
      </c>
      <c r="P38" s="31" t="n"/>
      <c r="Q38" s="32" t="n">
        <v>0.657</v>
      </c>
      <c r="R38" s="28" t="n"/>
      <c r="S38" s="33" t="n">
        <v>18.6</v>
      </c>
      <c r="T38" s="31" t="n">
        <v>10.49</v>
      </c>
      <c r="U38" s="30">
        <f>(1-ABS(S38-T38)/S38)*100</f>
        <v/>
      </c>
    </row>
    <row r="39">
      <c r="B39" s="26" t="inlineStr">
        <is>
          <t>08/27</t>
        </is>
      </c>
      <c r="C39" s="27" t="n">
        <v>2068</v>
      </c>
      <c r="D39" s="28" t="n">
        <v>2.97</v>
      </c>
      <c r="E39" s="29" t="n">
        <v>2.528</v>
      </c>
      <c r="F39" s="30">
        <f>(1-ABS(D39-E39)/D39)*100</f>
        <v/>
      </c>
      <c r="G39" s="29" t="n">
        <v>0.185</v>
      </c>
      <c r="H39" s="29" t="n">
        <v>0.165</v>
      </c>
      <c r="I39" s="30">
        <f>(1-ABS(G39-H39)/G39)*100</f>
        <v/>
      </c>
      <c r="J39" s="28" t="n">
        <v>1.19</v>
      </c>
      <c r="K39" s="29" t="n">
        <v>1.02</v>
      </c>
      <c r="L39" s="30">
        <f>(1-ABS(J39-K39)/J39)*100</f>
        <v/>
      </c>
      <c r="M39" s="28" t="n">
        <v>0.37</v>
      </c>
      <c r="N39" s="29" t="n">
        <v>0.284</v>
      </c>
      <c r="O39" s="30">
        <f>(1-ABS(M39-N39)/M39)*100</f>
        <v/>
      </c>
      <c r="P39" s="31" t="n"/>
      <c r="Q39" s="32" t="n">
        <v>0.663</v>
      </c>
      <c r="R39" s="28" t="n"/>
      <c r="S39" s="33" t="n">
        <v>18.5</v>
      </c>
      <c r="T39" s="31" t="n">
        <v>12.88</v>
      </c>
      <c r="U39" s="30">
        <f>(1-ABS(S39-T39)/S39)*100</f>
        <v/>
      </c>
    </row>
    <row r="40">
      <c r="B40" s="26" t="inlineStr">
        <is>
          <t>08/28</t>
        </is>
      </c>
      <c r="C40" s="27" t="n">
        <v>1840</v>
      </c>
      <c r="D40" s="28" t="n">
        <v>2.74</v>
      </c>
      <c r="E40" s="29" t="n">
        <v>2.398</v>
      </c>
      <c r="F40" s="30">
        <f>(1-ABS(D40-E40)/D40)*100</f>
        <v/>
      </c>
      <c r="G40" s="29" t="n">
        <v>0.184</v>
      </c>
      <c r="H40" s="29" t="n">
        <v>0.155</v>
      </c>
      <c r="I40" s="30">
        <f>(1-ABS(G40-H40)/G40)*100</f>
        <v/>
      </c>
      <c r="J40" s="28" t="n">
        <v>1.17</v>
      </c>
      <c r="K40" s="29" t="n">
        <v>0.951</v>
      </c>
      <c r="L40" s="30">
        <f>(1-ABS(J40-K40)/J40)*100</f>
        <v/>
      </c>
      <c r="M40" s="28" t="n">
        <v>0.36</v>
      </c>
      <c r="N40" s="29" t="n">
        <v>0.278</v>
      </c>
      <c r="O40" s="30">
        <f>(1-ABS(M40-N40)/M40)*100</f>
        <v/>
      </c>
      <c r="P40" s="31" t="n"/>
      <c r="Q40" s="32" t="n">
        <v>0.653</v>
      </c>
      <c r="R40" s="28" t="n"/>
      <c r="S40" s="33" t="n">
        <v>15.8</v>
      </c>
      <c r="T40" s="31" t="n">
        <v>11.14</v>
      </c>
      <c r="U40" s="30">
        <f>(1-ABS(S40-T40)/S40)*100</f>
        <v/>
      </c>
    </row>
    <row r="41">
      <c r="B41" s="26" t="inlineStr">
        <is>
          <t>09/4</t>
        </is>
      </c>
      <c r="C41" s="27" t="n">
        <v>4188</v>
      </c>
      <c r="D41" s="28" t="n">
        <v>2.84</v>
      </c>
      <c r="E41" s="29" t="n">
        <v>2.528</v>
      </c>
      <c r="F41" s="30">
        <f>(1-ABS(D41-E41)/D41)*100</f>
        <v/>
      </c>
      <c r="G41" s="29" t="n">
        <v>0.178</v>
      </c>
      <c r="H41" s="29" t="n">
        <v>0.162</v>
      </c>
      <c r="I41" s="30">
        <f>(1-ABS(G41-H41)/G41)*100</f>
        <v/>
      </c>
      <c r="J41" s="28" t="n">
        <v>1.13</v>
      </c>
      <c r="K41" s="29" t="n">
        <v>1.06</v>
      </c>
      <c r="L41" s="30">
        <f>(1-ABS(J41-K41)/J41)*100</f>
        <v/>
      </c>
      <c r="M41" s="28" t="n">
        <v>0.37</v>
      </c>
      <c r="N41" s="29" t="n">
        <v>0.239</v>
      </c>
      <c r="O41" s="30">
        <f>(1-ABS(M41-N41)/M41)*100</f>
        <v/>
      </c>
      <c r="P41" s="31" t="n"/>
      <c r="Q41" s="32" t="n">
        <v>0.612</v>
      </c>
      <c r="R41" s="28" t="n"/>
      <c r="S41" s="33" t="n">
        <v>15.3</v>
      </c>
      <c r="T41" s="31" t="n">
        <v>14.11</v>
      </c>
      <c r="U41" s="30">
        <f>(1-ABS(S41-T41)/S41)*100</f>
        <v/>
      </c>
    </row>
    <row r="42">
      <c r="B42" s="26" t="inlineStr">
        <is>
          <t>09/8</t>
        </is>
      </c>
      <c r="C42" s="27" t="n">
        <v>8681</v>
      </c>
      <c r="D42" s="28" t="n">
        <v>2.62</v>
      </c>
      <c r="E42" s="29" t="n">
        <v>2.539</v>
      </c>
      <c r="F42" s="30">
        <f>(1-ABS(D42-E42)/D42)*100</f>
        <v/>
      </c>
      <c r="G42" s="29" t="n">
        <v>0.18</v>
      </c>
      <c r="H42" s="29" t="n">
        <v>0.165</v>
      </c>
      <c r="I42" s="30">
        <f>(1-ABS(G42-H42)/G42)*100</f>
        <v/>
      </c>
      <c r="J42" s="28" t="n">
        <v>1.18</v>
      </c>
      <c r="K42" s="29" t="n">
        <v>1.044</v>
      </c>
      <c r="L42" s="30">
        <f>(1-ABS(J42-K42)/J42)*100</f>
        <v/>
      </c>
      <c r="M42" s="28" t="n">
        <v>0.34</v>
      </c>
      <c r="N42" s="29" t="n">
        <v>0.267</v>
      </c>
      <c r="O42" s="30">
        <f>(1-ABS(M42-N42)/M42)*100</f>
        <v/>
      </c>
      <c r="P42" s="31" t="n"/>
      <c r="Q42" s="32" t="n">
        <v>0.639</v>
      </c>
      <c r="R42" s="28" t="n"/>
      <c r="S42" s="33" t="n">
        <v>16.5</v>
      </c>
      <c r="T42" s="31" t="n">
        <v>13.83</v>
      </c>
      <c r="U42" s="30">
        <f>(1-ABS(S42-T42)/S42)*100</f>
        <v/>
      </c>
    </row>
    <row r="43">
      <c r="B43" s="26" t="inlineStr">
        <is>
          <t>09/9</t>
        </is>
      </c>
      <c r="C43" s="27" t="n">
        <v>1340</v>
      </c>
      <c r="D43" s="28" t="n">
        <v>2.73</v>
      </c>
      <c r="E43" s="29" t="n">
        <v>2.537</v>
      </c>
      <c r="F43" s="30">
        <f>(1-ABS(D43-E43)/D43)*100</f>
        <v/>
      </c>
      <c r="G43" s="29" t="n">
        <v>0.179</v>
      </c>
      <c r="H43" s="29" t="n">
        <v>0.165</v>
      </c>
      <c r="I43" s="30">
        <f>(1-ABS(G43-H43)/G43)*100</f>
        <v/>
      </c>
      <c r="J43" s="28" t="n">
        <v>1.08</v>
      </c>
      <c r="K43" s="29" t="n">
        <v>1.031</v>
      </c>
      <c r="L43" s="30">
        <f>(1-ABS(J43-K43)/J43)*100</f>
        <v/>
      </c>
      <c r="M43" s="28" t="n">
        <v>0.35</v>
      </c>
      <c r="N43" s="29" t="n">
        <v>0.26</v>
      </c>
      <c r="O43" s="30">
        <f>(1-ABS(M43-N43)/M43)*100</f>
        <v/>
      </c>
      <c r="P43" s="31" t="n"/>
      <c r="Q43" s="32" t="n">
        <v>0.642</v>
      </c>
      <c r="R43" s="28" t="n"/>
      <c r="S43" s="33" t="n">
        <v>16.8</v>
      </c>
      <c r="T43" s="31" t="n">
        <v>14.16</v>
      </c>
      <c r="U43" s="30">
        <f>(1-ABS(S43-T43)/S43)*100</f>
        <v/>
      </c>
    </row>
    <row r="44">
      <c r="B44" s="26" t="inlineStr">
        <is>
          <t>09/10</t>
        </is>
      </c>
      <c r="C44" s="27" t="n">
        <v>8399</v>
      </c>
      <c r="D44" s="28" t="n">
        <v>2.81</v>
      </c>
      <c r="E44" s="29" t="n">
        <v>2.449</v>
      </c>
      <c r="F44" s="30">
        <f>(1-ABS(D44-E44)/D44)*100</f>
        <v/>
      </c>
      <c r="G44" s="29" t="n">
        <v>0.18</v>
      </c>
      <c r="H44" s="29" t="n">
        <v>0.161</v>
      </c>
      <c r="I44" s="30">
        <f>(1-ABS(G44-H44)/G44)*100</f>
        <v/>
      </c>
      <c r="J44" s="28" t="n">
        <v>1.13</v>
      </c>
      <c r="K44" s="29" t="n">
        <v>0.994</v>
      </c>
      <c r="L44" s="30">
        <f>(1-ABS(J44-K44)/J44)*100</f>
        <v/>
      </c>
      <c r="M44" s="28" t="n">
        <v>0.32</v>
      </c>
      <c r="N44" s="29" t="n">
        <v>0.294</v>
      </c>
      <c r="O44" s="30">
        <f>(1-ABS(M44-N44)/M44)*100</f>
        <v/>
      </c>
      <c r="P44" s="31" t="n"/>
      <c r="Q44" s="32" t="n">
        <v>0.648</v>
      </c>
      <c r="R44" s="28" t="n"/>
      <c r="S44" s="33" t="n">
        <v>16.2</v>
      </c>
      <c r="T44" s="31" t="n">
        <v>11.62</v>
      </c>
      <c r="U44" s="30">
        <f>(1-ABS(S44-T44)/S44)*100</f>
        <v/>
      </c>
    </row>
    <row r="45">
      <c r="B45" s="26" t="inlineStr">
        <is>
          <t>09/11</t>
        </is>
      </c>
      <c r="C45" s="27" t="n">
        <v>1910</v>
      </c>
      <c r="D45" s="28" t="n">
        <v>2.85</v>
      </c>
      <c r="E45" s="29" t="n">
        <v>2.54</v>
      </c>
      <c r="F45" s="30">
        <f>(1-ABS(D45-E45)/D45)*100</f>
        <v/>
      </c>
      <c r="G45" s="29" t="n">
        <v>0.182</v>
      </c>
      <c r="H45" s="29" t="n">
        <v>0.163</v>
      </c>
      <c r="I45" s="30">
        <f>(1-ABS(G45-H45)/G45)*100</f>
        <v/>
      </c>
      <c r="J45" s="28" t="n">
        <v>1.11</v>
      </c>
      <c r="K45" s="29" t="n">
        <v>1.053</v>
      </c>
      <c r="L45" s="30">
        <f>(1-ABS(J45-K45)/J45)*100</f>
        <v/>
      </c>
      <c r="M45" s="28" t="n">
        <v>0.32</v>
      </c>
      <c r="N45" s="29" t="n">
        <v>0.242</v>
      </c>
      <c r="O45" s="30">
        <f>(1-ABS(M45-N45)/M45)*100</f>
        <v/>
      </c>
      <c r="P45" s="31" t="n"/>
      <c r="Q45" s="32" t="n">
        <v>0.623</v>
      </c>
      <c r="R45" s="28" t="n"/>
      <c r="S45" s="33" t="n">
        <v>18.5</v>
      </c>
      <c r="T45" s="31" t="n">
        <v>14.28</v>
      </c>
      <c r="U45" s="30">
        <f>(1-ABS(S45-T45)/S45)*100</f>
        <v/>
      </c>
    </row>
    <row r="46">
      <c r="B46" s="26" t="inlineStr">
        <is>
          <t>09/12</t>
        </is>
      </c>
      <c r="C46" s="27" t="n">
        <v>1242</v>
      </c>
      <c r="D46" s="28" t="n">
        <v>2.98</v>
      </c>
      <c r="E46" s="29" t="n">
        <v>2.529</v>
      </c>
      <c r="F46" s="30">
        <f>(1-ABS(D46-E46)/D46)*100</f>
        <v/>
      </c>
      <c r="G46" s="29" t="n">
        <v>0.182</v>
      </c>
      <c r="H46" s="29" t="n">
        <v>0.163</v>
      </c>
      <c r="I46" s="30">
        <f>(1-ABS(G46-H46)/G46)*100</f>
        <v/>
      </c>
      <c r="J46" s="28" t="n">
        <v>1.16</v>
      </c>
      <c r="K46" s="29" t="n">
        <v>1.044</v>
      </c>
      <c r="L46" s="30">
        <f>(1-ABS(J46-K46)/J46)*100</f>
        <v/>
      </c>
      <c r="M46" s="28" t="n">
        <v>0.33</v>
      </c>
      <c r="N46" s="29" t="n">
        <v>0.252</v>
      </c>
      <c r="O46" s="30">
        <f>(1-ABS(M46-N46)/M46)*100</f>
        <v/>
      </c>
      <c r="P46" s="31" t="n"/>
      <c r="Q46" s="32" t="n">
        <v>0.623</v>
      </c>
      <c r="R46" s="28" t="n"/>
      <c r="S46" s="33" t="n">
        <v>15.9</v>
      </c>
      <c r="T46" s="31" t="n">
        <v>14.05</v>
      </c>
      <c r="U46" s="30">
        <f>(1-ABS(S46-T46)/S46)*100</f>
        <v/>
      </c>
    </row>
    <row r="47">
      <c r="B47" s="26" t="inlineStr">
        <is>
          <t>09/13</t>
        </is>
      </c>
      <c r="C47" s="27" t="n">
        <v>1347</v>
      </c>
      <c r="D47" s="28" t="n">
        <v>2.81</v>
      </c>
      <c r="E47" s="29" t="n">
        <v>2.25</v>
      </c>
      <c r="F47" s="30">
        <f>(1-ABS(D47-E47)/D47)*100</f>
        <v/>
      </c>
      <c r="G47" s="29" t="n">
        <v>0.18</v>
      </c>
      <c r="H47" s="29" t="n">
        <v>0.146</v>
      </c>
      <c r="I47" s="30">
        <f>(1-ABS(G47-H47)/G47)*100</f>
        <v/>
      </c>
      <c r="J47" s="28" t="n">
        <v>1.14</v>
      </c>
      <c r="K47" s="29" t="n">
        <v>0.903</v>
      </c>
      <c r="L47" s="30">
        <f>(1-ABS(J47-K47)/J47)*100</f>
        <v/>
      </c>
      <c r="M47" s="28" t="n">
        <v>0.32</v>
      </c>
      <c r="N47" s="29" t="n">
        <v>0.259</v>
      </c>
      <c r="O47" s="30">
        <f>(1-ABS(M47-N47)/M47)*100</f>
        <v/>
      </c>
      <c r="P47" s="31" t="n"/>
      <c r="Q47" s="32" t="n">
        <v>0.595</v>
      </c>
      <c r="R47" s="28" t="n"/>
      <c r="S47" s="33" t="n">
        <v>16.1</v>
      </c>
      <c r="T47" s="31" t="n">
        <v>10.77</v>
      </c>
      <c r="U47" s="30">
        <f>(1-ABS(S47-T47)/S47)*100</f>
        <v/>
      </c>
    </row>
    <row r="48">
      <c r="B48" s="26" t="inlineStr">
        <is>
          <t>09/14</t>
        </is>
      </c>
      <c r="C48" s="27" t="n">
        <v>4022</v>
      </c>
      <c r="D48" s="28" t="n">
        <v>2.89</v>
      </c>
      <c r="E48" s="29" t="n">
        <v>2.558</v>
      </c>
      <c r="F48" s="30">
        <f>(1-ABS(D48-E48)/D48)*100</f>
        <v/>
      </c>
      <c r="G48" s="29" t="n">
        <v>0.179</v>
      </c>
      <c r="H48" s="29" t="n">
        <v>0.165</v>
      </c>
      <c r="I48" s="30">
        <f>(1-ABS(G48-H48)/G48)*100</f>
        <v/>
      </c>
      <c r="J48" s="28" t="n">
        <v>1.13</v>
      </c>
      <c r="K48" s="29" t="n">
        <v>1.059</v>
      </c>
      <c r="L48" s="30">
        <f>(1-ABS(J48-K48)/J48)*100</f>
        <v/>
      </c>
      <c r="M48" s="28" t="n">
        <v>0.36</v>
      </c>
      <c r="N48" s="29" t="n">
        <v>0.262</v>
      </c>
      <c r="O48" s="30">
        <f>(1-ABS(M48-N48)/M48)*100</f>
        <v/>
      </c>
      <c r="P48" s="31" t="n"/>
      <c r="Q48" s="32" t="n">
        <v>0.638</v>
      </c>
      <c r="R48" s="28" t="n"/>
      <c r="S48" s="33" t="n">
        <v>15.2</v>
      </c>
      <c r="T48" s="31" t="n">
        <v>13.99</v>
      </c>
      <c r="U48" s="30">
        <f>(1-ABS(S48-T48)/S48)*100</f>
        <v/>
      </c>
    </row>
    <row r="49">
      <c r="B49" s="26" t="inlineStr">
        <is>
          <t>09/15</t>
        </is>
      </c>
      <c r="C49" s="27" t="n">
        <v>5178</v>
      </c>
      <c r="D49" s="28" t="n">
        <v>2.92</v>
      </c>
      <c r="E49" s="29" t="n">
        <v>2.548</v>
      </c>
      <c r="F49" s="30">
        <f>(1-ABS(D49-E49)/D49)*100</f>
        <v/>
      </c>
      <c r="G49" s="29" t="n">
        <v>0.185</v>
      </c>
      <c r="H49" s="29" t="n">
        <v>0.166</v>
      </c>
      <c r="I49" s="30">
        <f>(1-ABS(G49-H49)/G49)*100</f>
        <v/>
      </c>
      <c r="J49" s="28" t="n">
        <v>1.19</v>
      </c>
      <c r="K49" s="29" t="n">
        <v>1.04</v>
      </c>
      <c r="L49" s="30">
        <f>(1-ABS(J49-K49)/J49)*100</f>
        <v/>
      </c>
      <c r="M49" s="28" t="n">
        <v>0.35</v>
      </c>
      <c r="N49" s="29" t="n">
        <v>0.311</v>
      </c>
      <c r="O49" s="30">
        <f>(1-ABS(M49-N49)/M49)*100</f>
        <v/>
      </c>
      <c r="P49" s="31" t="n"/>
      <c r="Q49" s="32" t="n">
        <v>0.653</v>
      </c>
      <c r="R49" s="28" t="n"/>
      <c r="S49" s="33" t="n">
        <v>18.8</v>
      </c>
      <c r="T49" s="31" t="n">
        <v>12.08</v>
      </c>
      <c r="U49" s="30">
        <f>(1-ABS(S49-T49)/S49)*100</f>
        <v/>
      </c>
    </row>
    <row r="50">
      <c r="B50" s="26" t="inlineStr">
        <is>
          <t>09/16</t>
        </is>
      </c>
      <c r="C50" s="27" t="n">
        <v>4983</v>
      </c>
      <c r="D50" s="28" t="n">
        <v>2.88</v>
      </c>
      <c r="E50" s="29" t="n">
        <v>2.481</v>
      </c>
      <c r="F50" s="30">
        <f>(1-ABS(D50-E50)/D50)*100</f>
        <v/>
      </c>
      <c r="G50" s="29" t="n">
        <v>0.183</v>
      </c>
      <c r="H50" s="29" t="n">
        <v>0.162</v>
      </c>
      <c r="I50" s="30">
        <f>(1-ABS(G50-H50)/G50)*100</f>
        <v/>
      </c>
      <c r="J50" s="28" t="n">
        <v>1.16</v>
      </c>
      <c r="K50" s="29" t="n">
        <v>1.005</v>
      </c>
      <c r="L50" s="30">
        <f>(1-ABS(J50-K50)/J50)*100</f>
        <v/>
      </c>
      <c r="M50" s="28" t="n">
        <v>0.36</v>
      </c>
      <c r="N50" s="29" t="n">
        <v>0.306</v>
      </c>
      <c r="O50" s="30">
        <f>(1-ABS(M50-N50)/M50)*100</f>
        <v/>
      </c>
      <c r="P50" s="31" t="n"/>
      <c r="Q50" s="32" t="n">
        <v>0.657</v>
      </c>
      <c r="R50" s="28" t="n"/>
      <c r="S50" s="33" t="n">
        <v>15.6</v>
      </c>
      <c r="T50" s="31" t="n">
        <v>11.34</v>
      </c>
      <c r="U50" s="30">
        <f>(1-ABS(S50-T50)/S50)*100</f>
        <v/>
      </c>
    </row>
    <row r="51">
      <c r="B51" s="26" t="inlineStr">
        <is>
          <t>09/17</t>
        </is>
      </c>
      <c r="C51" s="27" t="n">
        <v>1320</v>
      </c>
      <c r="D51" s="28" t="n">
        <v>2.96</v>
      </c>
      <c r="E51" s="29" t="n">
        <v>2.477</v>
      </c>
      <c r="F51" s="30">
        <f>(1-ABS(D51-E51)/D51)*100</f>
        <v/>
      </c>
      <c r="G51" s="29" t="n">
        <v>0.185</v>
      </c>
      <c r="H51" s="29" t="n">
        <v>0.162</v>
      </c>
      <c r="I51" s="30">
        <f>(1-ABS(G51-H51)/G51)*100</f>
        <v/>
      </c>
      <c r="J51" s="28" t="n">
        <v>1.18</v>
      </c>
      <c r="K51" s="29" t="n">
        <v>1.006</v>
      </c>
      <c r="L51" s="30">
        <f>(1-ABS(J51-K51)/J51)*100</f>
        <v/>
      </c>
      <c r="M51" s="28" t="n">
        <v>0.34</v>
      </c>
      <c r="N51" s="29" t="n">
        <v>0.306</v>
      </c>
      <c r="O51" s="30">
        <f>(1-ABS(M51-N51)/M51)*100</f>
        <v/>
      </c>
      <c r="P51" s="31" t="n"/>
      <c r="Q51" s="32" t="n">
        <v>0.651</v>
      </c>
      <c r="R51" s="28" t="n"/>
      <c r="S51" s="33" t="n">
        <v>19.7</v>
      </c>
      <c r="T51" s="31" t="n">
        <v>11.53</v>
      </c>
      <c r="U51" s="30">
        <f>(1-ABS(S51-T51)/S51)*100</f>
        <v/>
      </c>
    </row>
    <row r="52">
      <c r="B52" s="26" t="inlineStr">
        <is>
          <t>09/18</t>
        </is>
      </c>
      <c r="C52" s="27" t="n">
        <v>3404</v>
      </c>
      <c r="D52" s="28" t="n">
        <v>2.96</v>
      </c>
      <c r="E52" s="29" t="n">
        <v>2.547</v>
      </c>
      <c r="F52" s="30">
        <f>(1-ABS(D52-E52)/D52)*100</f>
        <v/>
      </c>
      <c r="G52" s="29" t="n">
        <v>0.181</v>
      </c>
      <c r="H52" s="29" t="n">
        <v>0.163</v>
      </c>
      <c r="I52" s="30">
        <f>(1-ABS(G52-H52)/G52)*100</f>
        <v/>
      </c>
      <c r="J52" s="28" t="n">
        <v>1.17</v>
      </c>
      <c r="K52" s="29" t="n">
        <v>1.049</v>
      </c>
      <c r="L52" s="30">
        <f>(1-ABS(J52-K52)/J52)*100</f>
        <v/>
      </c>
      <c r="M52" s="28" t="n">
        <v>0.36</v>
      </c>
      <c r="N52" s="29" t="n">
        <v>0.291</v>
      </c>
      <c r="O52" s="30">
        <f>(1-ABS(M52-N52)/M52)*100</f>
        <v/>
      </c>
      <c r="P52" s="31" t="n"/>
      <c r="Q52" s="32" t="n">
        <v>0.634</v>
      </c>
      <c r="R52" s="28" t="n"/>
      <c r="S52" s="33" t="n">
        <v>18.6</v>
      </c>
      <c r="T52" s="31" t="n">
        <v>13.64</v>
      </c>
      <c r="U52" s="30">
        <f>(1-ABS(S52-T52)/S52)*100</f>
        <v/>
      </c>
    </row>
    <row r="53">
      <c r="B53" s="26" t="inlineStr">
        <is>
          <t>09/19</t>
        </is>
      </c>
      <c r="C53" s="27" t="n">
        <v>6968</v>
      </c>
      <c r="D53" s="28" t="n">
        <v>2.87</v>
      </c>
      <c r="E53" s="29" t="n">
        <v>2.381</v>
      </c>
      <c r="F53" s="30">
        <f>(1-ABS(D53-E53)/D53)*100</f>
        <v/>
      </c>
      <c r="G53" s="29" t="n">
        <v>0.177</v>
      </c>
      <c r="H53" s="29" t="n">
        <v>0.155</v>
      </c>
      <c r="I53" s="30">
        <f>(1-ABS(G53-H53)/G53)*100</f>
        <v/>
      </c>
      <c r="J53" s="28" t="n">
        <v>1.15</v>
      </c>
      <c r="K53" s="29" t="n">
        <v>0.962</v>
      </c>
      <c r="L53" s="30">
        <f>(1-ABS(J53-K53)/J53)*100</f>
        <v/>
      </c>
      <c r="M53" s="28" t="n">
        <v>0.33</v>
      </c>
      <c r="N53" s="29" t="n">
        <v>0.299</v>
      </c>
      <c r="O53" s="30">
        <f>(1-ABS(M53-N53)/M53)*100</f>
        <v/>
      </c>
      <c r="P53" s="31" t="n"/>
      <c r="Q53" s="32" t="n">
        <v>0.639</v>
      </c>
      <c r="R53" s="28" t="n"/>
      <c r="S53" s="33" t="n">
        <v>15.6</v>
      </c>
      <c r="T53" s="31" t="n">
        <v>10.94</v>
      </c>
      <c r="U53" s="30">
        <f>(1-ABS(S53-T53)/S53)*100</f>
        <v/>
      </c>
    </row>
    <row r="54">
      <c r="B54" s="26" t="inlineStr">
        <is>
          <t>10/21</t>
        </is>
      </c>
      <c r="C54" s="27" t="n">
        <v>3705</v>
      </c>
      <c r="D54" s="28" t="n">
        <v>2.4</v>
      </c>
      <c r="E54" s="29" t="n">
        <v>2.402</v>
      </c>
      <c r="F54" s="30">
        <f>(1-ABS(D54-E54)/D54)*100</f>
        <v/>
      </c>
      <c r="G54" s="29" t="n">
        <v>0.153</v>
      </c>
      <c r="H54" s="29" t="n">
        <v>0.157</v>
      </c>
      <c r="I54" s="30">
        <f>(1-ABS(G54-H54)/G54)*100</f>
        <v/>
      </c>
      <c r="J54" s="28" t="n">
        <v>1.07</v>
      </c>
      <c r="K54" s="29" t="n">
        <v>0.975</v>
      </c>
      <c r="L54" s="30">
        <f>(1-ABS(J54-K54)/J54)*100</f>
        <v/>
      </c>
      <c r="M54" s="28" t="n">
        <v>0.34</v>
      </c>
      <c r="N54" s="29" t="n">
        <v>0.301</v>
      </c>
      <c r="O54" s="30">
        <f>(1-ABS(M54-N54)/M54)*100</f>
        <v/>
      </c>
      <c r="P54" s="31" t="n"/>
      <c r="Q54" s="32" t="n">
        <v>0.636</v>
      </c>
      <c r="R54" s="28" t="n"/>
      <c r="S54" s="33" t="n">
        <v>18.5</v>
      </c>
      <c r="T54" s="31" t="n">
        <v>10.97</v>
      </c>
      <c r="U54" s="30">
        <f>(1-ABS(S54-T54)/S54)*100</f>
        <v/>
      </c>
    </row>
    <row r="55">
      <c r="B55" s="26" t="inlineStr">
        <is>
          <t>10/22</t>
        </is>
      </c>
      <c r="C55" s="27" t="n">
        <v>3942</v>
      </c>
      <c r="D55" s="28" t="n">
        <v>2.92</v>
      </c>
      <c r="E55" s="29" t="n">
        <v>2.532</v>
      </c>
      <c r="F55" s="30">
        <f>(1-ABS(D55-E55)/D55)*100</f>
        <v/>
      </c>
      <c r="G55" s="29" t="n">
        <v>0.176</v>
      </c>
      <c r="H55" s="29" t="n">
        <v>0.165</v>
      </c>
      <c r="I55" s="30">
        <f>(1-ABS(G55-H55)/G55)*100</f>
        <v/>
      </c>
      <c r="J55" s="28" t="n">
        <v>1.16</v>
      </c>
      <c r="K55" s="29" t="n">
        <v>1.036</v>
      </c>
      <c r="L55" s="30">
        <f>(1-ABS(J55-K55)/J55)*100</f>
        <v/>
      </c>
      <c r="M55" s="28" t="n">
        <v>0.34</v>
      </c>
      <c r="N55" s="29" t="n">
        <v>0.298</v>
      </c>
      <c r="O55" s="30">
        <f>(1-ABS(M55-N55)/M55)*100</f>
        <v/>
      </c>
      <c r="P55" s="31" t="n"/>
      <c r="Q55" s="32" t="n">
        <v>0.65</v>
      </c>
      <c r="R55" s="28" t="n"/>
      <c r="S55" s="33" t="n">
        <v>16.2</v>
      </c>
      <c r="T55" s="31" t="n">
        <v>12.56</v>
      </c>
      <c r="U55" s="30">
        <f>(1-ABS(S55-T55)/S55)*100</f>
        <v/>
      </c>
    </row>
    <row r="56">
      <c r="B56" s="26" t="inlineStr">
        <is>
          <t>10/23</t>
        </is>
      </c>
      <c r="C56" s="27" t="n">
        <v>903</v>
      </c>
      <c r="D56" s="28" t="n">
        <v>2.89</v>
      </c>
      <c r="E56" s="29" t="n">
        <v>2.458</v>
      </c>
      <c r="F56" s="30">
        <f>(1-ABS(D56-E56)/D56)*100</f>
        <v/>
      </c>
      <c r="G56" s="29" t="n">
        <v>0.177</v>
      </c>
      <c r="H56" s="29" t="n">
        <v>0.162</v>
      </c>
      <c r="I56" s="30">
        <f>(1-ABS(G56-H56)/G56)*100</f>
        <v/>
      </c>
      <c r="J56" s="28" t="n">
        <v>1.17</v>
      </c>
      <c r="K56" s="29" t="n">
        <v>1.009</v>
      </c>
      <c r="L56" s="30">
        <f>(1-ABS(J56-K56)/J56)*100</f>
        <v/>
      </c>
      <c r="M56" s="28" t="n">
        <v>0.34</v>
      </c>
      <c r="N56" s="29" t="n">
        <v>0.311</v>
      </c>
      <c r="O56" s="30">
        <f>(1-ABS(M56-N56)/M56)*100</f>
        <v/>
      </c>
      <c r="P56" s="31" t="n"/>
      <c r="Q56" s="32" t="n">
        <v>0.658</v>
      </c>
      <c r="R56" s="28" t="n"/>
      <c r="S56" s="33" t="n">
        <v>16.1</v>
      </c>
      <c r="T56" s="31" t="n">
        <v>11.06</v>
      </c>
      <c r="U56" s="30">
        <f>(1-ABS(S56-T56)/S56)*100</f>
        <v/>
      </c>
    </row>
    <row r="57">
      <c r="B57" s="26" t="inlineStr">
        <is>
          <t>10/24</t>
        </is>
      </c>
      <c r="C57" s="27" t="n">
        <v>771</v>
      </c>
      <c r="D57" s="28" t="n">
        <v>2.76</v>
      </c>
      <c r="E57" s="29" t="n">
        <v>2.512</v>
      </c>
      <c r="F57" s="30">
        <f>(1-ABS(D57-E57)/D57)*100</f>
        <v/>
      </c>
      <c r="G57" s="29" t="n">
        <v>0.171</v>
      </c>
      <c r="H57" s="29" t="n">
        <v>0.163</v>
      </c>
      <c r="I57" s="30">
        <f>(1-ABS(G57-H57)/G57)*100</f>
        <v/>
      </c>
      <c r="J57" s="28" t="n">
        <v>1.13</v>
      </c>
      <c r="K57" s="29" t="n">
        <v>1.025</v>
      </c>
      <c r="L57" s="30">
        <f>(1-ABS(J57-K57)/J57)*100</f>
        <v/>
      </c>
      <c r="M57" s="28" t="n">
        <v>0.33</v>
      </c>
      <c r="N57" s="29" t="n">
        <v>0.266</v>
      </c>
      <c r="O57" s="30">
        <f>(1-ABS(M57-N57)/M57)*100</f>
        <v/>
      </c>
      <c r="P57" s="31" t="n"/>
      <c r="Q57" s="32" t="n">
        <v>0.628</v>
      </c>
      <c r="R57" s="28" t="n"/>
      <c r="S57" s="33" t="n">
        <v>17</v>
      </c>
      <c r="T57" s="31" t="n">
        <v>13.83</v>
      </c>
      <c r="U57" s="30">
        <f>(1-ABS(S57-T57)/S57)*100</f>
        <v/>
      </c>
    </row>
    <row r="58">
      <c r="B58" s="26" t="inlineStr">
        <is>
          <t>10/25</t>
        </is>
      </c>
      <c r="C58" s="27" t="n">
        <v>3346</v>
      </c>
      <c r="D58" s="28" t="n">
        <v>2.97</v>
      </c>
      <c r="E58" s="29" t="n">
        <v>2.499</v>
      </c>
      <c r="F58" s="30">
        <f>(1-ABS(D58-E58)/D58)*100</f>
        <v/>
      </c>
      <c r="G58" s="29" t="n">
        <v>0.176</v>
      </c>
      <c r="H58" s="29" t="n">
        <v>0.162</v>
      </c>
      <c r="I58" s="30">
        <f>(1-ABS(G58-H58)/G58)*100</f>
        <v/>
      </c>
      <c r="J58" s="28" t="n">
        <v>1.16</v>
      </c>
      <c r="K58" s="29" t="n">
        <v>1.03</v>
      </c>
      <c r="L58" s="30">
        <f>(1-ABS(J58-K58)/J58)*100</f>
        <v/>
      </c>
      <c r="M58" s="28" t="n">
        <v>0.33</v>
      </c>
      <c r="N58" s="29" t="n">
        <v>0.273</v>
      </c>
      <c r="O58" s="30">
        <f>(1-ABS(M58-N58)/M58)*100</f>
        <v/>
      </c>
      <c r="P58" s="31" t="n"/>
      <c r="Q58" s="32" t="n">
        <v>0.626</v>
      </c>
      <c r="R58" s="28" t="n"/>
      <c r="S58" s="33" t="n">
        <v>18.4</v>
      </c>
      <c r="T58" s="31" t="n">
        <v>13.42</v>
      </c>
      <c r="U58" s="30">
        <f>(1-ABS(S58-T58)/S58)*100</f>
        <v/>
      </c>
    </row>
    <row r="59">
      <c r="B59" s="26" t="inlineStr">
        <is>
          <t>10/26</t>
        </is>
      </c>
      <c r="C59" s="27" t="n">
        <v>2376</v>
      </c>
      <c r="D59" s="28" t="n">
        <v>2.54</v>
      </c>
      <c r="E59" s="29" t="n">
        <v>2.432</v>
      </c>
      <c r="F59" s="30">
        <f>(1-ABS(D59-E59)/D59)*100</f>
        <v/>
      </c>
      <c r="G59" s="29" t="n">
        <v>0.157</v>
      </c>
      <c r="H59" s="29" t="n">
        <v>0.16</v>
      </c>
      <c r="I59" s="30">
        <f>(1-ABS(G59-H59)/G59)*100</f>
        <v/>
      </c>
      <c r="J59" s="28" t="n">
        <v>1.06</v>
      </c>
      <c r="K59" s="29" t="n">
        <v>0.989</v>
      </c>
      <c r="L59" s="30">
        <f>(1-ABS(J59-K59)/J59)*100</f>
        <v/>
      </c>
      <c r="M59" s="28" t="n">
        <v>0.31</v>
      </c>
      <c r="N59" s="29" t="n">
        <v>0.303</v>
      </c>
      <c r="O59" s="30">
        <f>(1-ABS(M59-N59)/M59)*100</f>
        <v/>
      </c>
      <c r="P59" s="31" t="n"/>
      <c r="Q59" s="32" t="n">
        <v>0.652</v>
      </c>
      <c r="R59" s="28" t="n"/>
      <c r="S59" s="33" t="n">
        <v>19</v>
      </c>
      <c r="T59" s="31" t="n">
        <v>11.07</v>
      </c>
      <c r="U59" s="30">
        <f>(1-ABS(S59-T59)/S59)*100</f>
        <v/>
      </c>
    </row>
    <row r="60">
      <c r="B60" s="26" t="inlineStr">
        <is>
          <t>10/27</t>
        </is>
      </c>
      <c r="C60" s="27" t="n">
        <v>1509</v>
      </c>
      <c r="D60" s="28" t="n">
        <v>2.43</v>
      </c>
      <c r="E60" s="29" t="n">
        <v>2.454</v>
      </c>
      <c r="F60" s="30">
        <f>(1-ABS(D60-E60)/D60)*100</f>
        <v/>
      </c>
      <c r="G60" s="29" t="n">
        <v>0.156</v>
      </c>
      <c r="H60" s="29" t="n">
        <v>0.161</v>
      </c>
      <c r="I60" s="30">
        <f>(1-ABS(G60-H60)/G60)*100</f>
        <v/>
      </c>
      <c r="J60" s="28" t="n">
        <v>1.07</v>
      </c>
      <c r="K60" s="29" t="n">
        <v>1.006</v>
      </c>
      <c r="L60" s="30">
        <f>(1-ABS(J60-K60)/J60)*100</f>
        <v/>
      </c>
      <c r="M60" s="28" t="n">
        <v>0.32</v>
      </c>
      <c r="N60" s="29" t="n">
        <v>0.286</v>
      </c>
      <c r="O60" s="30">
        <f>(1-ABS(M60-N60)/M60)*100</f>
        <v/>
      </c>
      <c r="P60" s="31" t="n"/>
      <c r="Q60" s="32" t="n">
        <v>0.643</v>
      </c>
      <c r="R60" s="28" t="n"/>
      <c r="S60" s="33" t="n">
        <v>18.6</v>
      </c>
      <c r="T60" s="31" t="n">
        <v>11.56</v>
      </c>
      <c r="U60" s="30">
        <f>(1-ABS(S60-T60)/S60)*100</f>
        <v/>
      </c>
    </row>
    <row r="61">
      <c r="B61" s="26" t="inlineStr">
        <is>
          <t>11/14A</t>
        </is>
      </c>
      <c r="C61" s="27" t="n">
        <v>2357</v>
      </c>
      <c r="D61" s="28" t="n">
        <v>2.6</v>
      </c>
      <c r="E61" s="29" t="n">
        <v>2.521</v>
      </c>
      <c r="F61" s="30">
        <f>(1-ABS(D61-E61)/D61)*100</f>
        <v/>
      </c>
      <c r="G61" s="29" t="n">
        <v>0.159</v>
      </c>
      <c r="H61" s="29" t="n">
        <v>0.164</v>
      </c>
      <c r="I61" s="30">
        <f>(1-ABS(G61-H61)/G61)*100</f>
        <v/>
      </c>
      <c r="J61" s="28" t="n">
        <v>1.05</v>
      </c>
      <c r="K61" s="29" t="n">
        <v>1.021</v>
      </c>
      <c r="L61" s="30">
        <f>(1-ABS(J61-K61)/J61)*100</f>
        <v/>
      </c>
      <c r="M61" s="28" t="n">
        <v>0.35</v>
      </c>
      <c r="N61" s="29" t="n">
        <v>0.295</v>
      </c>
      <c r="O61" s="30">
        <f>(1-ABS(M61-N61)/M61)*100</f>
        <v/>
      </c>
      <c r="P61" s="31" t="n"/>
      <c r="Q61" s="32" t="n">
        <v>0.656</v>
      </c>
      <c r="R61" s="28" t="n"/>
      <c r="S61" s="33" t="n">
        <v>18.8</v>
      </c>
      <c r="T61" s="31" t="n">
        <v>12.74</v>
      </c>
      <c r="U61" s="30">
        <f>(1-ABS(S61-T61)/S61)*100</f>
        <v/>
      </c>
    </row>
    <row r="62">
      <c r="B62" s="26" t="inlineStr">
        <is>
          <t>11/15</t>
        </is>
      </c>
      <c r="C62" s="27" t="n">
        <v>3998</v>
      </c>
      <c r="D62" s="28" t="n">
        <v>2.8</v>
      </c>
      <c r="E62" s="29" t="n">
        <v>2.427</v>
      </c>
      <c r="F62" s="30">
        <f>(1-ABS(D62-E62)/D62)*100</f>
        <v/>
      </c>
      <c r="G62" s="29" t="n">
        <v>0.17</v>
      </c>
      <c r="H62" s="29" t="n">
        <v>0.16</v>
      </c>
      <c r="I62" s="30">
        <f>(1-ABS(G62-H62)/G62)*100</f>
        <v/>
      </c>
      <c r="J62" s="28" t="n">
        <v>1.11</v>
      </c>
      <c r="K62" s="29" t="n">
        <v>0.986</v>
      </c>
      <c r="L62" s="30">
        <f>(1-ABS(J62-K62)/J62)*100</f>
        <v/>
      </c>
      <c r="M62" s="28" t="n">
        <v>0.34</v>
      </c>
      <c r="N62" s="29" t="n">
        <v>0.307</v>
      </c>
      <c r="O62" s="30">
        <f>(1-ABS(M62-N62)/M62)*100</f>
        <v/>
      </c>
      <c r="P62" s="31" t="n"/>
      <c r="Q62" s="32" t="n">
        <v>0.659</v>
      </c>
      <c r="R62" s="28" t="n"/>
      <c r="S62" s="33" t="n">
        <v>17.7</v>
      </c>
      <c r="T62" s="31" t="n">
        <v>10.97</v>
      </c>
      <c r="U62" s="30">
        <f>(1-ABS(S62-T62)/S62)*100</f>
        <v/>
      </c>
    </row>
    <row r="63">
      <c r="B63" s="26" t="inlineStr">
        <is>
          <t>11/18B</t>
        </is>
      </c>
      <c r="C63" s="27" t="n">
        <v>1568</v>
      </c>
      <c r="D63" s="28" t="n">
        <v>2.51</v>
      </c>
      <c r="E63" s="29" t="n">
        <v>2.515</v>
      </c>
      <c r="F63" s="30">
        <f>(1-ABS(D63-E63)/D63)*100</f>
        <v/>
      </c>
      <c r="G63" s="29" t="n">
        <v>0.171</v>
      </c>
      <c r="H63" s="29" t="n">
        <v>0.16</v>
      </c>
      <c r="I63" s="30">
        <f>(1-ABS(G63-H63)/G63)*100</f>
        <v/>
      </c>
      <c r="J63" s="28" t="n">
        <v>1.1</v>
      </c>
      <c r="K63" s="29" t="n">
        <v>1.048</v>
      </c>
      <c r="L63" s="30">
        <f>(1-ABS(J63-K63)/J63)*100</f>
        <v/>
      </c>
      <c r="M63" s="28" t="n">
        <v>0.32</v>
      </c>
      <c r="N63" s="29" t="n">
        <v>0.274</v>
      </c>
      <c r="O63" s="30">
        <f>(1-ABS(M63-N63)/M63)*100</f>
        <v/>
      </c>
      <c r="P63" s="31" t="n"/>
      <c r="Q63" s="32" t="n">
        <v>0.621</v>
      </c>
      <c r="R63" s="28" t="n"/>
      <c r="S63" s="33" t="n">
        <v>18.6</v>
      </c>
      <c r="T63" s="31" t="n">
        <v>13.24</v>
      </c>
      <c r="U63" s="30">
        <f>(1-ABS(S63-T63)/S63)*100</f>
        <v/>
      </c>
    </row>
    <row r="64">
      <c r="B64" s="26" t="inlineStr">
        <is>
          <t>11/24</t>
        </is>
      </c>
      <c r="C64" s="27" t="n">
        <v>2205</v>
      </c>
      <c r="D64" s="28" t="n">
        <v>2.79</v>
      </c>
      <c r="E64" s="29" t="n">
        <v>2.459</v>
      </c>
      <c r="F64" s="30">
        <f>(1-ABS(D64-E64)/D64)*100</f>
        <v/>
      </c>
      <c r="G64" s="29" t="n">
        <v>0.175</v>
      </c>
      <c r="H64" s="29" t="n">
        <v>0.162</v>
      </c>
      <c r="I64" s="30">
        <f>(1-ABS(G64-H64)/G64)*100</f>
        <v/>
      </c>
      <c r="J64" s="28" t="n">
        <v>1.14</v>
      </c>
      <c r="K64" s="29" t="n">
        <v>1</v>
      </c>
      <c r="L64" s="30">
        <f>(1-ABS(J64-K64)/J64)*100</f>
        <v/>
      </c>
      <c r="M64" s="28" t="n">
        <v>0.34</v>
      </c>
      <c r="N64" s="29" t="n">
        <v>0.302</v>
      </c>
      <c r="O64" s="30">
        <f>(1-ABS(M64-N64)/M64)*100</f>
        <v/>
      </c>
      <c r="P64" s="31" t="n"/>
      <c r="Q64" s="32" t="n">
        <v>0.657</v>
      </c>
      <c r="R64" s="28" t="n"/>
      <c r="S64" s="33" t="n">
        <v>16.7</v>
      </c>
      <c r="T64" s="31" t="n">
        <v>11.52</v>
      </c>
      <c r="U64" s="30">
        <f>(1-ABS(S64-T64)/S64)*100</f>
        <v/>
      </c>
    </row>
    <row r="65">
      <c r="B65" s="26" t="inlineStr">
        <is>
          <t>11/24A</t>
        </is>
      </c>
      <c r="C65" s="27" t="n">
        <v>3994</v>
      </c>
      <c r="D65" s="28" t="n">
        <v>2.87</v>
      </c>
      <c r="E65" s="29" t="n">
        <v>2.489</v>
      </c>
      <c r="F65" s="30">
        <f>(1-ABS(D65-E65)/D65)*100</f>
        <v/>
      </c>
      <c r="G65" s="29" t="n">
        <v>0.174</v>
      </c>
      <c r="H65" s="29" t="n">
        <v>0.162</v>
      </c>
      <c r="I65" s="30">
        <f>(1-ABS(G65-H65)/G65)*100</f>
        <v/>
      </c>
      <c r="J65" s="28" t="n">
        <v>1.17</v>
      </c>
      <c r="K65" s="29" t="n">
        <v>1.01</v>
      </c>
      <c r="L65" s="30">
        <f>(1-ABS(J65-K65)/J65)*100</f>
        <v/>
      </c>
      <c r="M65" s="28" t="n">
        <v>0.35</v>
      </c>
      <c r="N65" s="29" t="n">
        <v>0.304</v>
      </c>
      <c r="O65" s="30">
        <f>(1-ABS(M65-N65)/M65)*100</f>
        <v/>
      </c>
      <c r="P65" s="31" t="n"/>
      <c r="Q65" s="32" t="n">
        <v>0.656</v>
      </c>
      <c r="R65" s="28" t="n"/>
      <c r="S65" s="33" t="n">
        <v>16.3</v>
      </c>
      <c r="T65" s="31" t="n">
        <v>11.49</v>
      </c>
      <c r="U65" s="30">
        <f>(1-ABS(S65-T65)/S65)*100</f>
        <v/>
      </c>
    </row>
    <row r="66">
      <c r="B66" s="26" t="inlineStr">
        <is>
          <t>11/25A</t>
        </is>
      </c>
      <c r="C66" s="27" t="n">
        <v>1397</v>
      </c>
      <c r="D66" s="28" t="n">
        <v>2.78</v>
      </c>
      <c r="E66" s="29" t="n">
        <v>2.146</v>
      </c>
      <c r="F66" s="30">
        <f>(1-ABS(D66-E66)/D66)*100</f>
        <v/>
      </c>
      <c r="G66" s="29" t="n">
        <v>0.176</v>
      </c>
      <c r="H66" s="29" t="n">
        <v>0.137</v>
      </c>
      <c r="I66" s="30">
        <f>(1-ABS(G66-H66)/G66)*100</f>
        <v/>
      </c>
      <c r="J66" s="28" t="n">
        <v>1.2</v>
      </c>
      <c r="K66" s="29" t="n">
        <v>0.858</v>
      </c>
      <c r="L66" s="30">
        <f>(1-ABS(J66-K66)/J66)*100</f>
        <v/>
      </c>
      <c r="M66" s="28" t="n">
        <v>0.33</v>
      </c>
      <c r="N66" s="29" t="n">
        <v>0.25</v>
      </c>
      <c r="O66" s="30">
        <f>(1-ABS(M66-N66)/M66)*100</f>
        <v/>
      </c>
      <c r="P66" s="31" t="n"/>
      <c r="Q66" s="32" t="n">
        <v>0.545</v>
      </c>
      <c r="R66" s="28" t="n"/>
      <c r="S66" s="33" t="n">
        <v>17.4</v>
      </c>
      <c r="T66" s="31" t="n">
        <v>10.46</v>
      </c>
      <c r="U66" s="30">
        <f>(1-ABS(S66-T66)/S66)*100</f>
        <v/>
      </c>
    </row>
    <row r="67">
      <c r="B67" s="26" t="inlineStr">
        <is>
          <t>12/14B</t>
        </is>
      </c>
      <c r="C67" s="27" t="n">
        <v>1783</v>
      </c>
      <c r="D67" s="28" t="n">
        <v>2.59</v>
      </c>
      <c r="E67" s="29" t="n">
        <v>2.569</v>
      </c>
      <c r="F67" s="30">
        <f>(1-ABS(D67-E67)/D67)*100</f>
        <v/>
      </c>
      <c r="G67" s="29" t="n">
        <v>0.16</v>
      </c>
      <c r="H67" s="29" t="n">
        <v>0.168</v>
      </c>
      <c r="I67" s="30">
        <f>(1-ABS(G67-H67)/G67)*100</f>
        <v/>
      </c>
      <c r="J67" s="28" t="n">
        <v>1.08</v>
      </c>
      <c r="K67" s="29" t="n">
        <v>1.042</v>
      </c>
      <c r="L67" s="30">
        <f>(1-ABS(J67-K67)/J67)*100</f>
        <v/>
      </c>
      <c r="M67" s="28" t="n">
        <v>0.34</v>
      </c>
      <c r="N67" s="29" t="n">
        <v>0.296</v>
      </c>
      <c r="O67" s="30">
        <f>(1-ABS(M67-N67)/M67)*100</f>
        <v/>
      </c>
      <c r="P67" s="31" t="n"/>
      <c r="Q67" s="32" t="n">
        <v>0.664</v>
      </c>
      <c r="R67" s="28" t="n"/>
      <c r="S67" s="33" t="n">
        <v>17.8</v>
      </c>
      <c r="T67" s="31" t="n">
        <v>12.92</v>
      </c>
      <c r="U67" s="30">
        <f>(1-ABS(S67-T67)/S67)*100</f>
        <v/>
      </c>
    </row>
    <row r="68">
      <c r="B68" s="26" t="inlineStr">
        <is>
          <t>12/25B</t>
        </is>
      </c>
      <c r="C68" s="27" t="n">
        <v>3351</v>
      </c>
      <c r="D68" s="28" t="n">
        <v>2.83</v>
      </c>
      <c r="E68" s="29" t="n">
        <v>2.464</v>
      </c>
      <c r="F68" s="30">
        <f>(1-ABS(D68-E68)/D68)*100</f>
        <v/>
      </c>
      <c r="G68" s="29" t="n">
        <v>0.177</v>
      </c>
      <c r="H68" s="29" t="n">
        <v>0.162</v>
      </c>
      <c r="I68" s="30">
        <f>(1-ABS(G68-H68)/G68)*100</f>
        <v/>
      </c>
      <c r="J68" s="28" t="n">
        <v>1.17</v>
      </c>
      <c r="K68" s="29" t="n">
        <v>1.011</v>
      </c>
      <c r="L68" s="30">
        <f>(1-ABS(J68-K68)/J68)*100</f>
        <v/>
      </c>
      <c r="M68" s="28" t="n">
        <v>0.35</v>
      </c>
      <c r="N68" s="29" t="n">
        <v>0.28</v>
      </c>
      <c r="O68" s="30">
        <f>(1-ABS(M68-N68)/M68)*100</f>
        <v/>
      </c>
      <c r="P68" s="31" t="n"/>
      <c r="Q68" s="32" t="n">
        <v>0.64</v>
      </c>
      <c r="R68" s="28" t="n"/>
      <c r="S68" s="33" t="n">
        <v>18.3</v>
      </c>
      <c r="T68" s="31" t="n">
        <v>11.35</v>
      </c>
      <c r="U68" s="30">
        <f>(1-ABS(S68-T68)/S68)*100</f>
        <v/>
      </c>
    </row>
    <row r="69" ht="35" customHeight="1">
      <c r="A69" s="35" t="inlineStr">
        <is>
          <t>AVG ACCURACY</t>
        </is>
      </c>
      <c r="F69" s="36">
        <f>AVERAGE(F7:F68)</f>
        <v/>
      </c>
      <c r="I69" s="36">
        <f>AVERAGE(I7:I68)</f>
        <v/>
      </c>
      <c r="L69" s="36">
        <f>AVERAGE(L7:L68)</f>
        <v/>
      </c>
      <c r="O69" s="36">
        <f>AVERAGE(O7:O68)</f>
        <v/>
      </c>
      <c r="R69" s="38" t="inlineStr">
        <is>
          <t>-</t>
        </is>
      </c>
      <c r="U69" s="37">
        <f>AVERAGE(U7:U68)</f>
        <v/>
      </c>
    </row>
    <row r="70" ht="40" customHeight="1">
      <c r="A70" s="39" t="inlineStr">
        <is>
          <t>Best result closer to 0</t>
        </is>
      </c>
      <c r="B70" s="26" t="inlineStr">
        <is>
          <t>R^2 (Coefficient of determination)</t>
        </is>
      </c>
      <c r="C70" s="40" t="n"/>
      <c r="D70" s="41">
        <f>RSQ(E7:E68, D7:D68)</f>
        <v/>
      </c>
      <c r="E70" s="42" t="n"/>
      <c r="F70" s="40" t="n"/>
      <c r="G70" s="41">
        <f>RSQ(H7:H68, G7:G68)</f>
        <v/>
      </c>
      <c r="H70" s="42" t="n"/>
      <c r="I70" s="40" t="n"/>
      <c r="J70" s="41">
        <f>RSQ(K7:K68, J7:J68)</f>
        <v/>
      </c>
      <c r="K70" s="42" t="n"/>
      <c r="L70" s="40" t="n"/>
      <c r="M70" s="41">
        <f>RSQ(N7:N68, M7:M68)</f>
        <v/>
      </c>
      <c r="N70" s="42" t="n"/>
      <c r="O70" s="40" t="n"/>
      <c r="P70" s="43" t="inlineStr">
        <is>
          <t>-</t>
        </is>
      </c>
      <c r="Q70" s="42" t="n"/>
      <c r="R70" s="40" t="n"/>
      <c r="S70" s="43">
        <f>RSQ(T7:T68, S7:S68)</f>
        <v/>
      </c>
      <c r="T70" s="42" t="n"/>
      <c r="U70" s="40" t="n"/>
    </row>
    <row r="71" ht="39" customHeight="1">
      <c r="A71" s="39" t="inlineStr">
        <is>
          <t>Best result closer to 1</t>
        </is>
      </c>
      <c r="B71" s="26" t="inlineStr">
        <is>
          <t>MAE (Average size of prediction errors)</t>
        </is>
      </c>
      <c r="C71" s="40" t="n"/>
      <c r="D71" s="41">
        <f>SUMPRODUCT(ABS(D7:D68-E7:E68))/COUNT(D7:D68)</f>
        <v/>
      </c>
      <c r="E71" s="42" t="n"/>
      <c r="F71" s="40" t="n"/>
      <c r="G71" s="41">
        <f>SUMPRODUCT(ABS(G7:G68-H7:H68))/COUNT(G7:G68)</f>
        <v/>
      </c>
      <c r="H71" s="42" t="n"/>
      <c r="I71" s="40" t="n"/>
      <c r="J71" s="41">
        <f>SUMPRODUCT(ABS(J7:J68-K7:K68))/COUNT(J7:J68)</f>
        <v/>
      </c>
      <c r="K71" s="42" t="n"/>
      <c r="L71" s="40" t="n"/>
      <c r="M71" s="41">
        <f>SUMPRODUCT(ABS(M7:M68-N7:N68))/COUNT(M7:M68)</f>
        <v/>
      </c>
      <c r="N71" s="42" t="n"/>
      <c r="O71" s="40" t="n"/>
      <c r="P71" s="43" t="inlineStr">
        <is>
          <t>-</t>
        </is>
      </c>
      <c r="Q71" s="42" t="n"/>
      <c r="R71" s="40" t="n"/>
      <c r="S71" s="43">
        <f>SUMPRODUCT(ABS(S7:S68-T7:T68))/COUNT(S7:S68)</f>
        <v/>
      </c>
      <c r="T71" s="42" t="n"/>
      <c r="U71" s="40" t="n"/>
    </row>
    <row r="72" ht="66" customHeight="1">
      <c r="A72" s="39" t="inlineStr">
        <is>
          <t>Best result closer to 1</t>
        </is>
      </c>
      <c r="B72" s="26" t="inlineStr">
        <is>
          <t>RMSE (Prediction error, with larger mistakes penalised more)</t>
        </is>
      </c>
      <c r="C72" s="40" t="n"/>
      <c r="D72" s="41">
        <f>SQRT(SUMXMY2(D7:D68, E7:E68)/COUNT(D7:D68))</f>
        <v/>
      </c>
      <c r="E72" s="42" t="n"/>
      <c r="F72" s="40" t="n"/>
      <c r="G72" s="41">
        <f>SQRT(SUMXMY2(G7:G68, H7:H68)/COUNT(G7:G68))</f>
        <v/>
      </c>
      <c r="H72" s="42" t="n"/>
      <c r="I72" s="40" t="n"/>
      <c r="J72" s="41">
        <f>SQRT(SUMXMY2(J7:J68, K7:K68)/COUNT(J7:J68))</f>
        <v/>
      </c>
      <c r="K72" s="42" t="n"/>
      <c r="L72" s="40" t="n"/>
      <c r="M72" s="41">
        <f>SQRT(SUMXMY2(M7:M68, N7:N68)/COUNT(M7:M68))</f>
        <v/>
      </c>
      <c r="N72" s="42" t="n"/>
      <c r="O72" s="40" t="n"/>
      <c r="P72" s="43" t="inlineStr">
        <is>
          <t>-</t>
        </is>
      </c>
      <c r="Q72" s="42" t="n"/>
      <c r="R72" s="40" t="n"/>
      <c r="S72" s="43">
        <f>SQRT(SUMXMY2(S7:S68, T7:T68)/COUNT(S7:S68))</f>
        <v/>
      </c>
      <c r="T72" s="42" t="n"/>
      <c r="U72" s="40" t="n"/>
    </row>
  </sheetData>
  <mergeCells count="31">
    <mergeCell ref="B4:O4"/>
    <mergeCell ref="B72:C72"/>
    <mergeCell ref="D70:F70"/>
    <mergeCell ref="J70:L70"/>
    <mergeCell ref="P70:R70"/>
    <mergeCell ref="B71:C71"/>
    <mergeCell ref="D72:F72"/>
    <mergeCell ref="B70:C70"/>
    <mergeCell ref="G5:I5"/>
    <mergeCell ref="D71:F71"/>
    <mergeCell ref="M72:O72"/>
    <mergeCell ref="S5:U5"/>
    <mergeCell ref="J71:L71"/>
    <mergeCell ref="P71:R71"/>
    <mergeCell ref="D5:F5"/>
    <mergeCell ref="P5:R5"/>
    <mergeCell ref="M71:O71"/>
    <mergeCell ref="G72:I72"/>
    <mergeCell ref="B5:B6"/>
    <mergeCell ref="P4:U4"/>
    <mergeCell ref="J72:L72"/>
    <mergeCell ref="J5:L5"/>
    <mergeCell ref="G71:I71"/>
    <mergeCell ref="S72:U72"/>
    <mergeCell ref="G70:I70"/>
    <mergeCell ref="S71:U71"/>
    <mergeCell ref="M5:O5"/>
    <mergeCell ref="M70:O70"/>
    <mergeCell ref="S70:U70"/>
    <mergeCell ref="C5:C6"/>
    <mergeCell ref="P72:R72"/>
  </mergeCells>
  <conditionalFormatting sqref="F7:F68 I7:I68 L7:L68 O7:O68 U7:U68">
    <cfRule type="cellIs" priority="1" operator="lessThanOrEqual" dxfId="1">
      <formula>80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1" workbookViewId="0">
      <selection activeCell="A1" sqref="A1"/>
    </sheetView>
  </sheetViews>
  <sheetFormatPr baseColWidth="8" defaultRowHeight="15"/>
  <cols>
    <col width="10.83203125" customWidth="1" min="1" max="1"/>
  </cols>
  <sheetData>
    <row r="1"/>
    <row r="2"/>
    <row r="3"/>
    <row r="4">
      <c r="B4" s="13" t="n"/>
      <c r="P4" s="14" t="inlineStr">
        <is>
          <t>On-going Research for Ca and B Models</t>
        </is>
      </c>
      <c r="Q4" s="15" t="n"/>
      <c r="R4" s="15" t="n"/>
      <c r="S4" s="15" t="n"/>
      <c r="T4" s="15" t="n"/>
      <c r="U4" s="16" t="n"/>
    </row>
    <row r="5" ht="34" customHeight="1">
      <c r="B5" s="17" t="inlineStr">
        <is>
          <t>Plot</t>
        </is>
      </c>
      <c r="C5" s="18" t="inlineStr">
        <is>
          <t>Pixels sampled</t>
        </is>
      </c>
      <c r="D5" s="19" t="inlineStr">
        <is>
          <t>N</t>
        </is>
      </c>
      <c r="E5" s="15" t="n"/>
      <c r="F5" s="16" t="n"/>
      <c r="G5" s="19" t="inlineStr">
        <is>
          <t>P (%)</t>
        </is>
      </c>
      <c r="H5" s="15" t="n"/>
      <c r="I5" s="16" t="n"/>
      <c r="J5" s="19" t="inlineStr">
        <is>
          <t>K (%)</t>
        </is>
      </c>
      <c r="K5" s="15" t="n"/>
      <c r="L5" s="16" t="n"/>
      <c r="M5" s="19" t="inlineStr">
        <is>
          <t>Mg (%)</t>
        </is>
      </c>
      <c r="N5" s="15" t="n"/>
      <c r="O5" s="16" t="n"/>
      <c r="P5" s="20" t="inlineStr">
        <is>
          <t>Ca (%)</t>
        </is>
      </c>
      <c r="Q5" s="15" t="n"/>
      <c r="R5" s="16" t="n"/>
      <c r="S5" s="20" t="inlineStr">
        <is>
          <t>B (%)</t>
        </is>
      </c>
      <c r="T5" s="15" t="n"/>
      <c r="U5" s="16" t="n"/>
    </row>
    <row r="6" ht="34" customHeight="1">
      <c r="B6" s="21" t="n"/>
      <c r="C6" s="22" t="n"/>
      <c r="D6" s="23" t="inlineStr">
        <is>
          <t>Lab Actual (%)</t>
        </is>
      </c>
      <c r="E6" s="24" t="inlineStr">
        <is>
          <t>Prediction (%)</t>
        </is>
      </c>
      <c r="F6" s="25" t="inlineStr">
        <is>
          <t>Accuracy (%)</t>
        </is>
      </c>
      <c r="G6" s="23" t="inlineStr">
        <is>
          <t>Lab Actual (%)</t>
        </is>
      </c>
      <c r="H6" s="24" t="inlineStr">
        <is>
          <t>Prediction (%)</t>
        </is>
      </c>
      <c r="I6" s="25" t="inlineStr">
        <is>
          <t>Accuracy (%)</t>
        </is>
      </c>
      <c r="J6" s="23" t="inlineStr">
        <is>
          <t>Lab Actual (%)</t>
        </is>
      </c>
      <c r="K6" s="24" t="inlineStr">
        <is>
          <t>Prediction (%)</t>
        </is>
      </c>
      <c r="L6" s="25" t="inlineStr">
        <is>
          <t>Accuracy (%)</t>
        </is>
      </c>
      <c r="M6" s="23" t="inlineStr">
        <is>
          <t>Lab Actual (%)</t>
        </is>
      </c>
      <c r="N6" s="24" t="inlineStr">
        <is>
          <t>Prediction (%)</t>
        </is>
      </c>
      <c r="O6" s="25" t="inlineStr">
        <is>
          <t>Accuracy (%)</t>
        </is>
      </c>
      <c r="P6" s="14" t="inlineStr">
        <is>
          <t>Lab Actual (%)</t>
        </is>
      </c>
      <c r="Q6" s="14" t="inlineStr">
        <is>
          <t>Prediction (%)</t>
        </is>
      </c>
      <c r="R6" s="25" t="inlineStr">
        <is>
          <t>Accuracy (%)</t>
        </is>
      </c>
      <c r="S6" s="14" t="inlineStr">
        <is>
          <t>Lab Actual (%)</t>
        </is>
      </c>
      <c r="T6" s="14" t="inlineStr">
        <is>
          <t>Prediction (%)</t>
        </is>
      </c>
      <c r="U6" s="25" t="inlineStr">
        <is>
          <t>Accuracy (%)</t>
        </is>
      </c>
    </row>
    <row r="7">
      <c r="B7" s="26" t="inlineStr">
        <is>
          <t>06/1</t>
        </is>
      </c>
      <c r="C7" s="27" t="n">
        <v>5665</v>
      </c>
      <c r="D7" s="28" t="n">
        <v>2.89</v>
      </c>
      <c r="E7" s="29" t="n">
        <v>2.534</v>
      </c>
      <c r="F7" s="30">
        <f>(1-ABS(D7-E7)/D7)*100</f>
        <v/>
      </c>
      <c r="G7" s="29" t="n">
        <v>0.187</v>
      </c>
      <c r="H7" s="29" t="n">
        <v>0.165</v>
      </c>
      <c r="I7" s="30">
        <f>(1-ABS(G7-H7)/G7)*100</f>
        <v/>
      </c>
      <c r="J7" s="28" t="n">
        <v>1.07</v>
      </c>
      <c r="K7" s="29" t="n">
        <v>1.028</v>
      </c>
      <c r="L7" s="30">
        <f>(1-ABS(J7-K7)/J7)*100</f>
        <v/>
      </c>
      <c r="M7" s="28" t="n">
        <v>0.35</v>
      </c>
      <c r="N7" s="29" t="n">
        <v>0.296</v>
      </c>
      <c r="O7" s="30">
        <f>(1-ABS(M7-N7)/M7)*100</f>
        <v/>
      </c>
      <c r="P7" s="31" t="n"/>
      <c r="Q7" s="32" t="n">
        <v>0.66</v>
      </c>
      <c r="R7" s="28" t="n"/>
      <c r="S7" s="33" t="n">
        <v>14.7</v>
      </c>
      <c r="T7" s="31" t="n">
        <v>12.51</v>
      </c>
      <c r="U7" s="30">
        <f>(1-ABS(S7-T7)/S7)*100</f>
        <v/>
      </c>
    </row>
    <row r="8">
      <c r="B8" s="26" t="inlineStr">
        <is>
          <t>06/2</t>
        </is>
      </c>
      <c r="C8" s="27" t="n">
        <v>5420</v>
      </c>
      <c r="D8" s="28" t="n">
        <v>2.95</v>
      </c>
      <c r="E8" s="29" t="n">
        <v>2.49</v>
      </c>
      <c r="F8" s="30">
        <f>(1-ABS(D8-E8)/D8)*100</f>
        <v/>
      </c>
      <c r="G8" s="29" t="n">
        <v>0.182</v>
      </c>
      <c r="H8" s="29" t="n">
        <v>0.162</v>
      </c>
      <c r="I8" s="30">
        <f>(1-ABS(G8-H8)/G8)*100</f>
        <v/>
      </c>
      <c r="J8" s="28" t="n">
        <v>1.08</v>
      </c>
      <c r="K8" s="29" t="n">
        <v>1.011</v>
      </c>
      <c r="L8" s="30">
        <f>(1-ABS(J8-K8)/J8)*100</f>
        <v/>
      </c>
      <c r="M8" s="28" t="n">
        <v>0.34</v>
      </c>
      <c r="N8" s="29" t="n">
        <v>0.308</v>
      </c>
      <c r="O8" s="30">
        <f>(1-ABS(M8-N8)/M8)*100</f>
        <v/>
      </c>
      <c r="P8" s="31" t="n"/>
      <c r="Q8" s="32" t="n">
        <v>0.659</v>
      </c>
      <c r="R8" s="28" t="n"/>
      <c r="S8" s="33" t="n">
        <v>15.1</v>
      </c>
      <c r="T8" s="31" t="n">
        <v>11.57</v>
      </c>
      <c r="U8" s="30">
        <f>(1-ABS(S8-T8)/S8)*100</f>
        <v/>
      </c>
    </row>
    <row r="9">
      <c r="B9" s="26" t="inlineStr">
        <is>
          <t>06/3</t>
        </is>
      </c>
      <c r="C9" s="27" t="n">
        <v>3714</v>
      </c>
      <c r="D9" s="28" t="n">
        <v>2.68</v>
      </c>
      <c r="E9" s="29" t="n">
        <v>2.483</v>
      </c>
      <c r="F9" s="30">
        <f>(1-ABS(D9-E9)/D9)*100</f>
        <v/>
      </c>
      <c r="G9" s="29" t="n">
        <v>0.18</v>
      </c>
      <c r="H9" s="29" t="n">
        <v>0.162</v>
      </c>
      <c r="I9" s="30">
        <f>(1-ABS(G9-H9)/G9)*100</f>
        <v/>
      </c>
      <c r="J9" s="28" t="n">
        <v>1.15</v>
      </c>
      <c r="K9" s="29" t="n">
        <v>1.013</v>
      </c>
      <c r="L9" s="30">
        <f>(1-ABS(J9-K9)/J9)*100</f>
        <v/>
      </c>
      <c r="M9" s="28" t="n">
        <v>0.35</v>
      </c>
      <c r="N9" s="29" t="n">
        <v>0.309</v>
      </c>
      <c r="O9" s="30">
        <f>(1-ABS(M9-N9)/M9)*100</f>
        <v/>
      </c>
      <c r="P9" s="31" t="n"/>
      <c r="Q9" s="32" t="n">
        <v>0.661</v>
      </c>
      <c r="R9" s="28" t="n"/>
      <c r="S9" s="33" t="n">
        <v>16.6</v>
      </c>
      <c r="T9" s="31" t="n">
        <v>11.6</v>
      </c>
      <c r="U9" s="30">
        <f>(1-ABS(S9-T9)/S9)*100</f>
        <v/>
      </c>
    </row>
    <row r="10">
      <c r="B10" s="26" t="inlineStr">
        <is>
          <t>06/4</t>
        </is>
      </c>
      <c r="C10" s="27" t="n">
        <v>5251</v>
      </c>
      <c r="D10" s="28" t="n">
        <v>2.96</v>
      </c>
      <c r="E10" s="29" t="n">
        <v>2.509</v>
      </c>
      <c r="F10" s="30">
        <f>(1-ABS(D10-E10)/D10)*100</f>
        <v/>
      </c>
      <c r="G10" s="29" t="n">
        <v>0.177</v>
      </c>
      <c r="H10" s="29" t="n">
        <v>0.163</v>
      </c>
      <c r="I10" s="30">
        <f>(1-ABS(G10-H10)/G10)*100</f>
        <v/>
      </c>
      <c r="J10" s="28" t="n">
        <v>1.17</v>
      </c>
      <c r="K10" s="29" t="n">
        <v>1.023</v>
      </c>
      <c r="L10" s="30">
        <f>(1-ABS(J10-K10)/J10)*100</f>
        <v/>
      </c>
      <c r="M10" s="28" t="n">
        <v>0.34</v>
      </c>
      <c r="N10" s="29" t="n">
        <v>0.294</v>
      </c>
      <c r="O10" s="30">
        <f>(1-ABS(M10-N10)/M10)*100</f>
        <v/>
      </c>
      <c r="P10" s="31" t="n"/>
      <c r="Q10" s="32" t="n">
        <v>0.65</v>
      </c>
      <c r="R10" s="28" t="n"/>
      <c r="S10" s="33" t="n">
        <v>16.4</v>
      </c>
      <c r="T10" s="31" t="n">
        <v>12.33</v>
      </c>
      <c r="U10" s="30">
        <f>(1-ABS(S10-T10)/S10)*100</f>
        <v/>
      </c>
    </row>
    <row r="11">
      <c r="B11" s="26" t="inlineStr">
        <is>
          <t>06/5</t>
        </is>
      </c>
      <c r="C11" s="27" t="n">
        <v>4536</v>
      </c>
      <c r="D11" s="28" t="n">
        <v>2.98</v>
      </c>
      <c r="E11" s="29" t="n">
        <v>2.516</v>
      </c>
      <c r="F11" s="30">
        <f>(1-ABS(D11-E11)/D11)*100</f>
        <v/>
      </c>
      <c r="G11" s="29" t="n">
        <v>0.183</v>
      </c>
      <c r="H11" s="29" t="n">
        <v>0.162</v>
      </c>
      <c r="I11" s="30">
        <f>(1-ABS(G11-H11)/G11)*100</f>
        <v/>
      </c>
      <c r="J11" s="28" t="n">
        <v>1.07</v>
      </c>
      <c r="K11" s="29" t="n">
        <v>1.04</v>
      </c>
      <c r="L11" s="30">
        <f>(1-ABS(J11-K11)/J11)*100</f>
        <v/>
      </c>
      <c r="M11" s="28" t="n">
        <v>0.34</v>
      </c>
      <c r="N11" s="29" t="n">
        <v>0.268</v>
      </c>
      <c r="O11" s="30">
        <f>(1-ABS(M11-N11)/M11)*100</f>
        <v/>
      </c>
      <c r="P11" s="31" t="n"/>
      <c r="Q11" s="32" t="n">
        <v>0.636</v>
      </c>
      <c r="R11" s="28" t="n"/>
      <c r="S11" s="33" t="n">
        <v>14</v>
      </c>
      <c r="T11" s="31" t="n">
        <v>13.01</v>
      </c>
      <c r="U11" s="30">
        <f>(1-ABS(S11-T11)/S11)*100</f>
        <v/>
      </c>
    </row>
    <row r="12">
      <c r="B12" s="26" t="inlineStr">
        <is>
          <t>06/6</t>
        </is>
      </c>
      <c r="C12" s="27" t="n">
        <v>4488</v>
      </c>
      <c r="D12" s="28" t="n">
        <v>2.99</v>
      </c>
      <c r="E12" s="29" t="n">
        <v>2.537</v>
      </c>
      <c r="F12" s="30">
        <f>(1-ABS(D12-E12)/D12)*100</f>
        <v/>
      </c>
      <c r="G12" s="29" t="n">
        <v>0.18</v>
      </c>
      <c r="H12" s="29" t="n">
        <v>0.165</v>
      </c>
      <c r="I12" s="30">
        <f>(1-ABS(G12-H12)/G12)*100</f>
        <v/>
      </c>
      <c r="J12" s="28" t="n">
        <v>1.11</v>
      </c>
      <c r="K12" s="29" t="n">
        <v>1.031</v>
      </c>
      <c r="L12" s="30">
        <f>(1-ABS(J12-K12)/J12)*100</f>
        <v/>
      </c>
      <c r="M12" s="28" t="n">
        <v>0.33</v>
      </c>
      <c r="N12" s="29" t="n">
        <v>0.303</v>
      </c>
      <c r="O12" s="30">
        <f>(1-ABS(M12-N12)/M12)*100</f>
        <v/>
      </c>
      <c r="P12" s="31" t="n"/>
      <c r="Q12" s="32" t="n">
        <v>0.658</v>
      </c>
      <c r="R12" s="28" t="n"/>
      <c r="S12" s="33" t="n">
        <v>15.5</v>
      </c>
      <c r="T12" s="31" t="n">
        <v>12.1</v>
      </c>
      <c r="U12" s="30">
        <f>(1-ABS(S12-T12)/S12)*100</f>
        <v/>
      </c>
    </row>
    <row r="13">
      <c r="B13" s="26" t="inlineStr">
        <is>
          <t>06/7</t>
        </is>
      </c>
      <c r="C13" s="27" t="n">
        <v>6283</v>
      </c>
      <c r="D13" s="28" t="n">
        <v>2.74</v>
      </c>
      <c r="E13" s="29" t="n">
        <v>2.505</v>
      </c>
      <c r="F13" s="30">
        <f>(1-ABS(D13-E13)/D13)*100</f>
        <v/>
      </c>
      <c r="G13" s="29" t="n">
        <v>0.167</v>
      </c>
      <c r="H13" s="29" t="n">
        <v>0.163</v>
      </c>
      <c r="I13" s="30">
        <f>(1-ABS(G13-H13)/G13)*100</f>
        <v/>
      </c>
      <c r="J13" s="28" t="n">
        <v>1.07</v>
      </c>
      <c r="K13" s="29" t="n">
        <v>1.018</v>
      </c>
      <c r="L13" s="30">
        <f>(1-ABS(J13-K13)/J13)*100</f>
        <v/>
      </c>
      <c r="M13" s="28" t="n">
        <v>0.3</v>
      </c>
      <c r="N13" s="29" t="n">
        <v>0.316</v>
      </c>
      <c r="O13" s="30">
        <f>(1-ABS(M13-N13)/M13)*100</f>
        <v/>
      </c>
      <c r="P13" s="31" t="n"/>
      <c r="Q13" s="32" t="n">
        <v>0.665</v>
      </c>
      <c r="R13" s="28" t="n"/>
      <c r="S13" s="33" t="n">
        <v>14.8</v>
      </c>
      <c r="T13" s="31" t="n">
        <v>11.15</v>
      </c>
      <c r="U13" s="30">
        <f>(1-ABS(S13-T13)/S13)*100</f>
        <v/>
      </c>
    </row>
    <row r="14">
      <c r="B14" s="26" t="inlineStr">
        <is>
          <t>06/8</t>
        </is>
      </c>
      <c r="C14" s="27" t="n">
        <v>5212</v>
      </c>
      <c r="D14" s="28" t="n">
        <v>2.95</v>
      </c>
      <c r="E14" s="29" t="n">
        <v>2.521</v>
      </c>
      <c r="F14" s="30">
        <f>(1-ABS(D14-E14)/D14)*100</f>
        <v/>
      </c>
      <c r="G14" s="29" t="n">
        <v>0.167</v>
      </c>
      <c r="H14" s="29" t="n">
        <v>0.162</v>
      </c>
      <c r="I14" s="30">
        <f>(1-ABS(G14-H14)/G14)*100</f>
        <v/>
      </c>
      <c r="J14" s="28" t="n">
        <v>1.1</v>
      </c>
      <c r="K14" s="29" t="n">
        <v>1.042</v>
      </c>
      <c r="L14" s="30">
        <f>(1-ABS(J14-K14)/J14)*100</f>
        <v/>
      </c>
      <c r="M14" s="28" t="n">
        <v>0.31</v>
      </c>
      <c r="N14" s="29" t="n">
        <v>0.271</v>
      </c>
      <c r="O14" s="30">
        <f>(1-ABS(M14-N14)/M14)*100</f>
        <v/>
      </c>
      <c r="P14" s="31" t="n"/>
      <c r="Q14" s="32" t="n">
        <v>0.643</v>
      </c>
      <c r="R14" s="28" t="n"/>
      <c r="S14" s="33" t="n">
        <v>16.1</v>
      </c>
      <c r="T14" s="31" t="n">
        <v>12.86</v>
      </c>
      <c r="U14" s="30">
        <f>(1-ABS(S14-T14)/S14)*100</f>
        <v/>
      </c>
    </row>
    <row r="15">
      <c r="B15" s="26" t="inlineStr">
        <is>
          <t>07/1</t>
        </is>
      </c>
      <c r="C15" s="27" t="n">
        <v>7433</v>
      </c>
      <c r="D15" s="28" t="n">
        <v>2.51</v>
      </c>
      <c r="E15" s="29" t="n">
        <v>2.464</v>
      </c>
      <c r="F15" s="30">
        <f>(1-ABS(D15-E15)/D15)*100</f>
        <v/>
      </c>
      <c r="G15" s="29" t="n">
        <v>0.183</v>
      </c>
      <c r="H15" s="29" t="n">
        <v>0.161</v>
      </c>
      <c r="I15" s="30">
        <f>(1-ABS(G15-H15)/G15)*100</f>
        <v/>
      </c>
      <c r="J15" s="28" t="n">
        <v>1.12</v>
      </c>
      <c r="K15" s="29" t="n">
        <v>0.992</v>
      </c>
      <c r="L15" s="30">
        <f>(1-ABS(J15-K15)/J15)*100</f>
        <v/>
      </c>
      <c r="M15" s="28" t="n">
        <v>0.32</v>
      </c>
      <c r="N15" s="29" t="n">
        <v>0.303</v>
      </c>
      <c r="O15" s="30">
        <f>(1-ABS(M15-N15)/M15)*100</f>
        <v/>
      </c>
      <c r="P15" s="31" t="n"/>
      <c r="Q15" s="32" t="n">
        <v>0.667</v>
      </c>
      <c r="R15" s="28" t="n"/>
      <c r="S15" s="33" t="n">
        <v>16.6</v>
      </c>
      <c r="T15" s="31" t="n">
        <v>11.06</v>
      </c>
      <c r="U15" s="30">
        <f>(1-ABS(S15-T15)/S15)*100</f>
        <v/>
      </c>
    </row>
    <row r="16">
      <c r="B16" s="26" t="inlineStr">
        <is>
          <t>07/2</t>
        </is>
      </c>
      <c r="C16" s="27" t="n">
        <v>5865</v>
      </c>
      <c r="D16" s="28" t="n">
        <v>2.86</v>
      </c>
      <c r="E16" s="29" t="n">
        <v>2.509</v>
      </c>
      <c r="F16" s="30">
        <f>(1-ABS(D16-E16)/D16)*100</f>
        <v/>
      </c>
      <c r="G16" s="29" t="n">
        <v>0.18</v>
      </c>
      <c r="H16" s="29" t="n">
        <v>0.163</v>
      </c>
      <c r="I16" s="30">
        <f>(1-ABS(G16-H16)/G16)*100</f>
        <v/>
      </c>
      <c r="J16" s="28" t="n">
        <v>1.09</v>
      </c>
      <c r="K16" s="29" t="n">
        <v>1.02</v>
      </c>
      <c r="L16" s="30">
        <f>(1-ABS(J16-K16)/J16)*100</f>
        <v/>
      </c>
      <c r="M16" s="28" t="n">
        <v>0.36</v>
      </c>
      <c r="N16" s="29" t="n">
        <v>0.309</v>
      </c>
      <c r="O16" s="30">
        <f>(1-ABS(M16-N16)/M16)*100</f>
        <v/>
      </c>
      <c r="P16" s="31" t="n"/>
      <c r="Q16" s="32" t="n">
        <v>0.659</v>
      </c>
      <c r="R16" s="28" t="n"/>
      <c r="S16" s="33" t="n">
        <v>17.9</v>
      </c>
      <c r="T16" s="31" t="n">
        <v>11.31</v>
      </c>
      <c r="U16" s="30">
        <f>(1-ABS(S16-T16)/S16)*100</f>
        <v/>
      </c>
    </row>
    <row r="17" ht="40" customHeight="1">
      <c r="A17" s="34" t="inlineStr">
        <is>
          <t>Best result closer to 1</t>
        </is>
      </c>
      <c r="B17" s="26" t="inlineStr">
        <is>
          <t>07/3</t>
        </is>
      </c>
      <c r="C17" s="27" t="n">
        <v>3818</v>
      </c>
      <c r="D17" s="28" t="n">
        <v>2.98</v>
      </c>
      <c r="E17" s="29" t="n">
        <v>2.529</v>
      </c>
      <c r="F17" s="30">
        <f>(1-ABS(D17-E17)/D17)*100</f>
        <v/>
      </c>
      <c r="G17" s="29" t="n">
        <v>0.183</v>
      </c>
      <c r="H17" s="29" t="n">
        <v>0.163</v>
      </c>
      <c r="I17" s="30">
        <f>(1-ABS(G17-H17)/G17)*100</f>
        <v/>
      </c>
      <c r="J17" s="28" t="n">
        <v>1.08</v>
      </c>
      <c r="K17" s="29" t="n">
        <v>1.039</v>
      </c>
      <c r="L17" s="30">
        <f>(1-ABS(J17-K17)/J17)*100</f>
        <v/>
      </c>
      <c r="M17" s="28" t="n">
        <v>0.31</v>
      </c>
      <c r="N17" s="29" t="n">
        <v>0.288</v>
      </c>
      <c r="O17" s="30">
        <f>(1-ABS(M17-N17)/M17)*100</f>
        <v/>
      </c>
      <c r="P17" s="31" t="n"/>
      <c r="Q17" s="32" t="n">
        <v>0.65</v>
      </c>
      <c r="R17" s="28" t="n"/>
      <c r="S17" s="33" t="n">
        <v>17.2</v>
      </c>
      <c r="T17" s="31" t="n">
        <v>12.39</v>
      </c>
      <c r="U17" s="30">
        <f>(1-ABS(S17-T17)/S17)*100</f>
        <v/>
      </c>
    </row>
    <row r="18" ht="39" customHeight="1">
      <c r="A18" s="34" t="inlineStr">
        <is>
          <t>Best result closer to 0</t>
        </is>
      </c>
      <c r="B18" s="26" t="inlineStr">
        <is>
          <t>07/4</t>
        </is>
      </c>
      <c r="C18" s="27" t="n">
        <v>4362</v>
      </c>
      <c r="D18" s="28" t="n">
        <v>2.97</v>
      </c>
      <c r="E18" s="29" t="n">
        <v>2.531</v>
      </c>
      <c r="F18" s="30">
        <f>(1-ABS(D18-E18)/D18)*100</f>
        <v/>
      </c>
      <c r="G18" s="29" t="n">
        <v>0.189</v>
      </c>
      <c r="H18" s="29" t="n">
        <v>0.161</v>
      </c>
      <c r="I18" s="30">
        <f>(1-ABS(G18-H18)/G18)*100</f>
        <v/>
      </c>
      <c r="J18" s="28" t="n">
        <v>1.14</v>
      </c>
      <c r="K18" s="29" t="n">
        <v>1.063</v>
      </c>
      <c r="L18" s="30">
        <f>(1-ABS(J18-K18)/J18)*100</f>
        <v/>
      </c>
      <c r="M18" s="28" t="n">
        <v>0.31</v>
      </c>
      <c r="N18" s="29" t="n">
        <v>0.237</v>
      </c>
      <c r="O18" s="30">
        <f>(1-ABS(M18-N18)/M18)*100</f>
        <v/>
      </c>
      <c r="P18" s="31" t="n"/>
      <c r="Q18" s="32" t="n">
        <v>0.619</v>
      </c>
      <c r="R18" s="28" t="n"/>
      <c r="S18" s="33" t="n">
        <v>17.7</v>
      </c>
      <c r="T18" s="31" t="n">
        <v>14.14</v>
      </c>
      <c r="U18" s="30">
        <f>(1-ABS(S18-T18)/S18)*100</f>
        <v/>
      </c>
    </row>
    <row r="19" ht="66" customHeight="1">
      <c r="A19" s="34" t="inlineStr">
        <is>
          <t>Best result closer to 1</t>
        </is>
      </c>
      <c r="B19" s="26" t="inlineStr">
        <is>
          <t>07/5</t>
        </is>
      </c>
      <c r="C19" s="27" t="n">
        <v>4583</v>
      </c>
      <c r="D19" s="28" t="n">
        <v>2.84</v>
      </c>
      <c r="E19" s="29" t="n">
        <v>2.533</v>
      </c>
      <c r="F19" s="30">
        <f>(1-ABS(D19-E19)/D19)*100</f>
        <v/>
      </c>
      <c r="G19" s="29" t="n">
        <v>0.181</v>
      </c>
      <c r="H19" s="29" t="n">
        <v>0.163</v>
      </c>
      <c r="I19" s="30">
        <f>(1-ABS(G19-H19)/G19)*100</f>
        <v/>
      </c>
      <c r="J19" s="28" t="n">
        <v>1.09</v>
      </c>
      <c r="K19" s="29" t="n">
        <v>1.057</v>
      </c>
      <c r="L19" s="30">
        <f>(1-ABS(J19-K19)/J19)*100</f>
        <v/>
      </c>
      <c r="M19" s="28" t="n">
        <v>0.36</v>
      </c>
      <c r="N19" s="29" t="n">
        <v>0.244</v>
      </c>
      <c r="O19" s="30">
        <f>(1-ABS(M19-N19)/M19)*100</f>
        <v/>
      </c>
      <c r="P19" s="31" t="n"/>
      <c r="Q19" s="32" t="n">
        <v>0.626</v>
      </c>
      <c r="R19" s="28" t="n"/>
      <c r="S19" s="33" t="n">
        <v>16</v>
      </c>
      <c r="T19" s="31" t="n">
        <v>14.07</v>
      </c>
      <c r="U19" s="30">
        <f>(1-ABS(S19-T19)/S19)*100</f>
        <v/>
      </c>
    </row>
    <row r="20">
      <c r="B20" s="26" t="inlineStr">
        <is>
          <t>07/6</t>
        </is>
      </c>
      <c r="C20" s="27" t="n">
        <v>6569</v>
      </c>
      <c r="D20" s="28" t="n">
        <v>2.75</v>
      </c>
      <c r="E20" s="29" t="n">
        <v>2.524</v>
      </c>
      <c r="F20" s="30">
        <f>(1-ABS(D20-E20)/D20)*100</f>
        <v/>
      </c>
      <c r="G20" s="29" t="n">
        <v>0.185</v>
      </c>
      <c r="H20" s="29" t="n">
        <v>0.163</v>
      </c>
      <c r="I20" s="30">
        <f>(1-ABS(G20-H20)/G20)*100</f>
        <v/>
      </c>
      <c r="J20" s="28" t="n">
        <v>1.06</v>
      </c>
      <c r="K20" s="29" t="n">
        <v>1.046</v>
      </c>
      <c r="L20" s="30">
        <f>(1-ABS(J20-K20)/J20)*100</f>
        <v/>
      </c>
      <c r="M20" s="28" t="n">
        <v>0.3</v>
      </c>
      <c r="N20" s="29" t="n">
        <v>0.264</v>
      </c>
      <c r="O20" s="30">
        <f>(1-ABS(M20-N20)/M20)*100</f>
        <v/>
      </c>
      <c r="P20" s="31" t="n"/>
      <c r="Q20" s="32" t="n">
        <v>0.633</v>
      </c>
      <c r="R20" s="28" t="n"/>
      <c r="S20" s="33" t="n">
        <v>15.2</v>
      </c>
      <c r="T20" s="31" t="n">
        <v>13.16</v>
      </c>
      <c r="U20" s="30">
        <f>(1-ABS(S20-T20)/S20)*100</f>
        <v/>
      </c>
    </row>
    <row r="21">
      <c r="B21" s="26" t="inlineStr">
        <is>
          <t>07/7</t>
        </is>
      </c>
      <c r="C21" s="27" t="n">
        <v>5399</v>
      </c>
      <c r="D21" s="28" t="n">
        <v>2.9</v>
      </c>
      <c r="E21" s="29" t="n">
        <v>2.528</v>
      </c>
      <c r="F21" s="30">
        <f>(1-ABS(D21-E21)/D21)*100</f>
        <v/>
      </c>
      <c r="G21" s="29" t="n">
        <v>0.186</v>
      </c>
      <c r="H21" s="29" t="n">
        <v>0.164</v>
      </c>
      <c r="I21" s="30">
        <f>(1-ABS(G21-H21)/G21)*100</f>
        <v/>
      </c>
      <c r="J21" s="28" t="n">
        <v>1.11</v>
      </c>
      <c r="K21" s="29" t="n">
        <v>1.037</v>
      </c>
      <c r="L21" s="30">
        <f>(1-ABS(J21-K21)/J21)*100</f>
        <v/>
      </c>
      <c r="M21" s="28" t="n">
        <v>0.32</v>
      </c>
      <c r="N21" s="29" t="n">
        <v>0.274</v>
      </c>
      <c r="O21" s="30">
        <f>(1-ABS(M21-N21)/M21)*100</f>
        <v/>
      </c>
      <c r="P21" s="31" t="n"/>
      <c r="Q21" s="32" t="n">
        <v>0.642</v>
      </c>
      <c r="R21" s="28" t="n"/>
      <c r="S21" s="33" t="n">
        <v>14</v>
      </c>
      <c r="T21" s="31" t="n">
        <v>12.99</v>
      </c>
      <c r="U21" s="30">
        <f>(1-ABS(S21-T21)/S21)*100</f>
        <v/>
      </c>
    </row>
    <row r="22">
      <c r="B22" s="26" t="inlineStr">
        <is>
          <t>07/8</t>
        </is>
      </c>
      <c r="C22" s="27" t="n">
        <v>2956</v>
      </c>
      <c r="D22" s="28" t="n">
        <v>2.82</v>
      </c>
      <c r="E22" s="29" t="n">
        <v>2.547</v>
      </c>
      <c r="F22" s="30">
        <f>(1-ABS(D22-E22)/D22)*100</f>
        <v/>
      </c>
      <c r="G22" s="29" t="n">
        <v>0.176</v>
      </c>
      <c r="H22" s="29" t="n">
        <v>0.164</v>
      </c>
      <c r="I22" s="30">
        <f>(1-ABS(G22-H22)/G22)*100</f>
        <v/>
      </c>
      <c r="J22" s="28" t="n">
        <v>1.08</v>
      </c>
      <c r="K22" s="29" t="n">
        <v>1.054</v>
      </c>
      <c r="L22" s="30">
        <f>(1-ABS(J22-K22)/J22)*100</f>
        <v/>
      </c>
      <c r="M22" s="28" t="n">
        <v>0.32</v>
      </c>
      <c r="N22" s="29" t="n">
        <v>0.258</v>
      </c>
      <c r="O22" s="30">
        <f>(1-ABS(M22-N22)/M22)*100</f>
        <v/>
      </c>
      <c r="P22" s="31" t="n"/>
      <c r="Q22" s="32" t="n">
        <v>0.631</v>
      </c>
      <c r="R22" s="28" t="n"/>
      <c r="S22" s="33" t="n">
        <v>17.7</v>
      </c>
      <c r="T22" s="31" t="n">
        <v>14.06</v>
      </c>
      <c r="U22" s="30">
        <f>(1-ABS(S22-T22)/S22)*100</f>
        <v/>
      </c>
    </row>
    <row r="23">
      <c r="B23" s="26" t="inlineStr">
        <is>
          <t>07/9</t>
        </is>
      </c>
      <c r="C23" s="27" t="n">
        <v>4069</v>
      </c>
      <c r="D23" s="28" t="n">
        <v>2.98</v>
      </c>
      <c r="E23" s="29" t="n">
        <v>2.535</v>
      </c>
      <c r="F23" s="30">
        <f>(1-ABS(D23-E23)/D23)*100</f>
        <v/>
      </c>
      <c r="G23" s="29" t="n">
        <v>0.18</v>
      </c>
      <c r="H23" s="29" t="n">
        <v>0.163</v>
      </c>
      <c r="I23" s="30">
        <f>(1-ABS(G23-H23)/G23)*100</f>
        <v/>
      </c>
      <c r="J23" s="28" t="n">
        <v>1.1</v>
      </c>
      <c r="K23" s="29" t="n">
        <v>1.048</v>
      </c>
      <c r="L23" s="30">
        <f>(1-ABS(J23-K23)/J23)*100</f>
        <v/>
      </c>
      <c r="M23" s="28" t="n">
        <v>0.31</v>
      </c>
      <c r="N23" s="29" t="n">
        <v>0.259</v>
      </c>
      <c r="O23" s="30">
        <f>(1-ABS(M23-N23)/M23)*100</f>
        <v/>
      </c>
      <c r="P23" s="31" t="n"/>
      <c r="Q23" s="32" t="n">
        <v>0.633</v>
      </c>
      <c r="R23" s="28" t="n"/>
      <c r="S23" s="33" t="n">
        <v>16.4</v>
      </c>
      <c r="T23" s="31" t="n">
        <v>13.8</v>
      </c>
      <c r="U23" s="30">
        <f>(1-ABS(S23-T23)/S23)*100</f>
        <v/>
      </c>
    </row>
    <row r="24">
      <c r="B24" s="26" t="inlineStr">
        <is>
          <t>08/1</t>
        </is>
      </c>
      <c r="C24" s="27" t="n">
        <v>4711</v>
      </c>
      <c r="D24" s="28" t="n">
        <v>2.88</v>
      </c>
      <c r="E24" s="29" t="n">
        <v>2.413</v>
      </c>
      <c r="F24" s="30">
        <f>(1-ABS(D24-E24)/D24)*100</f>
        <v/>
      </c>
      <c r="G24" s="29" t="n">
        <v>0.181</v>
      </c>
      <c r="H24" s="29" t="n">
        <v>0.158</v>
      </c>
      <c r="I24" s="30">
        <f>(1-ABS(G24-H24)/G24)*100</f>
        <v/>
      </c>
      <c r="J24" s="28" t="n">
        <v>1.07</v>
      </c>
      <c r="K24" s="29" t="n">
        <v>0.972</v>
      </c>
      <c r="L24" s="30">
        <f>(1-ABS(J24-K24)/J24)*100</f>
        <v/>
      </c>
      <c r="M24" s="28" t="n">
        <v>0.32</v>
      </c>
      <c r="N24" s="29" t="n">
        <v>0.306</v>
      </c>
      <c r="O24" s="30">
        <f>(1-ABS(M24-N24)/M24)*100</f>
        <v/>
      </c>
      <c r="P24" s="31" t="n"/>
      <c r="Q24" s="32" t="n">
        <v>0.665</v>
      </c>
      <c r="R24" s="28" t="n"/>
      <c r="S24" s="33" t="n">
        <v>16.9</v>
      </c>
      <c r="T24" s="31" t="n">
        <v>10.65</v>
      </c>
      <c r="U24" s="30">
        <f>(1-ABS(S24-T24)/S24)*100</f>
        <v/>
      </c>
    </row>
    <row r="25">
      <c r="B25" s="26" t="inlineStr">
        <is>
          <t>08/2</t>
        </is>
      </c>
      <c r="C25" s="27" t="n">
        <v>6311</v>
      </c>
      <c r="D25" s="28" t="n">
        <v>2.64</v>
      </c>
      <c r="E25" s="29" t="n">
        <v>2.478</v>
      </c>
      <c r="F25" s="30">
        <f>(1-ABS(D25-E25)/D25)*100</f>
        <v/>
      </c>
      <c r="G25" s="29" t="n">
        <v>0.172</v>
      </c>
      <c r="H25" s="29" t="n">
        <v>0.161</v>
      </c>
      <c r="I25" s="30">
        <f>(1-ABS(G25-H25)/G25)*100</f>
        <v/>
      </c>
      <c r="J25" s="28" t="n">
        <v>1.04</v>
      </c>
      <c r="K25" s="29" t="n">
        <v>1.012</v>
      </c>
      <c r="L25" s="30">
        <f>(1-ABS(J25-K25)/J25)*100</f>
        <v/>
      </c>
      <c r="M25" s="28" t="n">
        <v>0.32</v>
      </c>
      <c r="N25" s="29" t="n">
        <v>0.282</v>
      </c>
      <c r="O25" s="30">
        <f>(1-ABS(M25-N25)/M25)*100</f>
        <v/>
      </c>
      <c r="P25" s="31" t="n"/>
      <c r="Q25" s="32" t="n">
        <v>0.646</v>
      </c>
      <c r="R25" s="28" t="n"/>
      <c r="S25" s="33" t="n">
        <v>17.9</v>
      </c>
      <c r="T25" s="31" t="n">
        <v>11.95</v>
      </c>
      <c r="U25" s="30">
        <f>(1-ABS(S25-T25)/S25)*100</f>
        <v/>
      </c>
    </row>
    <row r="26">
      <c r="B26" s="26" t="inlineStr">
        <is>
          <t>08/3</t>
        </is>
      </c>
      <c r="C26" s="27" t="n">
        <v>8128</v>
      </c>
      <c r="D26" s="28" t="n">
        <v>2.72</v>
      </c>
      <c r="E26" s="29" t="n">
        <v>2.535</v>
      </c>
      <c r="F26" s="30">
        <f>(1-ABS(D26-E26)/D26)*100</f>
        <v/>
      </c>
      <c r="G26" s="29" t="n">
        <v>0.17</v>
      </c>
      <c r="H26" s="29" t="n">
        <v>0.164</v>
      </c>
      <c r="I26" s="30">
        <f>(1-ABS(G26-H26)/G26)*100</f>
        <v/>
      </c>
      <c r="J26" s="28" t="n">
        <v>1.07</v>
      </c>
      <c r="K26" s="29" t="n">
        <v>1.028</v>
      </c>
      <c r="L26" s="30">
        <f>(1-ABS(J26-K26)/J26)*100</f>
        <v/>
      </c>
      <c r="M26" s="28" t="n">
        <v>0.34</v>
      </c>
      <c r="N26" s="29" t="n">
        <v>0.291</v>
      </c>
      <c r="O26" s="30">
        <f>(1-ABS(M26-N26)/M26)*100</f>
        <v/>
      </c>
      <c r="P26" s="31" t="n"/>
      <c r="Q26" s="32" t="n">
        <v>0.662</v>
      </c>
      <c r="R26" s="28" t="n"/>
      <c r="S26" s="33" t="n">
        <v>17.8</v>
      </c>
      <c r="T26" s="31" t="n">
        <v>12.32</v>
      </c>
      <c r="U26" s="30">
        <f>(1-ABS(S26-T26)/S26)*100</f>
        <v/>
      </c>
    </row>
    <row r="27">
      <c r="B27" s="26" t="inlineStr">
        <is>
          <t>08/4</t>
        </is>
      </c>
      <c r="C27" s="27" t="n">
        <v>7608</v>
      </c>
      <c r="D27" s="28" t="n">
        <v>2.87</v>
      </c>
      <c r="E27" s="29" t="n">
        <v>2.545</v>
      </c>
      <c r="F27" s="30">
        <f>(1-ABS(D27-E27)/D27)*100</f>
        <v/>
      </c>
      <c r="G27" s="29" t="n">
        <v>0.181</v>
      </c>
      <c r="H27" s="29" t="n">
        <v>0.165</v>
      </c>
      <c r="I27" s="30">
        <f>(1-ABS(G27-H27)/G27)*100</f>
        <v/>
      </c>
      <c r="J27" s="28" t="n">
        <v>1.11</v>
      </c>
      <c r="K27" s="29" t="n">
        <v>1.032</v>
      </c>
      <c r="L27" s="30">
        <f>(1-ABS(J27-K27)/J27)*100</f>
        <v/>
      </c>
      <c r="M27" s="28" t="n">
        <v>0.33</v>
      </c>
      <c r="N27" s="29" t="n">
        <v>0.294</v>
      </c>
      <c r="O27" s="30">
        <f>(1-ABS(M27-N27)/M27)*100</f>
        <v/>
      </c>
      <c r="P27" s="31" t="n"/>
      <c r="Q27" s="32" t="n">
        <v>0.663</v>
      </c>
      <c r="R27" s="28" t="n"/>
      <c r="S27" s="33" t="n">
        <v>16.7</v>
      </c>
      <c r="T27" s="31" t="n">
        <v>12.44</v>
      </c>
      <c r="U27" s="30">
        <f>(1-ABS(S27-T27)/S27)*100</f>
        <v/>
      </c>
    </row>
    <row r="28">
      <c r="B28" s="26" t="inlineStr">
        <is>
          <t>08/5</t>
        </is>
      </c>
      <c r="C28" s="27" t="n">
        <v>7009</v>
      </c>
      <c r="D28" s="28" t="n">
        <v>2.76</v>
      </c>
      <c r="E28" s="29" t="n">
        <v>2.545</v>
      </c>
      <c r="F28" s="30">
        <f>(1-ABS(D28-E28)/D28)*100</f>
        <v/>
      </c>
      <c r="G28" s="29" t="n">
        <v>0.173</v>
      </c>
      <c r="H28" s="29" t="n">
        <v>0.165</v>
      </c>
      <c r="I28" s="30">
        <f>(1-ABS(G28-H28)/G28)*100</f>
        <v/>
      </c>
      <c r="J28" s="28" t="n">
        <v>1.07</v>
      </c>
      <c r="K28" s="29" t="n">
        <v>1.037</v>
      </c>
      <c r="L28" s="30">
        <f>(1-ABS(J28-K28)/J28)*100</f>
        <v/>
      </c>
      <c r="M28" s="28" t="n">
        <v>0.32</v>
      </c>
      <c r="N28" s="29" t="n">
        <v>0.285</v>
      </c>
      <c r="O28" s="30">
        <f>(1-ABS(M28-N28)/M28)*100</f>
        <v/>
      </c>
      <c r="P28" s="31" t="n"/>
      <c r="Q28" s="32" t="n">
        <v>0.659</v>
      </c>
      <c r="R28" s="28" t="n"/>
      <c r="S28" s="33" t="n">
        <v>14.7</v>
      </c>
      <c r="T28" s="31" t="n">
        <v>12.79</v>
      </c>
      <c r="U28" s="30">
        <f>(1-ABS(S28-T28)/S28)*100</f>
        <v/>
      </c>
    </row>
    <row r="29">
      <c r="B29" s="26" t="inlineStr">
        <is>
          <t>08/6</t>
        </is>
      </c>
      <c r="C29" s="27" t="n">
        <v>4396</v>
      </c>
      <c r="D29" s="28" t="n">
        <v>2.95</v>
      </c>
      <c r="E29" s="29" t="n">
        <v>2.547</v>
      </c>
      <c r="F29" s="30">
        <f>(1-ABS(D29-E29)/D29)*100</f>
        <v/>
      </c>
      <c r="G29" s="29" t="n">
        <v>0.184</v>
      </c>
      <c r="H29" s="29" t="n">
        <v>0.164</v>
      </c>
      <c r="I29" s="30">
        <f>(1-ABS(G29-H29)/G29)*100</f>
        <v/>
      </c>
      <c r="J29" s="28" t="n">
        <v>1.1</v>
      </c>
      <c r="K29" s="29" t="n">
        <v>1.054</v>
      </c>
      <c r="L29" s="30">
        <f>(1-ABS(J29-K29)/J29)*100</f>
        <v/>
      </c>
      <c r="M29" s="28" t="n">
        <v>0.31</v>
      </c>
      <c r="N29" s="29" t="n">
        <v>0.252</v>
      </c>
      <c r="O29" s="30">
        <f>(1-ABS(M29-N29)/M29)*100</f>
        <v/>
      </c>
      <c r="P29" s="31" t="n"/>
      <c r="Q29" s="32" t="n">
        <v>0.631</v>
      </c>
      <c r="R29" s="28" t="n"/>
      <c r="S29" s="33" t="n">
        <v>16.4</v>
      </c>
      <c r="T29" s="31" t="n">
        <v>14.06</v>
      </c>
      <c r="U29" s="30">
        <f>(1-ABS(S29-T29)/S29)*100</f>
        <v/>
      </c>
    </row>
    <row r="30">
      <c r="B30" s="26" t="inlineStr">
        <is>
          <t>08/7</t>
        </is>
      </c>
      <c r="C30" s="27" t="n">
        <v>5706</v>
      </c>
      <c r="D30" s="28" t="n">
        <v>2.79</v>
      </c>
      <c r="E30" s="29" t="n">
        <v>2.488</v>
      </c>
      <c r="F30" s="30">
        <f>(1-ABS(D30-E30)/D30)*100</f>
        <v/>
      </c>
      <c r="G30" s="29" t="n">
        <v>0.175</v>
      </c>
      <c r="H30" s="29" t="n">
        <v>0.161</v>
      </c>
      <c r="I30" s="30">
        <f>(1-ABS(G30-H30)/G30)*100</f>
        <v/>
      </c>
      <c r="J30" s="28" t="n">
        <v>1.06</v>
      </c>
      <c r="K30" s="29" t="n">
        <v>1.018</v>
      </c>
      <c r="L30" s="30">
        <f>(1-ABS(J30-K30)/J30)*100</f>
        <v/>
      </c>
      <c r="M30" s="28" t="n">
        <v>0.3</v>
      </c>
      <c r="N30" s="29" t="n">
        <v>0.279</v>
      </c>
      <c r="O30" s="30">
        <f>(1-ABS(M30-N30)/M30)*100</f>
        <v/>
      </c>
      <c r="P30" s="31" t="n"/>
      <c r="Q30" s="32" t="n">
        <v>0.642</v>
      </c>
      <c r="R30" s="28" t="n"/>
      <c r="S30" s="33" t="n">
        <v>14.7</v>
      </c>
      <c r="T30" s="31" t="n">
        <v>12.52</v>
      </c>
      <c r="U30" s="30">
        <f>(1-ABS(S30-T30)/S30)*100</f>
        <v/>
      </c>
    </row>
    <row r="31">
      <c r="B31" s="26" t="inlineStr">
        <is>
          <t>08/8</t>
        </is>
      </c>
      <c r="C31" s="27" t="n">
        <v>4846</v>
      </c>
      <c r="D31" s="28" t="n">
        <v>2.87</v>
      </c>
      <c r="E31" s="29" t="n">
        <v>2.427</v>
      </c>
      <c r="F31" s="30">
        <f>(1-ABS(D31-E31)/D31)*100</f>
        <v/>
      </c>
      <c r="G31" s="29" t="n">
        <v>0.17</v>
      </c>
      <c r="H31" s="29" t="n">
        <v>0.156</v>
      </c>
      <c r="I31" s="30">
        <f>(1-ABS(G31-H31)/G31)*100</f>
        <v/>
      </c>
      <c r="J31" s="28" t="n">
        <v>1.06</v>
      </c>
      <c r="K31" s="29" t="n">
        <v>0.996</v>
      </c>
      <c r="L31" s="30">
        <f>(1-ABS(J31-K31)/J31)*100</f>
        <v/>
      </c>
      <c r="M31" s="28" t="n">
        <v>0.33</v>
      </c>
      <c r="N31" s="29" t="n">
        <v>0.26</v>
      </c>
      <c r="O31" s="30">
        <f>(1-ABS(M31-N31)/M31)*100</f>
        <v/>
      </c>
      <c r="P31" s="31" t="n"/>
      <c r="Q31" s="32" t="n">
        <v>0.613</v>
      </c>
      <c r="R31" s="28" t="n"/>
      <c r="S31" s="33" t="n">
        <v>15</v>
      </c>
      <c r="T31" s="31" t="n">
        <v>12.64</v>
      </c>
      <c r="U31" s="30">
        <f>(1-ABS(S31-T31)/S31)*100</f>
        <v/>
      </c>
    </row>
    <row r="32">
      <c r="B32" s="26" t="inlineStr">
        <is>
          <t>08/9</t>
        </is>
      </c>
      <c r="C32" s="27" t="n">
        <v>5286</v>
      </c>
      <c r="D32" s="28" t="n">
        <v>2.57</v>
      </c>
      <c r="E32" s="29" t="n">
        <v>2.505</v>
      </c>
      <c r="F32" s="30">
        <f>(1-ABS(D32-E32)/D32)*100</f>
        <v/>
      </c>
      <c r="G32" s="29" t="n">
        <v>0.171</v>
      </c>
      <c r="H32" s="29" t="n">
        <v>0.16</v>
      </c>
      <c r="I32" s="30">
        <f>(1-ABS(G32-H32)/G32)*100</f>
        <v/>
      </c>
      <c r="J32" s="28" t="n">
        <v>1.05</v>
      </c>
      <c r="K32" s="29" t="n">
        <v>1.049</v>
      </c>
      <c r="L32" s="30">
        <f>(1-ABS(J32-K32)/J32)*100</f>
        <v/>
      </c>
      <c r="M32" s="28" t="n">
        <v>0.31</v>
      </c>
      <c r="N32" s="29" t="n">
        <v>0.244</v>
      </c>
      <c r="O32" s="30">
        <f>(1-ABS(M32-N32)/M32)*100</f>
        <v/>
      </c>
      <c r="P32" s="31" t="n"/>
      <c r="Q32" s="32" t="n">
        <v>0.608</v>
      </c>
      <c r="R32" s="28" t="n"/>
      <c r="S32" s="33" t="n">
        <v>16</v>
      </c>
      <c r="T32" s="31" t="n">
        <v>13.76</v>
      </c>
      <c r="U32" s="30">
        <f>(1-ABS(S32-T32)/S32)*100</f>
        <v/>
      </c>
    </row>
    <row r="33">
      <c r="B33" s="26" t="inlineStr">
        <is>
          <t>08/10</t>
        </is>
      </c>
      <c r="C33" s="27" t="n">
        <v>9278</v>
      </c>
      <c r="D33" s="28" t="n">
        <v>2.69</v>
      </c>
      <c r="E33" s="29" t="n">
        <v>2.526</v>
      </c>
      <c r="F33" s="30">
        <f>(1-ABS(D33-E33)/D33)*100</f>
        <v/>
      </c>
      <c r="G33" s="29" t="n">
        <v>0.172</v>
      </c>
      <c r="H33" s="29" t="n">
        <v>0.163</v>
      </c>
      <c r="I33" s="30">
        <f>(1-ABS(G33-H33)/G33)*100</f>
        <v/>
      </c>
      <c r="J33" s="28" t="n">
        <v>1.08</v>
      </c>
      <c r="K33" s="29" t="n">
        <v>1.045</v>
      </c>
      <c r="L33" s="30">
        <f>(1-ABS(J33-K33)/J33)*100</f>
        <v/>
      </c>
      <c r="M33" s="28" t="n">
        <v>0.32</v>
      </c>
      <c r="N33" s="29" t="n">
        <v>0.261</v>
      </c>
      <c r="O33" s="30">
        <f>(1-ABS(M33-N33)/M33)*100</f>
        <v/>
      </c>
      <c r="P33" s="31" t="n"/>
      <c r="Q33" s="32" t="n">
        <v>0.627</v>
      </c>
      <c r="R33" s="28" t="n"/>
      <c r="S33" s="33" t="n">
        <v>15.3</v>
      </c>
      <c r="T33" s="31" t="n">
        <v>13.35</v>
      </c>
      <c r="U33" s="30">
        <f>(1-ABS(S33-T33)/S33)*100</f>
        <v/>
      </c>
    </row>
    <row r="34">
      <c r="B34" s="26" t="inlineStr">
        <is>
          <t>08/11</t>
        </is>
      </c>
      <c r="C34" s="27" t="n">
        <v>4469</v>
      </c>
      <c r="D34" s="28" t="n">
        <v>2.78</v>
      </c>
      <c r="E34" s="29" t="n">
        <v>2.544</v>
      </c>
      <c r="F34" s="30">
        <f>(1-ABS(D34-E34)/D34)*100</f>
        <v/>
      </c>
      <c r="G34" s="29" t="n">
        <v>0.171</v>
      </c>
      <c r="H34" s="29" t="n">
        <v>0.163</v>
      </c>
      <c r="I34" s="30">
        <f>(1-ABS(G34-H34)/G34)*100</f>
        <v/>
      </c>
      <c r="J34" s="28" t="n">
        <v>1.06</v>
      </c>
      <c r="K34" s="29" t="n">
        <v>1.06</v>
      </c>
      <c r="L34" s="30">
        <f>(1-ABS(J34-K34)/J34)*100</f>
        <v/>
      </c>
      <c r="M34" s="28" t="n">
        <v>0.33</v>
      </c>
      <c r="N34" s="29" t="n">
        <v>0.254</v>
      </c>
      <c r="O34" s="30">
        <f>(1-ABS(M34-N34)/M34)*100</f>
        <v/>
      </c>
      <c r="P34" s="31" t="n"/>
      <c r="Q34" s="32" t="n">
        <v>0.628</v>
      </c>
      <c r="R34" s="28" t="n"/>
      <c r="S34" s="33" t="n">
        <v>16.9</v>
      </c>
      <c r="T34" s="31" t="n">
        <v>13.97</v>
      </c>
      <c r="U34" s="30">
        <f>(1-ABS(S34-T34)/S34)*100</f>
        <v/>
      </c>
    </row>
    <row r="35">
      <c r="B35" s="26" t="inlineStr">
        <is>
          <t>08/12</t>
        </is>
      </c>
      <c r="C35" s="27" t="n">
        <v>4176</v>
      </c>
      <c r="D35" s="28" t="n">
        <v>2.75</v>
      </c>
      <c r="E35" s="29" t="n">
        <v>2.549</v>
      </c>
      <c r="F35" s="30">
        <f>(1-ABS(D35-E35)/D35)*100</f>
        <v/>
      </c>
      <c r="G35" s="29" t="n">
        <v>0.168</v>
      </c>
      <c r="H35" s="29" t="n">
        <v>0.165</v>
      </c>
      <c r="I35" s="30">
        <f>(1-ABS(G35-H35)/G35)*100</f>
        <v/>
      </c>
      <c r="J35" s="28" t="n">
        <v>1.05</v>
      </c>
      <c r="K35" s="29" t="n">
        <v>1.042</v>
      </c>
      <c r="L35" s="30">
        <f>(1-ABS(J35-K35)/J35)*100</f>
        <v/>
      </c>
      <c r="M35" s="28" t="n">
        <v>0.32</v>
      </c>
      <c r="N35" s="29" t="n">
        <v>0.288</v>
      </c>
      <c r="O35" s="30">
        <f>(1-ABS(M35-N35)/M35)*100</f>
        <v/>
      </c>
      <c r="P35" s="31" t="n"/>
      <c r="Q35" s="32" t="n">
        <v>0.65</v>
      </c>
      <c r="R35" s="28" t="n"/>
      <c r="S35" s="33" t="n">
        <v>15.3</v>
      </c>
      <c r="T35" s="31" t="n">
        <v>13.07</v>
      </c>
      <c r="U35" s="30">
        <f>(1-ABS(S35-T35)/S35)*100</f>
        <v/>
      </c>
    </row>
    <row r="36">
      <c r="B36" s="26" t="inlineStr">
        <is>
          <t>08/13</t>
        </is>
      </c>
      <c r="C36" s="27" t="n">
        <v>10938</v>
      </c>
      <c r="D36" s="28" t="n">
        <v>2.77</v>
      </c>
      <c r="E36" s="29" t="n">
        <v>2.538</v>
      </c>
      <c r="F36" s="30">
        <f>(1-ABS(D36-E36)/D36)*100</f>
        <v/>
      </c>
      <c r="G36" s="29" t="n">
        <v>0.172</v>
      </c>
      <c r="H36" s="29" t="n">
        <v>0.165</v>
      </c>
      <c r="I36" s="30">
        <f>(1-ABS(G36-H36)/G36)*100</f>
        <v/>
      </c>
      <c r="J36" s="28" t="n">
        <v>1.09</v>
      </c>
      <c r="K36" s="29" t="n">
        <v>1.034</v>
      </c>
      <c r="L36" s="30">
        <f>(1-ABS(J36-K36)/J36)*100</f>
        <v/>
      </c>
      <c r="M36" s="28" t="n">
        <v>0.31</v>
      </c>
      <c r="N36" s="29" t="n">
        <v>0.281</v>
      </c>
      <c r="O36" s="30">
        <f>(1-ABS(M36-N36)/M36)*100</f>
        <v/>
      </c>
      <c r="P36" s="31" t="n"/>
      <c r="Q36" s="32" t="n">
        <v>0.651</v>
      </c>
      <c r="R36" s="28" t="n"/>
      <c r="S36" s="33" t="n">
        <v>17.9</v>
      </c>
      <c r="T36" s="31" t="n">
        <v>13.06</v>
      </c>
      <c r="U36" s="30">
        <f>(1-ABS(S36-T36)/S36)*100</f>
        <v/>
      </c>
    </row>
    <row r="37">
      <c r="B37" s="26" t="inlineStr">
        <is>
          <t>08/14</t>
        </is>
      </c>
      <c r="C37" s="27" t="n">
        <v>6610</v>
      </c>
      <c r="D37" s="28" t="n">
        <v>2.73</v>
      </c>
      <c r="E37" s="29" t="n">
        <v>2.543</v>
      </c>
      <c r="F37" s="30">
        <f>(1-ABS(D37-E37)/D37)*100</f>
        <v/>
      </c>
      <c r="G37" s="29" t="n">
        <v>0.179</v>
      </c>
      <c r="H37" s="29" t="n">
        <v>0.165</v>
      </c>
      <c r="I37" s="30">
        <f>(1-ABS(G37-H37)/G37)*100</f>
        <v/>
      </c>
      <c r="J37" s="28" t="n">
        <v>1.06</v>
      </c>
      <c r="K37" s="29" t="n">
        <v>1.036</v>
      </c>
      <c r="L37" s="30">
        <f>(1-ABS(J37-K37)/J37)*100</f>
        <v/>
      </c>
      <c r="M37" s="28" t="n">
        <v>0.34</v>
      </c>
      <c r="N37" s="29" t="n">
        <v>0.273</v>
      </c>
      <c r="O37" s="30">
        <f>(1-ABS(M37-N37)/M37)*100</f>
        <v/>
      </c>
      <c r="P37" s="31" t="n"/>
      <c r="Q37" s="32" t="n">
        <v>0.649</v>
      </c>
      <c r="R37" s="28" t="n"/>
      <c r="S37" s="33" t="n">
        <v>16.6</v>
      </c>
      <c r="T37" s="31" t="n">
        <v>13.96</v>
      </c>
      <c r="U37" s="30">
        <f>(1-ABS(S37-T37)/S37)*100</f>
        <v/>
      </c>
    </row>
    <row r="38">
      <c r="B38" s="26" t="inlineStr">
        <is>
          <t>08/15</t>
        </is>
      </c>
      <c r="C38" s="27" t="n">
        <v>6440</v>
      </c>
      <c r="D38" s="28" t="n">
        <v>2.74</v>
      </c>
      <c r="E38" s="29" t="n">
        <v>2.544</v>
      </c>
      <c r="F38" s="30">
        <f>(1-ABS(D38-E38)/D38)*100</f>
        <v/>
      </c>
      <c r="G38" s="29" t="n">
        <v>0.17</v>
      </c>
      <c r="H38" s="29" t="n">
        <v>0.165</v>
      </c>
      <c r="I38" s="30">
        <f>(1-ABS(G38-H38)/G38)*100</f>
        <v/>
      </c>
      <c r="J38" s="28" t="n">
        <v>1.04</v>
      </c>
      <c r="K38" s="29" t="n">
        <v>1.034</v>
      </c>
      <c r="L38" s="30">
        <f>(1-ABS(J38-K38)/J38)*100</f>
        <v/>
      </c>
      <c r="M38" s="28" t="n">
        <v>0.34</v>
      </c>
      <c r="N38" s="29" t="n">
        <v>0.281</v>
      </c>
      <c r="O38" s="30">
        <f>(1-ABS(M38-N38)/M38)*100</f>
        <v/>
      </c>
      <c r="P38" s="31" t="n"/>
      <c r="Q38" s="32" t="n">
        <v>0.65</v>
      </c>
      <c r="R38" s="28" t="n"/>
      <c r="S38" s="33" t="n">
        <v>15.8</v>
      </c>
      <c r="T38" s="31" t="n">
        <v>13.52</v>
      </c>
      <c r="U38" s="30">
        <f>(1-ABS(S38-T38)/S38)*100</f>
        <v/>
      </c>
    </row>
    <row r="39">
      <c r="B39" s="26" t="inlineStr">
        <is>
          <t>08/16</t>
        </is>
      </c>
      <c r="C39" s="27" t="n">
        <v>6992</v>
      </c>
      <c r="D39" s="28" t="n">
        <v>2.81</v>
      </c>
      <c r="E39" s="29" t="n">
        <v>2.545</v>
      </c>
      <c r="F39" s="30">
        <f>(1-ABS(D39-E39)/D39)*100</f>
        <v/>
      </c>
      <c r="G39" s="29" t="n">
        <v>0.172</v>
      </c>
      <c r="H39" s="29" t="n">
        <v>0.166</v>
      </c>
      <c r="I39" s="30">
        <f>(1-ABS(G39-H39)/G39)*100</f>
        <v/>
      </c>
      <c r="J39" s="28" t="n">
        <v>1.07</v>
      </c>
      <c r="K39" s="29" t="n">
        <v>1.041</v>
      </c>
      <c r="L39" s="30">
        <f>(1-ABS(J39-K39)/J39)*100</f>
        <v/>
      </c>
      <c r="M39" s="28" t="n">
        <v>0.33</v>
      </c>
      <c r="N39" s="29" t="n">
        <v>0.283</v>
      </c>
      <c r="O39" s="30">
        <f>(1-ABS(M39-N39)/M39)*100</f>
        <v/>
      </c>
      <c r="P39" s="31" t="n"/>
      <c r="Q39" s="32" t="n">
        <v>0.65</v>
      </c>
      <c r="R39" s="28" t="n"/>
      <c r="S39" s="33" t="n">
        <v>15.3</v>
      </c>
      <c r="T39" s="31" t="n">
        <v>13.47</v>
      </c>
      <c r="U39" s="30">
        <f>(1-ABS(S39-T39)/S39)*100</f>
        <v/>
      </c>
    </row>
    <row r="40">
      <c r="B40" s="26" t="inlineStr">
        <is>
          <t>08/17</t>
        </is>
      </c>
      <c r="C40" s="27" t="n">
        <v>5104</v>
      </c>
      <c r="D40" s="28" t="n">
        <v>2.83</v>
      </c>
      <c r="E40" s="29" t="n">
        <v>2.544</v>
      </c>
      <c r="F40" s="30">
        <f>(1-ABS(D40-E40)/D40)*100</f>
        <v/>
      </c>
      <c r="G40" s="29" t="n">
        <v>0.178</v>
      </c>
      <c r="H40" s="29" t="n">
        <v>0.164</v>
      </c>
      <c r="I40" s="30">
        <f>(1-ABS(G40-H40)/G40)*100</f>
        <v/>
      </c>
      <c r="J40" s="28" t="n">
        <v>1.11</v>
      </c>
      <c r="K40" s="29" t="n">
        <v>1.053</v>
      </c>
      <c r="L40" s="30">
        <f>(1-ABS(J40-K40)/J40)*100</f>
        <v/>
      </c>
      <c r="M40" s="28" t="n">
        <v>0.35</v>
      </c>
      <c r="N40" s="29" t="n">
        <v>0.265</v>
      </c>
      <c r="O40" s="30">
        <f>(1-ABS(M40-N40)/M40)*100</f>
        <v/>
      </c>
      <c r="P40" s="31" t="n"/>
      <c r="Q40" s="32" t="n">
        <v>0.636</v>
      </c>
      <c r="R40" s="28" t="n"/>
      <c r="S40" s="33" t="n">
        <v>15</v>
      </c>
      <c r="T40" s="31" t="n">
        <v>13.98</v>
      </c>
      <c r="U40" s="30">
        <f>(1-ABS(S40-T40)/S40)*100</f>
        <v/>
      </c>
    </row>
    <row r="41">
      <c r="B41" s="26" t="inlineStr">
        <is>
          <t>08/18</t>
        </is>
      </c>
      <c r="C41" s="27" t="n">
        <v>4850</v>
      </c>
      <c r="D41" s="28" t="n">
        <v>2.86</v>
      </c>
      <c r="E41" s="29" t="n">
        <v>2.529</v>
      </c>
      <c r="F41" s="30">
        <f>(1-ABS(D41-E41)/D41)*100</f>
        <v/>
      </c>
      <c r="G41" s="29" t="n">
        <v>0.17</v>
      </c>
      <c r="H41" s="29" t="n">
        <v>0.163</v>
      </c>
      <c r="I41" s="30">
        <f>(1-ABS(G41-H41)/G41)*100</f>
        <v/>
      </c>
      <c r="J41" s="28" t="n">
        <v>1.08</v>
      </c>
      <c r="K41" s="29" t="n">
        <v>1.052</v>
      </c>
      <c r="L41" s="30">
        <f>(1-ABS(J41-K41)/J41)*100</f>
        <v/>
      </c>
      <c r="M41" s="28" t="n">
        <v>0.3</v>
      </c>
      <c r="N41" s="29" t="n">
        <v>0.25</v>
      </c>
      <c r="O41" s="30">
        <f>(1-ABS(M41-N41)/M41)*100</f>
        <v/>
      </c>
      <c r="P41" s="31" t="n"/>
      <c r="Q41" s="32" t="n">
        <v>0.631</v>
      </c>
      <c r="R41" s="28" t="n"/>
      <c r="S41" s="33" t="n">
        <v>16.8</v>
      </c>
      <c r="T41" s="31" t="n">
        <v>13.86</v>
      </c>
      <c r="U41" s="30">
        <f>(1-ABS(S41-T41)/S41)*100</f>
        <v/>
      </c>
    </row>
    <row r="42">
      <c r="B42" s="26" t="inlineStr">
        <is>
          <t>08/19</t>
        </is>
      </c>
      <c r="C42" s="27" t="n">
        <v>7139</v>
      </c>
      <c r="D42" s="28" t="n">
        <v>2.66</v>
      </c>
      <c r="E42" s="29" t="n">
        <v>2.519</v>
      </c>
      <c r="F42" s="30">
        <f>(1-ABS(D42-E42)/D42)*100</f>
        <v/>
      </c>
      <c r="G42" s="29" t="n">
        <v>0.169</v>
      </c>
      <c r="H42" s="29" t="n">
        <v>0.162</v>
      </c>
      <c r="I42" s="30">
        <f>(1-ABS(G42-H42)/G42)*100</f>
        <v/>
      </c>
      <c r="J42" s="28" t="n">
        <v>1.08</v>
      </c>
      <c r="K42" s="29" t="n">
        <v>1.038</v>
      </c>
      <c r="L42" s="30">
        <f>(1-ABS(J42-K42)/J42)*100</f>
        <v/>
      </c>
      <c r="M42" s="28" t="n">
        <v>0.35</v>
      </c>
      <c r="N42" s="29" t="n">
        <v>0.268</v>
      </c>
      <c r="O42" s="30">
        <f>(1-ABS(M42-N42)/M42)*100</f>
        <v/>
      </c>
      <c r="P42" s="31" t="n"/>
      <c r="Q42" s="32" t="n">
        <v>0.631</v>
      </c>
      <c r="R42" s="28" t="n"/>
      <c r="S42" s="33" t="n">
        <v>15.8</v>
      </c>
      <c r="T42" s="31" t="n">
        <v>13.79</v>
      </c>
      <c r="U42" s="30">
        <f>(1-ABS(S42-T42)/S42)*100</f>
        <v/>
      </c>
    </row>
    <row r="43">
      <c r="B43" s="26" t="inlineStr">
        <is>
          <t>08/20</t>
        </is>
      </c>
      <c r="C43" s="27" t="n">
        <v>9827</v>
      </c>
      <c r="D43" s="28" t="n">
        <v>2.68</v>
      </c>
      <c r="E43" s="29" t="n">
        <v>2.533</v>
      </c>
      <c r="F43" s="30">
        <f>(1-ABS(D43-E43)/D43)*100</f>
        <v/>
      </c>
      <c r="G43" s="29" t="n">
        <v>0.177</v>
      </c>
      <c r="H43" s="29" t="n">
        <v>0.163</v>
      </c>
      <c r="I43" s="30">
        <f>(1-ABS(G43-H43)/G43)*100</f>
        <v/>
      </c>
      <c r="J43" s="28" t="n">
        <v>1.12</v>
      </c>
      <c r="K43" s="29" t="n">
        <v>1.045</v>
      </c>
      <c r="L43" s="30">
        <f>(1-ABS(J43-K43)/J43)*100</f>
        <v/>
      </c>
      <c r="M43" s="28" t="n">
        <v>0.34</v>
      </c>
      <c r="N43" s="29" t="n">
        <v>0.26</v>
      </c>
      <c r="O43" s="30">
        <f>(1-ABS(M43-N43)/M43)*100</f>
        <v/>
      </c>
      <c r="P43" s="31" t="n"/>
      <c r="Q43" s="32" t="n">
        <v>0.634</v>
      </c>
      <c r="R43" s="28" t="n"/>
      <c r="S43" s="33" t="n">
        <v>17.9</v>
      </c>
      <c r="T43" s="31" t="n">
        <v>13.83</v>
      </c>
      <c r="U43" s="30">
        <f>(1-ABS(S43-T43)/S43)*100</f>
        <v/>
      </c>
    </row>
    <row r="44">
      <c r="B44" s="26" t="inlineStr">
        <is>
          <t>08/21</t>
        </is>
      </c>
      <c r="C44" s="27" t="n">
        <v>7540</v>
      </c>
      <c r="D44" s="28" t="n">
        <v>2.7</v>
      </c>
      <c r="E44" s="29" t="n">
        <v>2.535</v>
      </c>
      <c r="F44" s="30">
        <f>(1-ABS(D44-E44)/D44)*100</f>
        <v/>
      </c>
      <c r="G44" s="29" t="n">
        <v>0.171</v>
      </c>
      <c r="H44" s="29" t="n">
        <v>0.163</v>
      </c>
      <c r="I44" s="30">
        <f>(1-ABS(G44-H44)/G44)*100</f>
        <v/>
      </c>
      <c r="J44" s="28" t="n">
        <v>1.08</v>
      </c>
      <c r="K44" s="29" t="n">
        <v>1.053</v>
      </c>
      <c r="L44" s="30">
        <f>(1-ABS(J44-K44)/J44)*100</f>
        <v/>
      </c>
      <c r="M44" s="28" t="n">
        <v>0.33</v>
      </c>
      <c r="N44" s="29" t="n">
        <v>0.255</v>
      </c>
      <c r="O44" s="30">
        <f>(1-ABS(M44-N44)/M44)*100</f>
        <v/>
      </c>
      <c r="P44" s="31" t="n"/>
      <c r="Q44" s="32" t="n">
        <v>0.625</v>
      </c>
      <c r="R44" s="28" t="n"/>
      <c r="S44" s="33" t="n">
        <v>17.8</v>
      </c>
      <c r="T44" s="31" t="n">
        <v>13.9</v>
      </c>
      <c r="U44" s="30">
        <f>(1-ABS(S44-T44)/S44)*100</f>
        <v/>
      </c>
    </row>
    <row r="45">
      <c r="B45" s="26" t="inlineStr">
        <is>
          <t>08/22</t>
        </is>
      </c>
      <c r="C45" s="27" t="n">
        <v>5035</v>
      </c>
      <c r="D45" s="28" t="n">
        <v>2.66</v>
      </c>
      <c r="E45" s="29" t="n">
        <v>2.54</v>
      </c>
      <c r="F45" s="30">
        <f>(1-ABS(D45-E45)/D45)*100</f>
        <v/>
      </c>
      <c r="G45" s="29" t="n">
        <v>0.173</v>
      </c>
      <c r="H45" s="29" t="n">
        <v>0.163</v>
      </c>
      <c r="I45" s="30">
        <f>(1-ABS(G45-H45)/G45)*100</f>
        <v/>
      </c>
      <c r="J45" s="28" t="n">
        <v>1.09</v>
      </c>
      <c r="K45" s="29" t="n">
        <v>1.059</v>
      </c>
      <c r="L45" s="30">
        <f>(1-ABS(J45-K45)/J45)*100</f>
        <v/>
      </c>
      <c r="M45" s="28" t="n">
        <v>0.35</v>
      </c>
      <c r="N45" s="29" t="n">
        <v>0.252</v>
      </c>
      <c r="O45" s="30">
        <f>(1-ABS(M45-N45)/M45)*100</f>
        <v/>
      </c>
      <c r="P45" s="31" t="n"/>
      <c r="Q45" s="32" t="n">
        <v>0.628</v>
      </c>
      <c r="R45" s="28" t="n"/>
      <c r="S45" s="33" t="n">
        <v>15.6</v>
      </c>
      <c r="T45" s="31" t="n">
        <v>14.08</v>
      </c>
      <c r="U45" s="30">
        <f>(1-ABS(S45-T45)/S45)*100</f>
        <v/>
      </c>
    </row>
    <row r="46">
      <c r="B46" s="26" t="inlineStr">
        <is>
          <t>08/23</t>
        </is>
      </c>
      <c r="C46" s="27" t="n">
        <v>6581</v>
      </c>
      <c r="D46" s="28" t="n">
        <v>2.72</v>
      </c>
      <c r="E46" s="29" t="n">
        <v>2.529</v>
      </c>
      <c r="F46" s="30">
        <f>(1-ABS(D46-E46)/D46)*100</f>
        <v/>
      </c>
      <c r="G46" s="29" t="n">
        <v>0.177</v>
      </c>
      <c r="H46" s="29" t="n">
        <v>0.164</v>
      </c>
      <c r="I46" s="30">
        <f>(1-ABS(G46-H46)/G46)*100</f>
        <v/>
      </c>
      <c r="J46" s="28" t="n">
        <v>1.11</v>
      </c>
      <c r="K46" s="29" t="n">
        <v>1.037</v>
      </c>
      <c r="L46" s="30">
        <f>(1-ABS(J46-K46)/J46)*100</f>
        <v/>
      </c>
      <c r="M46" s="28" t="n">
        <v>0.34</v>
      </c>
      <c r="N46" s="29" t="n">
        <v>0.271</v>
      </c>
      <c r="O46" s="30">
        <f>(1-ABS(M46-N46)/M46)*100</f>
        <v/>
      </c>
      <c r="P46" s="31" t="n"/>
      <c r="Q46" s="32" t="n">
        <v>0.646</v>
      </c>
      <c r="R46" s="28" t="n"/>
      <c r="S46" s="33" t="n">
        <v>14.9</v>
      </c>
      <c r="T46" s="31" t="n">
        <v>13.46</v>
      </c>
      <c r="U46" s="30">
        <f>(1-ABS(S46-T46)/S46)*100</f>
        <v/>
      </c>
    </row>
    <row r="47">
      <c r="B47" s="26" t="inlineStr">
        <is>
          <t>08/24</t>
        </is>
      </c>
      <c r="C47" s="27" t="n">
        <v>6249</v>
      </c>
      <c r="D47" s="28" t="n">
        <v>2.67</v>
      </c>
      <c r="E47" s="29" t="n">
        <v>2.531</v>
      </c>
      <c r="F47" s="30">
        <f>(1-ABS(D47-E47)/D47)*100</f>
        <v/>
      </c>
      <c r="G47" s="29" t="n">
        <v>0.177</v>
      </c>
      <c r="H47" s="29" t="n">
        <v>0.164</v>
      </c>
      <c r="I47" s="30">
        <f>(1-ABS(G47-H47)/G47)*100</f>
        <v/>
      </c>
      <c r="J47" s="28" t="n">
        <v>1.07</v>
      </c>
      <c r="K47" s="29" t="n">
        <v>1.029</v>
      </c>
      <c r="L47" s="30">
        <f>(1-ABS(J47-K47)/J47)*100</f>
        <v/>
      </c>
      <c r="M47" s="28" t="n">
        <v>0.35</v>
      </c>
      <c r="N47" s="29" t="n">
        <v>0.294</v>
      </c>
      <c r="O47" s="30">
        <f>(1-ABS(M47-N47)/M47)*100</f>
        <v/>
      </c>
      <c r="P47" s="31" t="n"/>
      <c r="Q47" s="32" t="n">
        <v>0.655</v>
      </c>
      <c r="R47" s="28" t="n"/>
      <c r="S47" s="33" t="n">
        <v>15.6</v>
      </c>
      <c r="T47" s="31" t="n">
        <v>12.76</v>
      </c>
      <c r="U47" s="30">
        <f>(1-ABS(S47-T47)/S47)*100</f>
        <v/>
      </c>
    </row>
    <row r="48">
      <c r="B48" s="26" t="inlineStr">
        <is>
          <t>08/25</t>
        </is>
      </c>
      <c r="C48" s="27" t="n">
        <v>5050</v>
      </c>
      <c r="D48" s="28" t="n">
        <v>2.64</v>
      </c>
      <c r="E48" s="29" t="n">
        <v>2.536</v>
      </c>
      <c r="F48" s="30">
        <f>(1-ABS(D48-E48)/D48)*100</f>
        <v/>
      </c>
      <c r="G48" s="29" t="n">
        <v>0.178</v>
      </c>
      <c r="H48" s="29" t="n">
        <v>0.164</v>
      </c>
      <c r="I48" s="30">
        <f>(1-ABS(G48-H48)/G48)*100</f>
        <v/>
      </c>
      <c r="J48" s="28" t="n">
        <v>1.06</v>
      </c>
      <c r="K48" s="29" t="n">
        <v>1.04</v>
      </c>
      <c r="L48" s="30">
        <f>(1-ABS(J48-K48)/J48)*100</f>
        <v/>
      </c>
      <c r="M48" s="28" t="n">
        <v>0.32</v>
      </c>
      <c r="N48" s="29" t="n">
        <v>0.257</v>
      </c>
      <c r="O48" s="30">
        <f>(1-ABS(M48-N48)/M48)*100</f>
        <v/>
      </c>
      <c r="P48" s="31" t="n"/>
      <c r="Q48" s="32" t="n">
        <v>0.641</v>
      </c>
      <c r="R48" s="28" t="n"/>
      <c r="S48" s="33" t="n">
        <v>15.8</v>
      </c>
      <c r="T48" s="31" t="n">
        <v>14.29</v>
      </c>
      <c r="U48" s="30">
        <f>(1-ABS(S48-T48)/S48)*100</f>
        <v/>
      </c>
    </row>
    <row r="49">
      <c r="B49" s="26" t="inlineStr">
        <is>
          <t>08/26</t>
        </is>
      </c>
      <c r="C49" s="27" t="n">
        <v>6284</v>
      </c>
      <c r="D49" s="28" t="n">
        <v>2.59</v>
      </c>
      <c r="E49" s="29" t="n">
        <v>2.54</v>
      </c>
      <c r="F49" s="30">
        <f>(1-ABS(D49-E49)/D49)*100</f>
        <v/>
      </c>
      <c r="G49" s="29" t="n">
        <v>0.183</v>
      </c>
      <c r="H49" s="29" t="n">
        <v>0.164</v>
      </c>
      <c r="I49" s="30">
        <f>(1-ABS(G49-H49)/G49)*100</f>
        <v/>
      </c>
      <c r="J49" s="28" t="n">
        <v>1.08</v>
      </c>
      <c r="K49" s="29" t="n">
        <v>1.048</v>
      </c>
      <c r="L49" s="30">
        <f>(1-ABS(J49-K49)/J49)*100</f>
        <v/>
      </c>
      <c r="M49" s="28" t="n">
        <v>0.31</v>
      </c>
      <c r="N49" s="29" t="n">
        <v>0.261</v>
      </c>
      <c r="O49" s="30">
        <f>(1-ABS(M49-N49)/M49)*100</f>
        <v/>
      </c>
      <c r="P49" s="31" t="n"/>
      <c r="Q49" s="32" t="n">
        <v>0.635</v>
      </c>
      <c r="R49" s="28" t="n"/>
      <c r="S49" s="33" t="n">
        <v>16</v>
      </c>
      <c r="T49" s="31" t="n">
        <v>14.11</v>
      </c>
      <c r="U49" s="30">
        <f>(1-ABS(S49-T49)/S49)*100</f>
        <v/>
      </c>
    </row>
    <row r="50">
      <c r="B50" s="26" t="inlineStr">
        <is>
          <t>08/27</t>
        </is>
      </c>
      <c r="C50" s="27" t="n">
        <v>5459</v>
      </c>
      <c r="D50" s="28" t="n">
        <v>2.57</v>
      </c>
      <c r="E50" s="29" t="n">
        <v>2.474</v>
      </c>
      <c r="F50" s="30">
        <f>(1-ABS(D50-E50)/D50)*100</f>
        <v/>
      </c>
      <c r="G50" s="29" t="n">
        <v>0.186</v>
      </c>
      <c r="H50" s="29" t="n">
        <v>0.16</v>
      </c>
      <c r="I50" s="30">
        <f>(1-ABS(G50-H50)/G50)*100</f>
        <v/>
      </c>
      <c r="J50" s="28" t="n">
        <v>1.1</v>
      </c>
      <c r="K50" s="29" t="n">
        <v>1.011</v>
      </c>
      <c r="L50" s="30">
        <f>(1-ABS(J50-K50)/J50)*100</f>
        <v/>
      </c>
      <c r="M50" s="28" t="n">
        <v>0.32</v>
      </c>
      <c r="N50" s="29" t="n">
        <v>0.267</v>
      </c>
      <c r="O50" s="30">
        <f>(1-ABS(M50-N50)/M50)*100</f>
        <v/>
      </c>
      <c r="P50" s="31" t="n"/>
      <c r="Q50" s="32" t="n">
        <v>0.626</v>
      </c>
      <c r="R50" s="28" t="n"/>
      <c r="S50" s="33" t="n">
        <v>15.8</v>
      </c>
      <c r="T50" s="31" t="n">
        <v>13.43</v>
      </c>
      <c r="U50" s="30">
        <f>(1-ABS(S50-T50)/S50)*100</f>
        <v/>
      </c>
    </row>
    <row r="51">
      <c r="B51" s="26" t="inlineStr">
        <is>
          <t>08/28</t>
        </is>
      </c>
      <c r="C51" s="27" t="n">
        <v>5010</v>
      </c>
      <c r="D51" s="28" t="n">
        <v>2.92</v>
      </c>
      <c r="E51" s="29" t="n">
        <v>2.543</v>
      </c>
      <c r="F51" s="30">
        <f>(1-ABS(D51-E51)/D51)*100</f>
        <v/>
      </c>
      <c r="G51" s="29" t="n">
        <v>0.178</v>
      </c>
      <c r="H51" s="29" t="n">
        <v>0.164</v>
      </c>
      <c r="I51" s="30">
        <f>(1-ABS(G51-H51)/G51)*100</f>
        <v/>
      </c>
      <c r="J51" s="28" t="n">
        <v>1.2</v>
      </c>
      <c r="K51" s="29" t="n">
        <v>1.048</v>
      </c>
      <c r="L51" s="30">
        <f>(1-ABS(J51-K51)/J51)*100</f>
        <v/>
      </c>
      <c r="M51" s="28" t="n">
        <v>0.34</v>
      </c>
      <c r="N51" s="29" t="n">
        <v>0.264</v>
      </c>
      <c r="O51" s="30">
        <f>(1-ABS(M51-N51)/M51)*100</f>
        <v/>
      </c>
      <c r="P51" s="31" t="n"/>
      <c r="Q51" s="32" t="n">
        <v>0.644</v>
      </c>
      <c r="R51" s="28" t="n"/>
      <c r="S51" s="33" t="n">
        <v>15.8</v>
      </c>
      <c r="T51" s="31" t="n">
        <v>14.19</v>
      </c>
      <c r="U51" s="30">
        <f>(1-ABS(S51-T51)/S51)*100</f>
        <v/>
      </c>
    </row>
    <row r="52">
      <c r="B52" s="26" t="inlineStr">
        <is>
          <t>08/29</t>
        </is>
      </c>
      <c r="C52" s="27" t="n">
        <v>5424</v>
      </c>
      <c r="D52" s="28" t="n">
        <v>2.53</v>
      </c>
      <c r="E52" s="29" t="n">
        <v>2.535</v>
      </c>
      <c r="F52" s="30">
        <f>(1-ABS(D52-E52)/D52)*100</f>
        <v/>
      </c>
      <c r="G52" s="29" t="n">
        <v>0.172</v>
      </c>
      <c r="H52" s="29" t="n">
        <v>0.165</v>
      </c>
      <c r="I52" s="30">
        <f>(1-ABS(G52-H52)/G52)*100</f>
        <v/>
      </c>
      <c r="J52" s="28" t="n">
        <v>1.2</v>
      </c>
      <c r="K52" s="29" t="n">
        <v>1.033</v>
      </c>
      <c r="L52" s="30">
        <f>(1-ABS(J52-K52)/J52)*100</f>
        <v/>
      </c>
      <c r="M52" s="28" t="n">
        <v>0.33</v>
      </c>
      <c r="N52" s="29" t="n">
        <v>0.283</v>
      </c>
      <c r="O52" s="30">
        <f>(1-ABS(M52-N52)/M52)*100</f>
        <v/>
      </c>
      <c r="P52" s="31" t="n"/>
      <c r="Q52" s="32" t="n">
        <v>0.652</v>
      </c>
      <c r="R52" s="28" t="n"/>
      <c r="S52" s="33" t="n">
        <v>16.2</v>
      </c>
      <c r="T52" s="31" t="n">
        <v>13.52</v>
      </c>
      <c r="U52" s="30">
        <f>(1-ABS(S52-T52)/S52)*100</f>
        <v/>
      </c>
    </row>
    <row r="53">
      <c r="B53" s="26" t="inlineStr">
        <is>
          <t>08/30</t>
        </is>
      </c>
      <c r="C53" s="27" t="n">
        <v>6911</v>
      </c>
      <c r="D53" s="28" t="n">
        <v>2.65</v>
      </c>
      <c r="E53" s="29" t="n">
        <v>2.537</v>
      </c>
      <c r="F53" s="30">
        <f>(1-ABS(D53-E53)/D53)*100</f>
        <v/>
      </c>
      <c r="G53" s="29" t="n">
        <v>0.182</v>
      </c>
      <c r="H53" s="29" t="n">
        <v>0.164</v>
      </c>
      <c r="I53" s="30">
        <f>(1-ABS(G53-H53)/G53)*100</f>
        <v/>
      </c>
      <c r="J53" s="28" t="n">
        <v>1.17</v>
      </c>
      <c r="K53" s="29" t="n">
        <v>1.046</v>
      </c>
      <c r="L53" s="30">
        <f>(1-ABS(J53-K53)/J53)*100</f>
        <v/>
      </c>
      <c r="M53" s="28" t="n">
        <v>0.32</v>
      </c>
      <c r="N53" s="29" t="n">
        <v>0.263</v>
      </c>
      <c r="O53" s="30">
        <f>(1-ABS(M53-N53)/M53)*100</f>
        <v/>
      </c>
      <c r="P53" s="31" t="n"/>
      <c r="Q53" s="32" t="n">
        <v>0.642</v>
      </c>
      <c r="R53" s="28" t="n"/>
      <c r="S53" s="33" t="n">
        <v>15.7</v>
      </c>
      <c r="T53" s="31" t="n">
        <v>13.92</v>
      </c>
      <c r="U53" s="30">
        <f>(1-ABS(S53-T53)/S53)*100</f>
        <v/>
      </c>
    </row>
    <row r="54">
      <c r="B54" s="26" t="inlineStr">
        <is>
          <t>08/31</t>
        </is>
      </c>
      <c r="C54" s="27" t="n">
        <v>4900</v>
      </c>
      <c r="D54" s="28" t="n">
        <v>2.61</v>
      </c>
      <c r="E54" s="29" t="n">
        <v>2.517</v>
      </c>
      <c r="F54" s="30">
        <f>(1-ABS(D54-E54)/D54)*100</f>
        <v/>
      </c>
      <c r="G54" s="29" t="n">
        <v>0.169</v>
      </c>
      <c r="H54" s="29" t="n">
        <v>0.162</v>
      </c>
      <c r="I54" s="30">
        <f>(1-ABS(G54-H54)/G54)*100</f>
        <v/>
      </c>
      <c r="J54" s="28" t="n">
        <v>1.11</v>
      </c>
      <c r="K54" s="29" t="n">
        <v>1.043</v>
      </c>
      <c r="L54" s="30">
        <f>(1-ABS(J54-K54)/J54)*100</f>
        <v/>
      </c>
      <c r="M54" s="28" t="n">
        <v>0.38</v>
      </c>
      <c r="N54" s="29" t="n">
        <v>0.251</v>
      </c>
      <c r="O54" s="30">
        <f>(1-ABS(M54-N54)/M54)*100</f>
        <v/>
      </c>
      <c r="P54" s="31" t="n"/>
      <c r="Q54" s="32" t="n">
        <v>0.631</v>
      </c>
      <c r="R54" s="28" t="n"/>
      <c r="S54" s="33" t="n">
        <v>16.5</v>
      </c>
      <c r="T54" s="31" t="n">
        <v>14.16</v>
      </c>
      <c r="U54" s="30">
        <f>(1-ABS(S54-T54)/S54)*100</f>
        <v/>
      </c>
    </row>
    <row r="55">
      <c r="B55" s="26" t="inlineStr">
        <is>
          <t>08/32</t>
        </is>
      </c>
      <c r="C55" s="27" t="n">
        <v>5236</v>
      </c>
      <c r="D55" s="28" t="n">
        <v>2.61</v>
      </c>
      <c r="E55" s="29" t="n">
        <v>2.511</v>
      </c>
      <c r="F55" s="30">
        <f>(1-ABS(D55-E55)/D55)*100</f>
        <v/>
      </c>
      <c r="G55" s="29" t="n">
        <v>0.175</v>
      </c>
      <c r="H55" s="29" t="n">
        <v>0.163</v>
      </c>
      <c r="I55" s="30">
        <f>(1-ABS(G55-H55)/G55)*100</f>
        <v/>
      </c>
      <c r="J55" s="28" t="n">
        <v>1.08</v>
      </c>
      <c r="K55" s="29" t="n">
        <v>1.033</v>
      </c>
      <c r="L55" s="30">
        <f>(1-ABS(J55-K55)/J55)*100</f>
        <v/>
      </c>
      <c r="M55" s="28" t="n">
        <v>0.33</v>
      </c>
      <c r="N55" s="29" t="n">
        <v>0.262</v>
      </c>
      <c r="O55" s="30">
        <f>(1-ABS(M55-N55)/M55)*100</f>
        <v/>
      </c>
      <c r="P55" s="31" t="n"/>
      <c r="Q55" s="32" t="n">
        <v>0.634</v>
      </c>
      <c r="R55" s="28" t="n"/>
      <c r="S55" s="33" t="n">
        <v>15.6</v>
      </c>
      <c r="T55" s="31" t="n">
        <v>14.16</v>
      </c>
      <c r="U55" s="30">
        <f>(1-ABS(S55-T55)/S55)*100</f>
        <v/>
      </c>
    </row>
    <row r="56">
      <c r="B56" s="26" t="inlineStr">
        <is>
          <t>08/33</t>
        </is>
      </c>
      <c r="C56" s="27" t="n">
        <v>4963</v>
      </c>
      <c r="D56" s="28" t="n">
        <v>2.97</v>
      </c>
      <c r="E56" s="29" t="n">
        <v>2.534</v>
      </c>
      <c r="F56" s="30">
        <f>(1-ABS(D56-E56)/D56)*100</f>
        <v/>
      </c>
      <c r="G56" s="29" t="n">
        <v>0.182</v>
      </c>
      <c r="H56" s="29" t="n">
        <v>0.162</v>
      </c>
      <c r="I56" s="30">
        <f>(1-ABS(G56-H56)/G56)*100</f>
        <v/>
      </c>
      <c r="J56" s="28" t="n">
        <v>1.1</v>
      </c>
      <c r="K56" s="29" t="n">
        <v>1.059</v>
      </c>
      <c r="L56" s="30">
        <f>(1-ABS(J56-K56)/J56)*100</f>
        <v/>
      </c>
      <c r="M56" s="28" t="n">
        <v>0.34</v>
      </c>
      <c r="N56" s="29" t="n">
        <v>0.245</v>
      </c>
      <c r="O56" s="30">
        <f>(1-ABS(M56-N56)/M56)*100</f>
        <v/>
      </c>
      <c r="P56" s="31" t="n"/>
      <c r="Q56" s="32" t="n">
        <v>0.621</v>
      </c>
      <c r="R56" s="28" t="n"/>
      <c r="S56" s="33" t="n">
        <v>16.2</v>
      </c>
      <c r="T56" s="31" t="n">
        <v>14.14</v>
      </c>
      <c r="U56" s="30">
        <f>(1-ABS(S56-T56)/S56)*100</f>
        <v/>
      </c>
    </row>
    <row r="57">
      <c r="B57" s="26" t="inlineStr">
        <is>
          <t>08/34</t>
        </is>
      </c>
      <c r="C57" s="27" t="n">
        <v>4999</v>
      </c>
      <c r="D57" s="28" t="n">
        <v>2.55</v>
      </c>
      <c r="E57" s="29" t="n">
        <v>2.542</v>
      </c>
      <c r="F57" s="30">
        <f>(1-ABS(D57-E57)/D57)*100</f>
        <v/>
      </c>
      <c r="G57" s="29" t="n">
        <v>0.181</v>
      </c>
      <c r="H57" s="29" t="n">
        <v>0.163</v>
      </c>
      <c r="I57" s="30">
        <f>(1-ABS(G57-H57)/G57)*100</f>
        <v/>
      </c>
      <c r="J57" s="28" t="n">
        <v>1.19</v>
      </c>
      <c r="K57" s="29" t="n">
        <v>1.059</v>
      </c>
      <c r="L57" s="30">
        <f>(1-ABS(J57-K57)/J57)*100</f>
        <v/>
      </c>
      <c r="M57" s="28" t="n">
        <v>0.36</v>
      </c>
      <c r="N57" s="29" t="n">
        <v>0.252</v>
      </c>
      <c r="O57" s="30">
        <f>(1-ABS(M57-N57)/M57)*100</f>
        <v/>
      </c>
      <c r="P57" s="31" t="n"/>
      <c r="Q57" s="32" t="n">
        <v>0.629</v>
      </c>
      <c r="R57" s="28" t="n"/>
      <c r="S57" s="33" t="n">
        <v>15.3</v>
      </c>
      <c r="T57" s="31" t="n">
        <v>14.1</v>
      </c>
      <c r="U57" s="30">
        <f>(1-ABS(S57-T57)/S57)*100</f>
        <v/>
      </c>
    </row>
    <row r="58">
      <c r="B58" s="26" t="inlineStr">
        <is>
          <t>08/35</t>
        </is>
      </c>
      <c r="C58" s="27" t="n">
        <v>4274</v>
      </c>
      <c r="D58" s="28" t="n">
        <v>2.55</v>
      </c>
      <c r="E58" s="29" t="n">
        <v>2.555</v>
      </c>
      <c r="F58" s="30">
        <f>(1-ABS(D58-E58)/D58)*100</f>
        <v/>
      </c>
      <c r="G58" s="29" t="n">
        <v>0.177</v>
      </c>
      <c r="H58" s="29" t="n">
        <v>0.165</v>
      </c>
      <c r="I58" s="30">
        <f>(1-ABS(G58-H58)/G58)*100</f>
        <v/>
      </c>
      <c r="J58" s="28" t="n">
        <v>1.05</v>
      </c>
      <c r="K58" s="29" t="n">
        <v>1.045</v>
      </c>
      <c r="L58" s="30">
        <f>(1-ABS(J58-K58)/J58)*100</f>
        <v/>
      </c>
      <c r="M58" s="28" t="n">
        <v>0.36</v>
      </c>
      <c r="N58" s="29" t="n">
        <v>0.278</v>
      </c>
      <c r="O58" s="30">
        <f>(1-ABS(M58-N58)/M58)*100</f>
        <v/>
      </c>
      <c r="P58" s="31" t="n"/>
      <c r="Q58" s="32" t="n">
        <v>0.646</v>
      </c>
      <c r="R58" s="28" t="n"/>
      <c r="S58" s="33" t="n">
        <v>17</v>
      </c>
      <c r="T58" s="31" t="n">
        <v>13.95</v>
      </c>
      <c r="U58" s="30">
        <f>(1-ABS(S58-T58)/S58)*100</f>
        <v/>
      </c>
    </row>
    <row r="59">
      <c r="B59" s="26" t="inlineStr">
        <is>
          <t>08/36</t>
        </is>
      </c>
      <c r="C59" s="27" t="n">
        <v>4770</v>
      </c>
      <c r="D59" s="28" t="n">
        <v>2.97</v>
      </c>
      <c r="E59" s="29" t="n">
        <v>2.5</v>
      </c>
      <c r="F59" s="30">
        <f>(1-ABS(D59-E59)/D59)*100</f>
        <v/>
      </c>
      <c r="G59" s="29" t="n">
        <v>0.177</v>
      </c>
      <c r="H59" s="29" t="n">
        <v>0.162</v>
      </c>
      <c r="I59" s="30">
        <f>(1-ABS(G59-H59)/G59)*100</f>
        <v/>
      </c>
      <c r="J59" s="28" t="n">
        <v>1.08</v>
      </c>
      <c r="K59" s="29" t="n">
        <v>1.028</v>
      </c>
      <c r="L59" s="30">
        <f>(1-ABS(J59-K59)/J59)*100</f>
        <v/>
      </c>
      <c r="M59" s="28" t="n">
        <v>0.35</v>
      </c>
      <c r="N59" s="29" t="n">
        <v>0.269</v>
      </c>
      <c r="O59" s="30">
        <f>(1-ABS(M59-N59)/M59)*100</f>
        <v/>
      </c>
      <c r="P59" s="31" t="n"/>
      <c r="Q59" s="32" t="n">
        <v>0.63</v>
      </c>
      <c r="R59" s="28" t="n"/>
      <c r="S59" s="33" t="n">
        <v>17.6</v>
      </c>
      <c r="T59" s="31" t="n">
        <v>13.61</v>
      </c>
      <c r="U59" s="30">
        <f>(1-ABS(S59-T59)/S59)*100</f>
        <v/>
      </c>
    </row>
    <row r="60">
      <c r="B60" s="26" t="inlineStr">
        <is>
          <t>08/37</t>
        </is>
      </c>
      <c r="C60" s="27" t="n">
        <v>4449</v>
      </c>
      <c r="D60" s="28" t="n">
        <v>2.99</v>
      </c>
      <c r="E60" s="29" t="n">
        <v>2.507</v>
      </c>
      <c r="F60" s="30">
        <f>(1-ABS(D60-E60)/D60)*100</f>
        <v/>
      </c>
      <c r="G60" s="29" t="n">
        <v>0.172</v>
      </c>
      <c r="H60" s="29" t="n">
        <v>0.163</v>
      </c>
      <c r="I60" s="30">
        <f>(1-ABS(G60-H60)/G60)*100</f>
        <v/>
      </c>
      <c r="J60" s="28" t="n">
        <v>1.2</v>
      </c>
      <c r="K60" s="29" t="n">
        <v>1.023</v>
      </c>
      <c r="L60" s="30">
        <f>(1-ABS(J60-K60)/J60)*100</f>
        <v/>
      </c>
      <c r="M60" s="28" t="n">
        <v>0.37</v>
      </c>
      <c r="N60" s="29" t="n">
        <v>0.282</v>
      </c>
      <c r="O60" s="30">
        <f>(1-ABS(M60-N60)/M60)*100</f>
        <v/>
      </c>
      <c r="P60" s="31" t="n"/>
      <c r="Q60" s="32" t="n">
        <v>0.639</v>
      </c>
      <c r="R60" s="28" t="n"/>
      <c r="S60" s="33" t="n">
        <v>16.7</v>
      </c>
      <c r="T60" s="31" t="n">
        <v>13.39</v>
      </c>
      <c r="U60" s="30">
        <f>(1-ABS(S60-T60)/S60)*100</f>
        <v/>
      </c>
    </row>
    <row r="61">
      <c r="B61" s="26" t="inlineStr">
        <is>
          <t>08/38</t>
        </is>
      </c>
      <c r="C61" s="27" t="n">
        <v>3712</v>
      </c>
      <c r="D61" s="28" t="n">
        <v>2.94</v>
      </c>
      <c r="E61" s="29" t="n">
        <v>2.488</v>
      </c>
      <c r="F61" s="30">
        <f>(1-ABS(D61-E61)/D61)*100</f>
        <v/>
      </c>
      <c r="G61" s="29" t="n">
        <v>0.171</v>
      </c>
      <c r="H61" s="29" t="n">
        <v>0.162</v>
      </c>
      <c r="I61" s="30">
        <f>(1-ABS(G61-H61)/G61)*100</f>
        <v/>
      </c>
      <c r="J61" s="28" t="n">
        <v>1.2</v>
      </c>
      <c r="K61" s="29" t="n">
        <v>1.017</v>
      </c>
      <c r="L61" s="30">
        <f>(1-ABS(J61-K61)/J61)*100</f>
        <v/>
      </c>
      <c r="M61" s="28" t="n">
        <v>0.35</v>
      </c>
      <c r="N61" s="29" t="n">
        <v>0.293</v>
      </c>
      <c r="O61" s="30">
        <f>(1-ABS(M61-N61)/M61)*100</f>
        <v/>
      </c>
      <c r="P61" s="31" t="n"/>
      <c r="Q61" s="32" t="n">
        <v>0.642</v>
      </c>
      <c r="R61" s="28" t="n"/>
      <c r="S61" s="33" t="n">
        <v>16.1</v>
      </c>
      <c r="T61" s="31" t="n">
        <v>12.37</v>
      </c>
      <c r="U61" s="30">
        <f>(1-ABS(S61-T61)/S61)*100</f>
        <v/>
      </c>
    </row>
    <row r="62">
      <c r="B62" s="26" t="inlineStr">
        <is>
          <t>SRY-KPDM</t>
        </is>
      </c>
      <c r="C62" s="27" t="n">
        <v>6168</v>
      </c>
      <c r="D62" s="28" t="n">
        <v>2.78</v>
      </c>
      <c r="E62" s="29" t="n">
        <v>2.501</v>
      </c>
      <c r="F62" s="30">
        <f>(1-ABS(D62-E62)/D62)*100</f>
        <v/>
      </c>
      <c r="G62" s="29" t="n">
        <v>0.172</v>
      </c>
      <c r="H62" s="29" t="n">
        <v>0.163</v>
      </c>
      <c r="I62" s="30">
        <f>(1-ABS(G62-H62)/G62)*100</f>
        <v/>
      </c>
      <c r="J62" s="28" t="n">
        <v>1.06</v>
      </c>
      <c r="K62" s="29" t="n">
        <v>1.018</v>
      </c>
      <c r="L62" s="30">
        <f>(1-ABS(J62-K62)/J62)*100</f>
        <v/>
      </c>
      <c r="M62" s="28" t="n">
        <v>0.31</v>
      </c>
      <c r="N62" s="29" t="n">
        <v>0.291</v>
      </c>
      <c r="O62" s="30">
        <f>(1-ABS(M62-N62)/M62)*100</f>
        <v/>
      </c>
      <c r="P62" s="31" t="n"/>
      <c r="Q62" s="32" t="n">
        <v>0.65</v>
      </c>
      <c r="R62" s="28" t="n"/>
      <c r="S62" s="33" t="n">
        <v>15.8</v>
      </c>
      <c r="T62" s="31" t="n">
        <v>12.14</v>
      </c>
      <c r="U62" s="30">
        <f>(1-ABS(S62-T62)/S62)*100</f>
        <v/>
      </c>
    </row>
    <row r="63" ht="35" customHeight="1">
      <c r="A63" s="35" t="inlineStr">
        <is>
          <t>AVG ACCURACY</t>
        </is>
      </c>
      <c r="F63" s="36">
        <f>AVERAGE(F7:F62)</f>
        <v/>
      </c>
      <c r="I63" s="36">
        <f>AVERAGE(I7:I62)</f>
        <v/>
      </c>
      <c r="L63" s="36">
        <f>AVERAGE(L7:L62)</f>
        <v/>
      </c>
      <c r="O63" s="36">
        <f>AVERAGE(O7:O62)</f>
        <v/>
      </c>
      <c r="R63" s="38" t="inlineStr">
        <is>
          <t>-</t>
        </is>
      </c>
      <c r="U63" s="36">
        <f>AVERAGE(U7:U62)</f>
        <v/>
      </c>
    </row>
    <row r="64" ht="40" customHeight="1">
      <c r="A64" s="39" t="inlineStr">
        <is>
          <t>Best result closer to 0</t>
        </is>
      </c>
      <c r="B64" s="26" t="inlineStr">
        <is>
          <t>R^2 (Coefficient of determination)</t>
        </is>
      </c>
      <c r="C64" s="40" t="n"/>
      <c r="D64" s="41">
        <f>RSQ(E7:E62, D7:D62)</f>
        <v/>
      </c>
      <c r="E64" s="42" t="n"/>
      <c r="F64" s="40" t="n"/>
      <c r="G64" s="41">
        <f>RSQ(H7:H62, G7:G62)</f>
        <v/>
      </c>
      <c r="H64" s="42" t="n"/>
      <c r="I64" s="40" t="n"/>
      <c r="J64" s="41">
        <f>RSQ(K7:K62, J7:J62)</f>
        <v/>
      </c>
      <c r="K64" s="42" t="n"/>
      <c r="L64" s="40" t="n"/>
      <c r="M64" s="41">
        <f>RSQ(N7:N62, M7:M62)</f>
        <v/>
      </c>
      <c r="N64" s="42" t="n"/>
      <c r="O64" s="40" t="n"/>
      <c r="P64" s="43" t="inlineStr">
        <is>
          <t>-</t>
        </is>
      </c>
      <c r="Q64" s="42" t="n"/>
      <c r="R64" s="40" t="n"/>
      <c r="S64" s="43">
        <f>RSQ(T7:T62, S7:S62)</f>
        <v/>
      </c>
      <c r="T64" s="42" t="n"/>
      <c r="U64" s="40" t="n"/>
    </row>
    <row r="65" ht="39" customHeight="1">
      <c r="A65" s="39" t="inlineStr">
        <is>
          <t>Best result closer to 1</t>
        </is>
      </c>
      <c r="B65" s="26" t="inlineStr">
        <is>
          <t>MAE (Average size of prediction errors)</t>
        </is>
      </c>
      <c r="C65" s="40" t="n"/>
      <c r="D65" s="41">
        <f>SUMPRODUCT(ABS(D7:D62-E7:E62))/COUNT(D7:D62)</f>
        <v/>
      </c>
      <c r="E65" s="42" t="n"/>
      <c r="F65" s="40" t="n"/>
      <c r="G65" s="41">
        <f>SUMPRODUCT(ABS(G7:G62-H7:H62))/COUNT(G7:G62)</f>
        <v/>
      </c>
      <c r="H65" s="42" t="n"/>
      <c r="I65" s="40" t="n"/>
      <c r="J65" s="41">
        <f>SUMPRODUCT(ABS(J7:J62-K7:K62))/COUNT(J7:J62)</f>
        <v/>
      </c>
      <c r="K65" s="42" t="n"/>
      <c r="L65" s="40" t="n"/>
      <c r="M65" s="41">
        <f>SUMPRODUCT(ABS(M7:M62-N7:N62))/COUNT(M7:M62)</f>
        <v/>
      </c>
      <c r="N65" s="42" t="n"/>
      <c r="O65" s="40" t="n"/>
      <c r="P65" s="43" t="inlineStr">
        <is>
          <t>-</t>
        </is>
      </c>
      <c r="Q65" s="42" t="n"/>
      <c r="R65" s="40" t="n"/>
      <c r="S65" s="43">
        <f>SUMPRODUCT(ABS(S7:S62-T7:T62))/COUNT(S7:S62)</f>
        <v/>
      </c>
      <c r="T65" s="42" t="n"/>
      <c r="U65" s="40" t="n"/>
    </row>
    <row r="66" ht="66" customHeight="1">
      <c r="A66" s="39" t="inlineStr">
        <is>
          <t>Best result closer to 1</t>
        </is>
      </c>
      <c r="B66" s="26" t="inlineStr">
        <is>
          <t>RMSE (Prediction error, with larger mistakes penalised more)</t>
        </is>
      </c>
      <c r="C66" s="40" t="n"/>
      <c r="D66" s="41">
        <f>SQRT(SUMXMY2(D7:D62, E7:E62)/COUNT(D7:D62))</f>
        <v/>
      </c>
      <c r="E66" s="42" t="n"/>
      <c r="F66" s="40" t="n"/>
      <c r="G66" s="41">
        <f>SQRT(SUMXMY2(G7:G62, H7:H62)/COUNT(G7:G62))</f>
        <v/>
      </c>
      <c r="H66" s="42" t="n"/>
      <c r="I66" s="40" t="n"/>
      <c r="J66" s="41">
        <f>SQRT(SUMXMY2(J7:J62, K7:K62)/COUNT(J7:J62))</f>
        <v/>
      </c>
      <c r="K66" s="42" t="n"/>
      <c r="L66" s="40" t="n"/>
      <c r="M66" s="41">
        <f>SQRT(SUMXMY2(M7:M62, N7:N62)/COUNT(M7:M62))</f>
        <v/>
      </c>
      <c r="N66" s="42" t="n"/>
      <c r="O66" s="40" t="n"/>
      <c r="P66" s="43" t="inlineStr">
        <is>
          <t>-</t>
        </is>
      </c>
      <c r="Q66" s="42" t="n"/>
      <c r="R66" s="40" t="n"/>
      <c r="S66" s="43">
        <f>SQRT(SUMXMY2(S7:S62, T7:T62)/COUNT(S7:S62))</f>
        <v/>
      </c>
      <c r="T66" s="42" t="n"/>
      <c r="U66" s="40" t="n"/>
    </row>
  </sheetData>
  <mergeCells count="31">
    <mergeCell ref="B4:O4"/>
    <mergeCell ref="G66:I66"/>
    <mergeCell ref="P65:R65"/>
    <mergeCell ref="J65:L65"/>
    <mergeCell ref="S66:U66"/>
    <mergeCell ref="D66:F66"/>
    <mergeCell ref="B66:C66"/>
    <mergeCell ref="M65:O65"/>
    <mergeCell ref="G5:I5"/>
    <mergeCell ref="G65:I65"/>
    <mergeCell ref="J66:L66"/>
    <mergeCell ref="S65:U65"/>
    <mergeCell ref="P66:R66"/>
    <mergeCell ref="G64:I64"/>
    <mergeCell ref="S64:U64"/>
    <mergeCell ref="D64:F64"/>
    <mergeCell ref="S5:U5"/>
    <mergeCell ref="D5:F5"/>
    <mergeCell ref="P5:R5"/>
    <mergeCell ref="M66:O66"/>
    <mergeCell ref="P64:R64"/>
    <mergeCell ref="J64:L64"/>
    <mergeCell ref="B5:B6"/>
    <mergeCell ref="B65:C65"/>
    <mergeCell ref="P4:U4"/>
    <mergeCell ref="J5:L5"/>
    <mergeCell ref="B64:C64"/>
    <mergeCell ref="D65:F65"/>
    <mergeCell ref="M5:O5"/>
    <mergeCell ref="M64:O64"/>
    <mergeCell ref="C5:C6"/>
  </mergeCells>
  <conditionalFormatting sqref="F7:F62 I7:I62 L7:L62 O7:O62 U7:U62">
    <cfRule type="cellIs" priority="1" operator="lessThanOrEqual" dxfId="1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2026-10-15T08:13:54Z</dcterms:created>
  <dcterms:modified xmlns:dcterms="http://purl.org/dc/terms/" xmlns:xsi="http://www.w3.org/2001/XMLSchema-instance" xsi:type="dcterms:W3CDTF">2026-10-15T08:13:57Z</dcterms:modified>
</cp:coreProperties>
</file>