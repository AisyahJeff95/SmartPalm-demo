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5180" yWindow="1880" windowWidth="28040" windowHeight="171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"/>
    <numFmt numFmtId="166" formatCode="0.0000"/>
  </numFmts>
  <fonts count="6">
    <font>
      <name val="Aptos Narrow"/>
      <family val="2"/>
      <color theme="1"/>
      <sz val="12"/>
      <scheme val="minor"/>
    </font>
    <font>
      <name val="Aptos Narrow"/>
      <family val="2"/>
      <sz val="8"/>
      <scheme val="minor"/>
    </font>
    <font>
      <name val="Aptos Narrow"/>
      <family val="2"/>
      <color theme="1"/>
      <sz val="14"/>
      <scheme val="minor"/>
    </font>
    <font>
      <name val="Aptos Narrow"/>
      <family val="2"/>
      <color theme="1"/>
      <sz val="18"/>
      <scheme val="minor"/>
    </font>
    <font>
      <name val="Aptos Narrow"/>
      <family val="2"/>
      <color theme="1"/>
      <sz val="20"/>
      <scheme val="minor"/>
    </font>
    <font>
      <name val="Aptos Narrow"/>
      <sz val="12"/>
    </font>
  </fonts>
  <fills count="9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FFFFFF00"/>
        <bgColor rgb="FFFFFF0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2" borderId="6" applyAlignment="1" pivotButton="0" quotePrefix="0" xfId="0">
      <alignment horizontal="center" vertical="center" wrapText="1"/>
    </xf>
    <xf numFmtId="0" fontId="0" fillId="2" borderId="9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center" vertical="center" wrapText="1"/>
    </xf>
    <xf numFmtId="0" fontId="2" fillId="0" borderId="1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5" borderId="3" applyAlignment="1" pivotButton="0" quotePrefix="0" xfId="0">
      <alignment horizontal="center" vertical="center" wrapText="1"/>
    </xf>
    <xf numFmtId="0" fontId="0" fillId="5" borderId="5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 vertical="center" wrapText="1"/>
    </xf>
    <xf numFmtId="0" fontId="0" fillId="5" borderId="8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4" pivotButton="0" quotePrefix="0" xfId="0"/>
    <xf numFmtId="0" fontId="4" fillId="0" borderId="15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11" pivotButton="0" quotePrefix="0" xfId="0"/>
    <xf numFmtId="0" fontId="0" fillId="0" borderId="16" applyAlignment="1" pivotButton="0" quotePrefix="0" xfId="0">
      <alignment horizontal="center" vertical="center"/>
    </xf>
    <xf numFmtId="3" fontId="0" fillId="0" borderId="16" applyAlignment="1" pivotButton="0" quotePrefix="0" xfId="0">
      <alignment horizontal="center" vertical="center"/>
    </xf>
    <xf numFmtId="2" fontId="0" fillId="0" borderId="16" applyAlignment="1" pivotButton="0" quotePrefix="0" xfId="0">
      <alignment horizontal="center" vertical="center"/>
    </xf>
    <xf numFmtId="164" fontId="0" fillId="0" borderId="16" applyAlignment="1" pivotButton="0" quotePrefix="0" xfId="0">
      <alignment horizontal="center" vertical="center"/>
    </xf>
    <xf numFmtId="2" fontId="0" fillId="6" borderId="16" applyAlignment="1" pivotButton="0" quotePrefix="0" xfId="0">
      <alignment horizontal="center" vertical="center"/>
    </xf>
    <xf numFmtId="2" fontId="0" fillId="5" borderId="16" applyAlignment="1" pivotButton="0" quotePrefix="0" xfId="0">
      <alignment horizontal="center" vertical="center"/>
    </xf>
    <xf numFmtId="164" fontId="0" fillId="5" borderId="16" applyAlignment="1" pivotButton="0" quotePrefix="0" xfId="0">
      <alignment horizontal="center" vertical="center"/>
    </xf>
    <xf numFmtId="165" fontId="0" fillId="5" borderId="16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5" fillId="7" borderId="16" applyAlignment="1" pivotButton="0" quotePrefix="0" xfId="0">
      <alignment horizontal="center" vertical="center"/>
    </xf>
    <xf numFmtId="2" fontId="5" fillId="8" borderId="16" applyAlignment="1" pivotButton="0" quotePrefix="0" xfId="0">
      <alignment horizontal="center" vertical="center"/>
    </xf>
    <xf numFmtId="2" fontId="5" fillId="0" borderId="16" applyAlignment="1" pivotButton="0" quotePrefix="0" xfId="0">
      <alignment horizontal="center" vertical="center"/>
    </xf>
    <xf numFmtId="0" fontId="0" fillId="2" borderId="16" applyAlignment="1" pivotButton="0" quotePrefix="0" xfId="0">
      <alignment horizontal="center" vertical="center"/>
    </xf>
    <xf numFmtId="0" fontId="0" fillId="0" borderId="19" pivotButton="0" quotePrefix="0" xfId="0"/>
    <xf numFmtId="166" fontId="0" fillId="0" borderId="16" applyAlignment="1" pivotButton="0" quotePrefix="0" xfId="0">
      <alignment horizontal="center" vertical="center"/>
    </xf>
    <xf numFmtId="0" fontId="0" fillId="0" borderId="20" pivotButton="0" quotePrefix="0" xfId="0"/>
    <xf numFmtId="166" fontId="0" fillId="5" borderId="16" applyAlignment="1" pivotButton="0" quotePrefix="0" xfId="0">
      <alignment horizontal="center" vertical="center"/>
    </xf>
  </cellXfs>
  <cellStyles count="1">
    <cellStyle name="Normal" xfId="0" builtinId="0"/>
  </cellStyles>
  <dxfs count="1">
    <dxf>
      <font>
        <name val="Aptos Narrow"/>
        <color rgb="FF7F6000"/>
        <sz val="12"/>
      </font>
      <fill>
        <patternFill patternType="solid">
          <fgColor rgb="FFFFF2CC"/>
          <bgColor rgb="FFFFF2CC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U27"/>
  <sheetViews>
    <sheetView tabSelected="1" zoomScale="90" zoomScaleNormal="90" workbookViewId="0">
      <selection activeCell="K24" sqref="K24"/>
    </sheetView>
  </sheetViews>
  <sheetFormatPr baseColWidth="10" defaultRowHeight="16"/>
  <cols>
    <col width="10.83203125" customWidth="1" style="3" min="1" max="16384"/>
  </cols>
  <sheetData>
    <row r="4">
      <c r="B4" s="3" t="n"/>
      <c r="P4" s="28" t="inlineStr">
        <is>
          <t>On-going Research for Ca and B Models</t>
        </is>
      </c>
      <c r="Q4" s="35" t="n"/>
      <c r="R4" s="35" t="n"/>
      <c r="S4" s="35" t="n"/>
      <c r="T4" s="35" t="n"/>
      <c r="U4" s="36" t="n"/>
    </row>
    <row r="5" ht="34" customHeight="1">
      <c r="B5" s="37" t="inlineStr">
        <is>
          <t>Plot</t>
        </is>
      </c>
      <c r="C5" s="38" t="inlineStr">
        <is>
          <t>Pixels sampled</t>
        </is>
      </c>
      <c r="D5" s="20" t="inlineStr">
        <is>
          <t>N</t>
        </is>
      </c>
      <c r="E5" s="35" t="n"/>
      <c r="F5" s="36" t="n"/>
      <c r="G5" s="20" t="inlineStr">
        <is>
          <t>P (%)</t>
        </is>
      </c>
      <c r="H5" s="35" t="n"/>
      <c r="I5" s="36" t="n"/>
      <c r="J5" s="20" t="inlineStr">
        <is>
          <t>K (%)</t>
        </is>
      </c>
      <c r="K5" s="35" t="n"/>
      <c r="L5" s="36" t="n"/>
      <c r="M5" s="20" t="inlineStr">
        <is>
          <t>Mg (%)</t>
        </is>
      </c>
      <c r="N5" s="35" t="n"/>
      <c r="O5" s="36" t="n"/>
      <c r="P5" s="27" t="inlineStr">
        <is>
          <t>Ca (%)</t>
        </is>
      </c>
      <c r="Q5" s="35" t="n"/>
      <c r="R5" s="36" t="n"/>
      <c r="S5" s="27" t="inlineStr">
        <is>
          <t>B (%)</t>
        </is>
      </c>
      <c r="T5" s="35" t="n"/>
      <c r="U5" s="36" t="n"/>
    </row>
    <row r="6" ht="34" customHeight="1">
      <c r="B6" s="39" t="n"/>
      <c r="C6" s="40" t="n"/>
      <c r="D6" s="8" t="inlineStr">
        <is>
          <t>Lab Actual (%)</t>
        </is>
      </c>
      <c r="E6" s="25" t="inlineStr">
        <is>
          <t>Prediction (%)</t>
        </is>
      </c>
      <c r="F6" s="15" t="inlineStr">
        <is>
          <t>Accuracy (%)</t>
        </is>
      </c>
      <c r="G6" s="8" t="inlineStr">
        <is>
          <t>Lab Actual (%)</t>
        </is>
      </c>
      <c r="H6" s="25" t="inlineStr">
        <is>
          <t>Prediction (%)</t>
        </is>
      </c>
      <c r="I6" s="15" t="inlineStr">
        <is>
          <t>Accuracy (%)</t>
        </is>
      </c>
      <c r="J6" s="8" t="inlineStr">
        <is>
          <t>Lab Actual (%)</t>
        </is>
      </c>
      <c r="K6" s="25" t="inlineStr">
        <is>
          <t>Prediction (%)</t>
        </is>
      </c>
      <c r="L6" s="15" t="inlineStr">
        <is>
          <t>Accuracy (%)</t>
        </is>
      </c>
      <c r="M6" s="8" t="inlineStr">
        <is>
          <t>Lab Actual (%)</t>
        </is>
      </c>
      <c r="N6" s="25" t="inlineStr">
        <is>
          <t>Prediction (%)</t>
        </is>
      </c>
      <c r="O6" s="15" t="inlineStr">
        <is>
          <t>Accuracy (%)</t>
        </is>
      </c>
      <c r="P6" s="28" t="inlineStr">
        <is>
          <t>Lab Actual (%)</t>
        </is>
      </c>
      <c r="Q6" s="28" t="inlineStr">
        <is>
          <t>Prediction (%)</t>
        </is>
      </c>
      <c r="R6" s="15" t="inlineStr">
        <is>
          <t>Accuracy (%)</t>
        </is>
      </c>
      <c r="S6" s="28" t="inlineStr">
        <is>
          <t>Lab Actual (%)</t>
        </is>
      </c>
      <c r="T6" s="28" t="inlineStr">
        <is>
          <t>Prediction (%)</t>
        </is>
      </c>
      <c r="U6" s="15" t="inlineStr">
        <is>
          <t>Accuracy (%)</t>
        </is>
      </c>
    </row>
    <row r="7">
      <c r="B7" s="41" t="inlineStr">
        <is>
          <t>10/01</t>
        </is>
      </c>
      <c r="C7" s="42" t="n">
        <v>4575</v>
      </c>
      <c r="D7" s="43" t="n">
        <v>2.64</v>
      </c>
      <c r="E7" s="44" t="n">
        <v>2.428</v>
      </c>
      <c r="F7" s="45">
        <f>(1-ABS(D7-E7)/D7)*100</f>
        <v/>
      </c>
      <c r="G7" s="44" t="n">
        <v>0.177</v>
      </c>
      <c r="H7" s="44" t="n">
        <v>0.157</v>
      </c>
      <c r="I7" s="45">
        <f>(1-ABS(G7-H7)/G7)*100</f>
        <v/>
      </c>
      <c r="J7" s="43" t="n">
        <v>1.17</v>
      </c>
      <c r="K7" s="44" t="n">
        <v>0.979</v>
      </c>
      <c r="L7" s="45">
        <f>(1-ABS(J7-K7)/J7)*100</f>
        <v/>
      </c>
      <c r="M7" s="43" t="n">
        <v>0.39</v>
      </c>
      <c r="N7" s="44" t="n">
        <v>0.296</v>
      </c>
      <c r="O7" s="45">
        <f>(1-ABS(M7-N7)/M7)*100</f>
        <v/>
      </c>
      <c r="P7" s="46" t="n"/>
      <c r="Q7" s="47" t="n">
        <v>0.647</v>
      </c>
      <c r="R7" s="43" t="n"/>
      <c r="S7" s="48" t="n">
        <v>16.2</v>
      </c>
      <c r="T7" s="46" t="n">
        <v>12.04</v>
      </c>
      <c r="U7" s="45">
        <f>(1-ABS(S7-T7)/S7)*100</f>
        <v/>
      </c>
    </row>
    <row r="8">
      <c r="B8" s="41" t="inlineStr">
        <is>
          <t>10/02</t>
        </is>
      </c>
      <c r="C8" s="42" t="n">
        <v>4509</v>
      </c>
      <c r="D8" s="43" t="n">
        <v>2.75</v>
      </c>
      <c r="E8" s="44" t="n">
        <v>2.477</v>
      </c>
      <c r="F8" s="45">
        <f>(1-ABS(D8-E8)/D8)*100</f>
        <v/>
      </c>
      <c r="G8" s="44" t="n">
        <v>0.189</v>
      </c>
      <c r="H8" s="44" t="n">
        <v>0.161</v>
      </c>
      <c r="I8" s="45">
        <f>(1-ABS(G8-H8)/G8)*100</f>
        <v/>
      </c>
      <c r="J8" s="43" t="n">
        <v>1.21</v>
      </c>
      <c r="K8" s="44" t="n">
        <v>0.991</v>
      </c>
      <c r="L8" s="45">
        <f>(1-ABS(J8-K8)/J8)*100</f>
        <v/>
      </c>
      <c r="M8" s="43" t="n">
        <v>0.37</v>
      </c>
      <c r="N8" s="44" t="n">
        <v>0.268</v>
      </c>
      <c r="O8" s="45">
        <f>(1-ABS(M8-N8)/M8)*100</f>
        <v/>
      </c>
      <c r="P8" s="46" t="n"/>
      <c r="Q8" s="47" t="n">
        <v>0.648</v>
      </c>
      <c r="R8" s="43" t="n"/>
      <c r="S8" s="48" t="n">
        <v>16.1</v>
      </c>
      <c r="T8" s="46" t="n">
        <v>13.93</v>
      </c>
      <c r="U8" s="45">
        <f>(1-ABS(S8-T8)/S8)*100</f>
        <v/>
      </c>
    </row>
    <row r="9">
      <c r="B9" s="41" t="inlineStr">
        <is>
          <t>10/03</t>
        </is>
      </c>
      <c r="C9" s="42" t="n">
        <v>2287</v>
      </c>
      <c r="D9" s="43" t="n">
        <v>2.66</v>
      </c>
      <c r="E9" s="44" t="n">
        <v>2.511</v>
      </c>
      <c r="F9" s="45">
        <f>(1-ABS(D9-E9)/D9)*100</f>
        <v/>
      </c>
      <c r="G9" s="44" t="n">
        <v>0.189</v>
      </c>
      <c r="H9" s="44" t="n">
        <v>0.163</v>
      </c>
      <c r="I9" s="45">
        <f>(1-ABS(G9-H9)/G9)*100</f>
        <v/>
      </c>
      <c r="J9" s="43" t="n">
        <v>1.31</v>
      </c>
      <c r="K9" s="44" t="n">
        <v>1.008</v>
      </c>
      <c r="L9" s="45">
        <f>(1-ABS(J9-K9)/J9)*100</f>
        <v/>
      </c>
      <c r="M9" s="43" t="n">
        <v>0.38</v>
      </c>
      <c r="N9" s="44" t="n">
        <v>0.288</v>
      </c>
      <c r="O9" s="45">
        <f>(1-ABS(M9-N9)/M9)*100</f>
        <v/>
      </c>
      <c r="P9" s="46" t="n"/>
      <c r="Q9" s="47" t="n">
        <v>0.67</v>
      </c>
      <c r="R9" s="43" t="n"/>
      <c r="S9" s="48" t="n">
        <v>17.8</v>
      </c>
      <c r="T9" s="46" t="n">
        <v>12.74</v>
      </c>
      <c r="U9" s="45">
        <f>(1-ABS(S9-T9)/S9)*100</f>
        <v/>
      </c>
    </row>
    <row r="10">
      <c r="B10" s="41" t="inlineStr">
        <is>
          <t>10/04</t>
        </is>
      </c>
      <c r="C10" s="42" t="n">
        <v>5984</v>
      </c>
      <c r="D10" s="43" t="n">
        <v>2.74</v>
      </c>
      <c r="E10" s="44" t="n">
        <v>2.487</v>
      </c>
      <c r="F10" s="45">
        <f>(1-ABS(D10-E10)/D10)*100</f>
        <v/>
      </c>
      <c r="G10" s="44" t="n">
        <v>0.173</v>
      </c>
      <c r="H10" s="44" t="n">
        <v>0.161</v>
      </c>
      <c r="I10" s="45">
        <f>(1-ABS(G10-H10)/G10)*100</f>
        <v/>
      </c>
      <c r="J10" s="43" t="n">
        <v>1.08</v>
      </c>
      <c r="K10" s="44" t="n">
        <v>1.001</v>
      </c>
      <c r="L10" s="45">
        <f>(1-ABS(J10-K10)/J10)*100</f>
        <v/>
      </c>
      <c r="M10" s="43" t="n">
        <v>0.36</v>
      </c>
      <c r="N10" s="44" t="n">
        <v>0.289</v>
      </c>
      <c r="O10" s="45">
        <f>(1-ABS(M10-N10)/M10)*100</f>
        <v/>
      </c>
      <c r="P10" s="46" t="n"/>
      <c r="Q10" s="47" t="n">
        <v>0.656</v>
      </c>
      <c r="R10" s="43" t="n"/>
      <c r="S10" s="48" t="n">
        <v>18.2</v>
      </c>
      <c r="T10" s="46" t="n">
        <v>12.79</v>
      </c>
      <c r="U10" s="45">
        <f>(1-ABS(S10-T10)/S10)*100</f>
        <v/>
      </c>
    </row>
    <row r="11">
      <c r="B11" s="41" t="inlineStr">
        <is>
          <t>10/06</t>
        </is>
      </c>
      <c r="C11" s="42" t="n">
        <v>5304</v>
      </c>
      <c r="D11" s="43" t="n">
        <v>2.7</v>
      </c>
      <c r="E11" s="44" t="n">
        <v>2.368</v>
      </c>
      <c r="F11" s="45">
        <f>(1-ABS(D11-E11)/D11)*100</f>
        <v/>
      </c>
      <c r="G11" s="44" t="n">
        <v>0.183</v>
      </c>
      <c r="H11" s="44" t="n">
        <v>0.152</v>
      </c>
      <c r="I11" s="45">
        <f>(1-ABS(G11-H11)/G11)*100</f>
        <v/>
      </c>
      <c r="J11" s="43" t="n">
        <v>1.21</v>
      </c>
      <c r="K11" s="44" t="n">
        <v>0.959</v>
      </c>
      <c r="L11" s="45">
        <f>(1-ABS(J11-K11)/J11)*100</f>
        <v/>
      </c>
      <c r="M11" s="43" t="n">
        <v>0.38</v>
      </c>
      <c r="N11" s="44" t="n">
        <v>0.27</v>
      </c>
      <c r="O11" s="45">
        <f>(1-ABS(M11-N11)/M11)*100</f>
        <v/>
      </c>
      <c r="P11" s="46" t="n"/>
      <c r="Q11" s="47" t="n">
        <v>0.616</v>
      </c>
      <c r="R11" s="43" t="n"/>
      <c r="S11" s="48" t="n">
        <v>18.3</v>
      </c>
      <c r="T11" s="46" t="n">
        <v>11.95</v>
      </c>
      <c r="U11" s="45">
        <f>(1-ABS(S11-T11)/S11)*100</f>
        <v/>
      </c>
    </row>
    <row r="12">
      <c r="B12" s="41" t="inlineStr">
        <is>
          <t>10/09</t>
        </is>
      </c>
      <c r="C12" s="42" t="n">
        <v>2646</v>
      </c>
      <c r="D12" s="43" t="n">
        <v>2.78</v>
      </c>
      <c r="E12" s="44" t="n">
        <v>2.573</v>
      </c>
      <c r="F12" s="45">
        <f>(1-ABS(D12-E12)/D12)*100</f>
        <v/>
      </c>
      <c r="G12" s="44" t="n">
        <v>0.193</v>
      </c>
      <c r="H12" s="44" t="n">
        <v>0.167</v>
      </c>
      <c r="I12" s="45">
        <f>(1-ABS(G12-H12)/G12)*100</f>
        <v/>
      </c>
      <c r="J12" s="43" t="n">
        <v>1.36</v>
      </c>
      <c r="K12" s="44" t="n">
        <v>1.041</v>
      </c>
      <c r="L12" s="45">
        <f>(1-ABS(J12-K12)/J12)*100</f>
        <v/>
      </c>
      <c r="M12" s="43" t="n">
        <v>0.37</v>
      </c>
      <c r="N12" s="44" t="n">
        <v>0.308</v>
      </c>
      <c r="O12" s="45">
        <f>(1-ABS(M12-N12)/M12)*100</f>
        <v/>
      </c>
      <c r="P12" s="46" t="n"/>
      <c r="Q12" s="47" t="n">
        <v>0.715</v>
      </c>
      <c r="R12" s="43" t="n"/>
      <c r="S12" s="48" t="n">
        <v>16.4</v>
      </c>
      <c r="T12" s="46" t="n">
        <v>11.45</v>
      </c>
      <c r="U12" s="45">
        <f>(1-ABS(S12-T12)/S12)*100</f>
        <v/>
      </c>
    </row>
    <row r="13">
      <c r="B13" s="41" t="inlineStr">
        <is>
          <t>10/10</t>
        </is>
      </c>
      <c r="C13" s="42" t="n">
        <v>3148</v>
      </c>
      <c r="D13" s="43" t="n">
        <v>2.64</v>
      </c>
      <c r="E13" s="44" t="n">
        <v>2.574</v>
      </c>
      <c r="F13" s="45">
        <f>(1-ABS(D13-E13)/D13)*100</f>
        <v/>
      </c>
      <c r="G13" s="44" t="n">
        <v>0.175</v>
      </c>
      <c r="H13" s="44" t="n">
        <v>0.166</v>
      </c>
      <c r="I13" s="45">
        <f>(1-ABS(G13-H13)/G13)*100</f>
        <v/>
      </c>
      <c r="J13" s="43" t="n">
        <v>1.17</v>
      </c>
      <c r="K13" s="44" t="n">
        <v>1.042</v>
      </c>
      <c r="L13" s="45">
        <f>(1-ABS(J13-K13)/J13)*100</f>
        <v/>
      </c>
      <c r="M13" s="43" t="n">
        <v>0.34</v>
      </c>
      <c r="N13" s="44" t="n">
        <v>0.306</v>
      </c>
      <c r="O13" s="45">
        <f>(1-ABS(M13-N13)/M13)*100</f>
        <v/>
      </c>
      <c r="P13" s="46" t="n"/>
      <c r="Q13" s="47" t="n">
        <v>0.712</v>
      </c>
      <c r="R13" s="43" t="n"/>
      <c r="S13" s="48" t="n">
        <v>16.5</v>
      </c>
      <c r="T13" s="46" t="n">
        <v>11.69</v>
      </c>
      <c r="U13" s="45">
        <f>(1-ABS(S13-T13)/S13)*100</f>
        <v/>
      </c>
    </row>
    <row r="14">
      <c r="B14" s="41" t="inlineStr">
        <is>
          <t>10/11</t>
        </is>
      </c>
      <c r="C14" s="42" t="n">
        <v>5121</v>
      </c>
      <c r="D14" s="43" t="n">
        <v>2.78</v>
      </c>
      <c r="E14" s="44" t="n">
        <v>2.511</v>
      </c>
      <c r="F14" s="45">
        <f>(1-ABS(D14-E14)/D14)*100</f>
        <v/>
      </c>
      <c r="G14" s="44" t="n">
        <v>0.191</v>
      </c>
      <c r="H14" s="44" t="n">
        <v>0.161</v>
      </c>
      <c r="I14" s="45">
        <f>(1-ABS(G14-H14)/G14)*100</f>
        <v/>
      </c>
      <c r="J14" s="43" t="n">
        <v>1.2</v>
      </c>
      <c r="K14" s="44" t="n">
        <v>1.017</v>
      </c>
      <c r="L14" s="45">
        <f>(1-ABS(J14-K14)/J14)*100</f>
        <v/>
      </c>
      <c r="M14" s="43" t="n">
        <v>0.36</v>
      </c>
      <c r="N14" s="44" t="n">
        <v>0.298</v>
      </c>
      <c r="O14" s="45">
        <f>(1-ABS(M14-N14)/M14)*100</f>
        <v/>
      </c>
      <c r="P14" s="46" t="n"/>
      <c r="Q14" s="47" t="n">
        <v>0.68</v>
      </c>
      <c r="R14" s="43" t="n"/>
      <c r="S14" s="48" t="n">
        <v>17.7</v>
      </c>
      <c r="T14" s="46" t="n">
        <v>11.91</v>
      </c>
      <c r="U14" s="45">
        <f>(1-ABS(S14-T14)/S14)*100</f>
        <v/>
      </c>
    </row>
    <row r="15">
      <c r="B15" s="41" t="inlineStr">
        <is>
          <t>10/12</t>
        </is>
      </c>
      <c r="C15" s="42" t="n">
        <v>3548</v>
      </c>
      <c r="D15" s="43" t="n">
        <v>2.71</v>
      </c>
      <c r="E15" s="44" t="n">
        <v>2.156</v>
      </c>
      <c r="F15" s="45">
        <f>(1-ABS(D15-E15)/D15)*100</f>
        <v/>
      </c>
      <c r="G15" s="44" t="n">
        <v>0.176</v>
      </c>
      <c r="H15" s="44" t="n">
        <v>0.136</v>
      </c>
      <c r="I15" s="45">
        <f>(1-ABS(G15-H15)/G15)*100</f>
        <v/>
      </c>
      <c r="J15" s="43" t="n">
        <v>1.15</v>
      </c>
      <c r="K15" s="44" t="n">
        <v>0.864</v>
      </c>
      <c r="L15" s="45">
        <f>(1-ABS(J15-K15)/J15)*100</f>
        <v/>
      </c>
      <c r="M15" s="43" t="n">
        <v>0.34</v>
      </c>
      <c r="N15" s="44" t="n">
        <v>0.266</v>
      </c>
      <c r="O15" s="45">
        <f>(1-ABS(M15-N15)/M15)*100</f>
        <v/>
      </c>
      <c r="P15" s="46" t="n"/>
      <c r="Q15" s="47" t="n">
        <v>0.5679999999999999</v>
      </c>
      <c r="R15" s="43" t="n"/>
      <c r="S15" s="48" t="n">
        <v>16.1</v>
      </c>
      <c r="T15" s="46" t="n">
        <v>10.23</v>
      </c>
      <c r="U15" s="45">
        <f>(1-ABS(S15-T15)/S15)*100</f>
        <v/>
      </c>
    </row>
    <row r="16">
      <c r="B16" s="41" t="inlineStr">
        <is>
          <t>10/13</t>
        </is>
      </c>
      <c r="C16" s="42" t="n">
        <v>3677</v>
      </c>
      <c r="D16" s="43" t="n">
        <v>2.7</v>
      </c>
      <c r="E16" s="44" t="n">
        <v>2.476</v>
      </c>
      <c r="F16" s="45">
        <f>(1-ABS(D16-E16)/D16)*100</f>
        <v/>
      </c>
      <c r="G16" s="44" t="n">
        <v>0.181</v>
      </c>
      <c r="H16" s="44" t="n">
        <v>0.16</v>
      </c>
      <c r="I16" s="45">
        <f>(1-ABS(G16-H16)/G16)*100</f>
        <v/>
      </c>
      <c r="J16" s="43" t="n">
        <v>1.1</v>
      </c>
      <c r="K16" s="44" t="n">
        <v>1.001</v>
      </c>
      <c r="L16" s="45">
        <f>(1-ABS(J16-K16)/J16)*100</f>
        <v/>
      </c>
      <c r="M16" s="43" t="n">
        <v>0.36</v>
      </c>
      <c r="N16" s="44" t="n">
        <v>0.29</v>
      </c>
      <c r="O16" s="45">
        <f>(1-ABS(M16-N16)/M16)*100</f>
        <v/>
      </c>
      <c r="P16" s="46" t="n"/>
      <c r="Q16" s="47" t="n">
        <v>0.663</v>
      </c>
      <c r="R16" s="43" t="n"/>
      <c r="S16" s="48" t="n">
        <v>17.3</v>
      </c>
      <c r="T16" s="46" t="n">
        <v>12.18</v>
      </c>
      <c r="U16" s="45">
        <f>(1-ABS(S16-T16)/S16)*100</f>
        <v/>
      </c>
    </row>
    <row r="17" ht="40" customHeight="1">
      <c r="A17" s="14" t="inlineStr">
        <is>
          <t>Best result closer to 1</t>
        </is>
      </c>
      <c r="B17" s="41" t="inlineStr">
        <is>
          <t>12/33</t>
        </is>
      </c>
      <c r="C17" s="42" t="n">
        <v>5276</v>
      </c>
      <c r="D17" s="43" t="n">
        <v>2.45</v>
      </c>
      <c r="E17" s="44" t="n">
        <v>2.494</v>
      </c>
      <c r="F17" s="45">
        <f>(1-ABS(D17-E17)/D17)*100</f>
        <v/>
      </c>
      <c r="G17" s="44" t="n">
        <v>0.189</v>
      </c>
      <c r="H17" s="44" t="n">
        <v>0.161</v>
      </c>
      <c r="I17" s="45">
        <f>(1-ABS(G17-H17)/G17)*100</f>
        <v/>
      </c>
      <c r="J17" s="43" t="n">
        <v>1.2</v>
      </c>
      <c r="K17" s="44" t="n">
        <v>0.998</v>
      </c>
      <c r="L17" s="45">
        <f>(1-ABS(J17-K17)/J17)*100</f>
        <v/>
      </c>
      <c r="M17" s="43" t="n">
        <v>0.39</v>
      </c>
      <c r="N17" s="44" t="n">
        <v>0.274</v>
      </c>
      <c r="O17" s="45">
        <f>(1-ABS(M17-N17)/M17)*100</f>
        <v/>
      </c>
      <c r="P17" s="46" t="n"/>
      <c r="Q17" s="47" t="n">
        <v>0.675</v>
      </c>
      <c r="R17" s="43" t="n"/>
      <c r="S17" s="48" t="n">
        <v>16.9</v>
      </c>
      <c r="T17" s="46" t="n">
        <v>12.34</v>
      </c>
      <c r="U17" s="45">
        <f>(1-ABS(S17-T17)/S17)*100</f>
        <v/>
      </c>
    </row>
    <row r="18" ht="39" customHeight="1">
      <c r="A18" s="14" t="inlineStr">
        <is>
          <t>Best result closer to 0</t>
        </is>
      </c>
      <c r="B18" s="41" t="inlineStr">
        <is>
          <t>12/34</t>
        </is>
      </c>
      <c r="C18" s="42" t="n">
        <v>2819</v>
      </c>
      <c r="D18" s="43" t="n">
        <v>2.73</v>
      </c>
      <c r="E18" s="44" t="n">
        <v>2.435</v>
      </c>
      <c r="F18" s="45">
        <f>(1-ABS(D18-E18)/D18)*100</f>
        <v/>
      </c>
      <c r="G18" s="44" t="n">
        <v>0.182</v>
      </c>
      <c r="H18" s="44" t="n">
        <v>0.156</v>
      </c>
      <c r="I18" s="45">
        <f>(1-ABS(G18-H18)/G18)*100</f>
        <v/>
      </c>
      <c r="J18" s="43" t="n">
        <v>1.16</v>
      </c>
      <c r="K18" s="44" t="n">
        <v>0.976</v>
      </c>
      <c r="L18" s="45">
        <f>(1-ABS(J18-K18)/J18)*100</f>
        <v/>
      </c>
      <c r="M18" s="43" t="n">
        <v>0.37</v>
      </c>
      <c r="N18" s="44" t="n">
        <v>0.275</v>
      </c>
      <c r="O18" s="45">
        <f>(1-ABS(M18-N18)/M18)*100</f>
        <v/>
      </c>
      <c r="P18" s="46" t="n"/>
      <c r="Q18" s="47" t="n">
        <v>0.661</v>
      </c>
      <c r="R18" s="43" t="n"/>
      <c r="S18" s="48" t="n">
        <v>18.3</v>
      </c>
      <c r="T18" s="46" t="n">
        <v>11.53</v>
      </c>
      <c r="U18" s="45">
        <f>(1-ABS(S18-T18)/S18)*100</f>
        <v/>
      </c>
    </row>
    <row r="19" ht="66" customHeight="1">
      <c r="A19" s="14" t="inlineStr">
        <is>
          <t>Best result closer to 1</t>
        </is>
      </c>
      <c r="B19" s="41" t="inlineStr">
        <is>
          <t>12/36</t>
        </is>
      </c>
      <c r="C19" s="42" t="n">
        <v>1474</v>
      </c>
      <c r="D19" s="43" t="n">
        <v>2.71</v>
      </c>
      <c r="E19" s="44" t="n">
        <v>2.184</v>
      </c>
      <c r="F19" s="45">
        <f>(1-ABS(D19-E19)/D19)*100</f>
        <v/>
      </c>
      <c r="G19" s="44" t="n">
        <v>0.178</v>
      </c>
      <c r="H19" s="44" t="n">
        <v>0.14</v>
      </c>
      <c r="I19" s="45">
        <f>(1-ABS(G19-H19)/G19)*100</f>
        <v/>
      </c>
      <c r="J19" s="43" t="n">
        <v>1.13</v>
      </c>
      <c r="K19" s="44" t="n">
        <v>0.865</v>
      </c>
      <c r="L19" s="45">
        <f>(1-ABS(J19-K19)/J19)*100</f>
        <v/>
      </c>
      <c r="M19" s="43" t="n">
        <v>0.36</v>
      </c>
      <c r="N19" s="44" t="n">
        <v>0.251</v>
      </c>
      <c r="O19" s="45">
        <f>(1-ABS(M19-N19)/M19)*100</f>
        <v/>
      </c>
      <c r="P19" s="46" t="n"/>
      <c r="Q19" s="47" t="n">
        <v>0.593</v>
      </c>
      <c r="R19" s="43" t="n"/>
      <c r="S19" s="48" t="n">
        <v>17.1</v>
      </c>
      <c r="T19" s="46" t="n">
        <v>9.869999999999999</v>
      </c>
      <c r="U19" s="45">
        <f>(1-ABS(S19-T19)/S19)*100</f>
        <v/>
      </c>
    </row>
    <row r="20">
      <c r="B20" s="41" t="inlineStr">
        <is>
          <t>12/38</t>
        </is>
      </c>
      <c r="C20" s="42" t="n">
        <v>3931</v>
      </c>
      <c r="D20" s="43" t="n">
        <v>2.72</v>
      </c>
      <c r="E20" s="44" t="n">
        <v>2.51</v>
      </c>
      <c r="F20" s="45">
        <f>(1-ABS(D20-E20)/D20)*100</f>
        <v/>
      </c>
      <c r="G20" s="44" t="n">
        <v>0.177</v>
      </c>
      <c r="H20" s="44" t="n">
        <v>0.161</v>
      </c>
      <c r="I20" s="45">
        <f>(1-ABS(G20-H20)/G20)*100</f>
        <v/>
      </c>
      <c r="J20" s="43" t="n">
        <v>1.162</v>
      </c>
      <c r="K20" s="44" t="n">
        <v>1.012</v>
      </c>
      <c r="L20" s="45">
        <f>(1-ABS(J20-K20)/J20)*100</f>
        <v/>
      </c>
      <c r="M20" s="43" t="n">
        <v>0.37</v>
      </c>
      <c r="N20" s="44" t="n">
        <v>0.268</v>
      </c>
      <c r="O20" s="45">
        <f>(1-ABS(M20-N20)/M20)*100</f>
        <v/>
      </c>
      <c r="P20" s="46" t="n"/>
      <c r="Q20" s="47" t="n">
        <v>0.643</v>
      </c>
      <c r="R20" s="43" t="n"/>
      <c r="S20" s="48" t="n">
        <v>15.6</v>
      </c>
      <c r="T20" s="46" t="n">
        <v>13.4</v>
      </c>
      <c r="U20" s="45">
        <f>(1-ABS(S20-T20)/S20)*100</f>
        <v/>
      </c>
    </row>
    <row r="21">
      <c r="B21" s="41" t="inlineStr">
        <is>
          <t>12/39</t>
        </is>
      </c>
      <c r="C21" s="42" t="n">
        <v>4020</v>
      </c>
      <c r="D21" s="43" t="n">
        <v>2.68</v>
      </c>
      <c r="E21" s="44" t="n">
        <v>2.6</v>
      </c>
      <c r="F21" s="45">
        <f>(1-ABS(D21-E21)/D21)*100</f>
        <v/>
      </c>
      <c r="G21" s="44" t="n">
        <v>0.172</v>
      </c>
      <c r="H21" s="44" t="n">
        <v>0.169</v>
      </c>
      <c r="I21" s="45">
        <f>(1-ABS(G21-H21)/G21)*100</f>
        <v/>
      </c>
      <c r="J21" s="43" t="n">
        <v>1.09</v>
      </c>
      <c r="K21" s="44" t="n">
        <v>1.054</v>
      </c>
      <c r="L21" s="45">
        <f>(1-ABS(J21-K21)/J21)*100</f>
        <v/>
      </c>
      <c r="M21" s="43" t="n">
        <v>0.35</v>
      </c>
      <c r="N21" s="44" t="n">
        <v>0.31</v>
      </c>
      <c r="O21" s="45">
        <f>(1-ABS(M21-N21)/M21)*100</f>
        <v/>
      </c>
      <c r="P21" s="46" t="n"/>
      <c r="Q21" s="47" t="n">
        <v>0.719</v>
      </c>
      <c r="R21" s="43" t="n"/>
      <c r="S21" s="48" t="n">
        <v>18.3</v>
      </c>
      <c r="T21" s="46" t="n">
        <v>11.72</v>
      </c>
      <c r="U21" s="45">
        <f>(1-ABS(S21-T21)/S21)*100</f>
        <v/>
      </c>
    </row>
    <row r="22">
      <c r="B22" s="41" t="inlineStr">
        <is>
          <t>12/40</t>
        </is>
      </c>
      <c r="C22" s="42" t="n">
        <v>2545</v>
      </c>
      <c r="D22" s="43" t="n">
        <v>2.67</v>
      </c>
      <c r="E22" s="44" t="n">
        <v>2.612</v>
      </c>
      <c r="F22" s="45">
        <f>(1-ABS(D22-E22)/D22)*100</f>
        <v/>
      </c>
      <c r="G22" s="44" t="n">
        <v>0.194</v>
      </c>
      <c r="H22" s="44" t="n">
        <v>0.169</v>
      </c>
      <c r="I22" s="45">
        <f>(1-ABS(G22-H22)/G22)*100</f>
        <v/>
      </c>
      <c r="J22" s="43" t="n">
        <v>1.26</v>
      </c>
      <c r="K22" s="44" t="n">
        <v>1.057</v>
      </c>
      <c r="L22" s="45">
        <f>(1-ABS(J22-K22)/J22)*100</f>
        <v/>
      </c>
      <c r="M22" s="43" t="n">
        <v>0.38</v>
      </c>
      <c r="N22" s="44" t="n">
        <v>0.309</v>
      </c>
      <c r="O22" s="45">
        <f>(1-ABS(M22-N22)/M22)*100</f>
        <v/>
      </c>
      <c r="P22" s="46" t="n"/>
      <c r="Q22" s="47" t="n">
        <v>0.723</v>
      </c>
      <c r="R22" s="43" t="n"/>
      <c r="S22" s="48" t="n">
        <v>17.1</v>
      </c>
      <c r="T22" s="46" t="n">
        <v>11.79</v>
      </c>
      <c r="U22" s="45">
        <f>(1-ABS(S22-T22)/S22)*100</f>
        <v/>
      </c>
    </row>
    <row r="23">
      <c r="B23" s="41" t="inlineStr">
        <is>
          <t>12/41</t>
        </is>
      </c>
      <c r="C23" s="42" t="n">
        <v>2755</v>
      </c>
      <c r="D23" s="43" t="n">
        <v>2.67</v>
      </c>
      <c r="E23" s="44" t="n">
        <v>2.527</v>
      </c>
      <c r="F23" s="45">
        <f>(1-ABS(D23-E23)/D23)*100</f>
        <v/>
      </c>
      <c r="G23" s="44" t="n">
        <v>0.19</v>
      </c>
      <c r="H23" s="44" t="n">
        <v>0.163</v>
      </c>
      <c r="I23" s="45">
        <f>(1-ABS(G23-H23)/G23)*100</f>
        <v/>
      </c>
      <c r="J23" s="43" t="n">
        <v>1.2</v>
      </c>
      <c r="K23" s="44" t="n">
        <v>1.029</v>
      </c>
      <c r="L23" s="45">
        <f>(1-ABS(J23-K23)/J23)*100</f>
        <v/>
      </c>
      <c r="M23" s="43" t="n">
        <v>0.36</v>
      </c>
      <c r="N23" s="44" t="n">
        <v>0.282</v>
      </c>
      <c r="O23" s="45">
        <f>(1-ABS(M23-N23)/M23)*100</f>
        <v/>
      </c>
      <c r="P23" s="46" t="n"/>
      <c r="Q23" s="47" t="n">
        <v>0.653</v>
      </c>
      <c r="R23" s="43" t="n"/>
      <c r="S23" s="48" t="n">
        <v>17.8</v>
      </c>
      <c r="T23" s="46" t="n">
        <v>13.16</v>
      </c>
      <c r="U23" s="45">
        <f>(1-ABS(S23-T23)/S23)*100</f>
        <v/>
      </c>
    </row>
    <row r="24" ht="35" customHeight="1">
      <c r="A24" s="49" t="inlineStr">
        <is>
          <t>AVG ACCURACY</t>
        </is>
      </c>
      <c r="F24" s="50">
        <f>AVERAGE(F7:F23)</f>
        <v/>
      </c>
      <c r="I24" s="50">
        <f>AVERAGE(I7:I23)</f>
        <v/>
      </c>
      <c r="L24" s="50">
        <f>AVERAGE(L7:L23)</f>
        <v/>
      </c>
      <c r="O24" s="51">
        <f>AVERAGE(O7:O23)</f>
        <v/>
      </c>
      <c r="R24" s="52" t="inlineStr">
        <is>
          <t>-</t>
        </is>
      </c>
      <c r="U24" s="51">
        <f>AVERAGE(U7:U23)</f>
        <v/>
      </c>
    </row>
    <row r="25" ht="40" customHeight="1">
      <c r="A25" s="53" t="inlineStr">
        <is>
          <t>Best result closer to 0</t>
        </is>
      </c>
      <c r="B25" s="41" t="inlineStr">
        <is>
          <t>R^2 (Coefficient of determination)</t>
        </is>
      </c>
      <c r="C25" s="54" t="n"/>
      <c r="D25" s="55">
        <f>RSQ(E7:E23, D7:D23)</f>
        <v/>
      </c>
      <c r="E25" s="56" t="n"/>
      <c r="F25" s="54" t="n"/>
      <c r="G25" s="55">
        <f>RSQ(H7:H23, G7:G23)</f>
        <v/>
      </c>
      <c r="H25" s="56" t="n"/>
      <c r="I25" s="54" t="n"/>
      <c r="J25" s="55">
        <f>RSQ(K7:K23, J7:J23)</f>
        <v/>
      </c>
      <c r="K25" s="56" t="n"/>
      <c r="L25" s="54" t="n"/>
      <c r="M25" s="55">
        <f>RSQ(N7:N23, M7:M23)</f>
        <v/>
      </c>
      <c r="N25" s="56" t="n"/>
      <c r="O25" s="54" t="n"/>
      <c r="P25" s="57" t="inlineStr">
        <is>
          <t>-</t>
        </is>
      </c>
      <c r="Q25" s="56" t="n"/>
      <c r="R25" s="54" t="n"/>
      <c r="S25" s="57">
        <f>RSQ(T7:T23, S7:S23)</f>
        <v/>
      </c>
      <c r="T25" s="56" t="n"/>
      <c r="U25" s="54" t="n"/>
    </row>
    <row r="26" ht="39" customHeight="1">
      <c r="A26" s="53" t="inlineStr">
        <is>
          <t>Best result closer to 1</t>
        </is>
      </c>
      <c r="B26" s="41" t="inlineStr">
        <is>
          <t>MAE (Average size of prediction errors)</t>
        </is>
      </c>
      <c r="C26" s="54" t="n"/>
      <c r="D26" s="55">
        <f>SUMPRODUCT(ABS(D7:D23-E7:E23))/COUNT(D7:D23)</f>
        <v/>
      </c>
      <c r="E26" s="56" t="n"/>
      <c r="F26" s="54" t="n"/>
      <c r="G26" s="55">
        <f>SUMPRODUCT(ABS(G7:G23-H7:H23))/COUNT(G7:G23)</f>
        <v/>
      </c>
      <c r="H26" s="56" t="n"/>
      <c r="I26" s="54" t="n"/>
      <c r="J26" s="55">
        <f>SUMPRODUCT(ABS(J7:J23-K7:K23))/COUNT(J7:J23)</f>
        <v/>
      </c>
      <c r="K26" s="56" t="n"/>
      <c r="L26" s="54" t="n"/>
      <c r="M26" s="55">
        <f>SUMPRODUCT(ABS(M7:M23-N7:N23))/COUNT(M7:M23)</f>
        <v/>
      </c>
      <c r="N26" s="56" t="n"/>
      <c r="O26" s="54" t="n"/>
      <c r="P26" s="57" t="inlineStr">
        <is>
          <t>-</t>
        </is>
      </c>
      <c r="Q26" s="56" t="n"/>
      <c r="R26" s="54" t="n"/>
      <c r="S26" s="57">
        <f>SUMPRODUCT(ABS(S7:S23-T7:T23))/COUNT(S7:S23)</f>
        <v/>
      </c>
      <c r="T26" s="56" t="n"/>
      <c r="U26" s="54" t="n"/>
    </row>
    <row r="27" ht="66" customHeight="1">
      <c r="A27" s="53" t="inlineStr">
        <is>
          <t>Best result closer to 1</t>
        </is>
      </c>
      <c r="B27" s="41" t="inlineStr">
        <is>
          <t>RMSE (Prediction error, with larger mistakes penalised more)</t>
        </is>
      </c>
      <c r="C27" s="54" t="n"/>
      <c r="D27" s="55">
        <f>SQRT(SUMXMY2(D7:D23, E7:E23)/COUNT(D7:D23))</f>
        <v/>
      </c>
      <c r="E27" s="56" t="n"/>
      <c r="F27" s="54" t="n"/>
      <c r="G27" s="55">
        <f>SQRT(SUMXMY2(G7:G23, H7:H23)/COUNT(G7:G23))</f>
        <v/>
      </c>
      <c r="H27" s="56" t="n"/>
      <c r="I27" s="54" t="n"/>
      <c r="J27" s="55">
        <f>SQRT(SUMXMY2(J7:J23, K7:K23)/COUNT(J7:J23))</f>
        <v/>
      </c>
      <c r="K27" s="56" t="n"/>
      <c r="L27" s="54" t="n"/>
      <c r="M27" s="55">
        <f>SQRT(SUMXMY2(M7:M23, N7:N23)/COUNT(M7:M23))</f>
        <v/>
      </c>
      <c r="N27" s="56" t="n"/>
      <c r="O27" s="54" t="n"/>
      <c r="P27" s="57" t="inlineStr">
        <is>
          <t>-</t>
        </is>
      </c>
      <c r="Q27" s="56" t="n"/>
      <c r="R27" s="54" t="n"/>
      <c r="S27" s="57">
        <f>SQRT(SUMXMY2(S7:S23, T7:T23)/COUNT(S7:S23))</f>
        <v/>
      </c>
      <c r="T27" s="56" t="n"/>
      <c r="U27" s="54" t="n"/>
    </row>
  </sheetData>
  <mergeCells count="31">
    <mergeCell ref="B4:O4"/>
    <mergeCell ref="D27:F27"/>
    <mergeCell ref="B25:C25"/>
    <mergeCell ref="P27:R27"/>
    <mergeCell ref="J27:L27"/>
    <mergeCell ref="M25:O25"/>
    <mergeCell ref="J26:L26"/>
    <mergeCell ref="B27:C27"/>
    <mergeCell ref="J25:L25"/>
    <mergeCell ref="M27:O27"/>
    <mergeCell ref="G5:I5"/>
    <mergeCell ref="G26:I26"/>
    <mergeCell ref="M26:O26"/>
    <mergeCell ref="D25:F25"/>
    <mergeCell ref="G25:I25"/>
    <mergeCell ref="S5:U5"/>
    <mergeCell ref="D5:F5"/>
    <mergeCell ref="P5:R5"/>
    <mergeCell ref="S26:U26"/>
    <mergeCell ref="D26:F26"/>
    <mergeCell ref="S25:U25"/>
    <mergeCell ref="B5:B6"/>
    <mergeCell ref="P26:R26"/>
    <mergeCell ref="P4:U4"/>
    <mergeCell ref="J5:L5"/>
    <mergeCell ref="P25:R25"/>
    <mergeCell ref="B26:C26"/>
    <mergeCell ref="G27:I27"/>
    <mergeCell ref="S27:U27"/>
    <mergeCell ref="M5:O5"/>
    <mergeCell ref="C5:C6"/>
  </mergeCells>
  <conditionalFormatting sqref="F7:F23 I7:I23 L7:L23 O7:O23 U7:U23">
    <cfRule type="cellIs" priority="1" operator="lessThanOrEqual" dxfId="0">
      <formula>80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Siti Aisyah Jaafar</dc:creator>
  <dcterms:created xmlns:dcterms="http://purl.org/dc/terms/" xmlns:xsi="http://www.w3.org/2001/XMLSchema-instance" xsi:type="dcterms:W3CDTF">2026-10-15T02:48:57Z</dcterms:created>
  <dcterms:modified xmlns:dcterms="http://purl.org/dc/terms/" xmlns:xsi="http://www.w3.org/2001/XMLSchema-instance" xsi:type="dcterms:W3CDTF">2026-10-15T07:48:40Z</dcterms:modified>
  <cp:lastModifiedBy>Siti Aisyah Jaafar</cp:lastModifiedBy>
</cp:coreProperties>
</file>