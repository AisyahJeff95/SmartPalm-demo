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3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07/01</t>
        </is>
      </c>
      <c r="C7" s="42" t="n">
        <v>3770</v>
      </c>
      <c r="D7" s="43" t="n">
        <v>2.87</v>
      </c>
      <c r="E7" s="44" t="n">
        <v>2.408</v>
      </c>
      <c r="F7" s="45">
        <f>(1-ABS(D7-E7)/D7)*100</f>
        <v/>
      </c>
      <c r="G7" s="44" t="n">
        <v>0.189</v>
      </c>
      <c r="H7" s="44" t="n">
        <v>0.156</v>
      </c>
      <c r="I7" s="45">
        <f>(1-ABS(G7-H7)/G7)*100</f>
        <v/>
      </c>
      <c r="J7" s="43" t="n">
        <v>1.31</v>
      </c>
      <c r="K7" s="44" t="n">
        <v>0.962</v>
      </c>
      <c r="L7" s="45">
        <f>(1-ABS(J7-K7)/J7)*100</f>
        <v/>
      </c>
      <c r="M7" s="43" t="n">
        <v>0.36</v>
      </c>
      <c r="N7" s="44" t="n">
        <v>0.301</v>
      </c>
      <c r="O7" s="45">
        <f>(1-ABS(M7-N7)/M7)*100</f>
        <v/>
      </c>
      <c r="P7" s="46" t="n"/>
      <c r="Q7" s="47" t="n">
        <v>0.658</v>
      </c>
      <c r="R7" s="43" t="n"/>
      <c r="S7" s="48" t="n">
        <v>17.4</v>
      </c>
      <c r="T7" s="46" t="n">
        <v>10.58</v>
      </c>
      <c r="U7" s="45">
        <f>(1-ABS(S7-T7)/S7)*100</f>
        <v/>
      </c>
    </row>
    <row r="8">
      <c r="B8" s="41" t="inlineStr">
        <is>
          <t>07/12</t>
        </is>
      </c>
      <c r="C8" s="42" t="n">
        <v>5726</v>
      </c>
      <c r="D8" s="43" t="n">
        <v>2.8</v>
      </c>
      <c r="E8" s="44" t="n">
        <v>2.401</v>
      </c>
      <c r="F8" s="45">
        <f>(1-ABS(D8-E8)/D8)*100</f>
        <v/>
      </c>
      <c r="G8" s="44" t="n">
        <v>0.183</v>
      </c>
      <c r="H8" s="44" t="n">
        <v>0.155</v>
      </c>
      <c r="I8" s="45">
        <f>(1-ABS(G8-H8)/G8)*100</f>
        <v/>
      </c>
      <c r="J8" s="43" t="n">
        <v>1.34</v>
      </c>
      <c r="K8" s="44" t="n">
        <v>0.966</v>
      </c>
      <c r="L8" s="45">
        <f>(1-ABS(J8-K8)/J8)*100</f>
        <v/>
      </c>
      <c r="M8" s="43" t="n">
        <v>0.38</v>
      </c>
      <c r="N8" s="44" t="n">
        <v>0.295</v>
      </c>
      <c r="O8" s="45">
        <f>(1-ABS(M8-N8)/M8)*100</f>
        <v/>
      </c>
      <c r="P8" s="46" t="n"/>
      <c r="Q8" s="47" t="n">
        <v>0.636</v>
      </c>
      <c r="R8" s="43" t="n"/>
      <c r="S8" s="48" t="n">
        <v>18.1</v>
      </c>
      <c r="T8" s="46" t="n">
        <v>10.76</v>
      </c>
      <c r="U8" s="45">
        <f>(1-ABS(S8-T8)/S8)*100</f>
        <v/>
      </c>
    </row>
    <row r="9">
      <c r="B9" s="41" t="inlineStr">
        <is>
          <t>08/07</t>
        </is>
      </c>
      <c r="C9" s="42" t="n">
        <v>3909</v>
      </c>
      <c r="D9" s="43" t="n">
        <v>2.72</v>
      </c>
      <c r="E9" s="44" t="n">
        <v>2.426</v>
      </c>
      <c r="F9" s="45">
        <f>(1-ABS(D9-E9)/D9)*100</f>
        <v/>
      </c>
      <c r="G9" s="44" t="n">
        <v>0.194</v>
      </c>
      <c r="H9" s="44" t="n">
        <v>0.158</v>
      </c>
      <c r="I9" s="45">
        <f>(1-ABS(G9-H9)/G9)*100</f>
        <v/>
      </c>
      <c r="J9" s="43" t="n">
        <v>1.32</v>
      </c>
      <c r="K9" s="44" t="n">
        <v>0.973</v>
      </c>
      <c r="L9" s="45">
        <f>(1-ABS(J9-K9)/J9)*100</f>
        <v/>
      </c>
      <c r="M9" s="43" t="n">
        <v>0.38</v>
      </c>
      <c r="N9" s="44" t="n">
        <v>0.281</v>
      </c>
      <c r="O9" s="45">
        <f>(1-ABS(M9-N9)/M9)*100</f>
        <v/>
      </c>
      <c r="P9" s="46" t="n"/>
      <c r="Q9" s="47" t="n">
        <v>0.653</v>
      </c>
      <c r="R9" s="43" t="n"/>
      <c r="S9" s="48" t="n">
        <v>16</v>
      </c>
      <c r="T9" s="46" t="n">
        <v>11.85</v>
      </c>
      <c r="U9" s="45">
        <f>(1-ABS(S9-T9)/S9)*100</f>
        <v/>
      </c>
    </row>
    <row r="10">
      <c r="B10" s="41" t="inlineStr">
        <is>
          <t>09/13</t>
        </is>
      </c>
      <c r="C10" s="42" t="n">
        <v>6734</v>
      </c>
      <c r="D10" s="43" t="n">
        <v>2.89</v>
      </c>
      <c r="E10" s="44" t="n">
        <v>2.545</v>
      </c>
      <c r="F10" s="45">
        <f>(1-ABS(D10-E10)/D10)*100</f>
        <v/>
      </c>
      <c r="G10" s="44" t="n">
        <v>0.194</v>
      </c>
      <c r="H10" s="44" t="n">
        <v>0.166</v>
      </c>
      <c r="I10" s="45">
        <f>(1-ABS(G10-H10)/G10)*100</f>
        <v/>
      </c>
      <c r="J10" s="43" t="n">
        <v>1.31</v>
      </c>
      <c r="K10" s="44" t="n">
        <v>1.026</v>
      </c>
      <c r="L10" s="45">
        <f>(1-ABS(J10-K10)/J10)*100</f>
        <v/>
      </c>
      <c r="M10" s="43" t="n">
        <v>0.36</v>
      </c>
      <c r="N10" s="44" t="n">
        <v>0.29</v>
      </c>
      <c r="O10" s="45">
        <f>(1-ABS(M10-N10)/M10)*100</f>
        <v/>
      </c>
      <c r="P10" s="46" t="n"/>
      <c r="Q10" s="47" t="n">
        <v>0.651</v>
      </c>
      <c r="R10" s="43" t="n"/>
      <c r="S10" s="48" t="n">
        <v>17.8</v>
      </c>
      <c r="T10" s="46" t="n">
        <v>14.32</v>
      </c>
      <c r="U10" s="45">
        <f>(1-ABS(S10-T10)/S10)*100</f>
        <v/>
      </c>
    </row>
    <row r="11">
      <c r="B11" s="41" t="inlineStr">
        <is>
          <t>09/14</t>
        </is>
      </c>
      <c r="C11" s="42" t="n">
        <v>8778</v>
      </c>
      <c r="D11" s="43" t="n">
        <v>2.69</v>
      </c>
      <c r="E11" s="44" t="n">
        <v>2.536</v>
      </c>
      <c r="F11" s="45">
        <f>(1-ABS(D11-E11)/D11)*100</f>
        <v/>
      </c>
      <c r="G11" s="44" t="n">
        <v>0.18</v>
      </c>
      <c r="H11" s="44" t="n">
        <v>0.165</v>
      </c>
      <c r="I11" s="45">
        <f>(1-ABS(G11-H11)/G11)*100</f>
        <v/>
      </c>
      <c r="J11" s="43" t="n">
        <v>1.33</v>
      </c>
      <c r="K11" s="44" t="n">
        <v>1.028</v>
      </c>
      <c r="L11" s="45">
        <f>(1-ABS(J11-K11)/J11)*100</f>
        <v/>
      </c>
      <c r="M11" s="43" t="n">
        <v>0.36</v>
      </c>
      <c r="N11" s="44" t="n">
        <v>0.301</v>
      </c>
      <c r="O11" s="45">
        <f>(1-ABS(M11-N11)/M11)*100</f>
        <v/>
      </c>
      <c r="P11" s="46" t="n"/>
      <c r="Q11" s="47" t="n">
        <v>0.654</v>
      </c>
      <c r="R11" s="43" t="n"/>
      <c r="S11" s="48" t="n">
        <v>17.9</v>
      </c>
      <c r="T11" s="46" t="n">
        <v>13.45</v>
      </c>
      <c r="U11" s="45">
        <f>(1-ABS(S11-T11)/S11)*100</f>
        <v/>
      </c>
    </row>
    <row r="12">
      <c r="B12" s="41" t="inlineStr">
        <is>
          <t>10/18</t>
        </is>
      </c>
      <c r="C12" s="42" t="n">
        <v>4107</v>
      </c>
      <c r="D12" s="43" t="n">
        <v>2.89</v>
      </c>
      <c r="E12" s="44" t="n">
        <v>2.206</v>
      </c>
      <c r="F12" s="45">
        <f>(1-ABS(D12-E12)/D12)*100</f>
        <v/>
      </c>
      <c r="G12" s="44" t="n">
        <v>0.194</v>
      </c>
      <c r="H12" s="44" t="n">
        <v>0.142</v>
      </c>
      <c r="I12" s="45">
        <f>(1-ABS(G12-H12)/G12)*100</f>
        <v/>
      </c>
      <c r="J12" s="43" t="n">
        <v>1.39</v>
      </c>
      <c r="K12" s="44" t="n">
        <v>0.878</v>
      </c>
      <c r="L12" s="45">
        <f>(1-ABS(J12-K12)/J12)*100</f>
        <v/>
      </c>
      <c r="M12" s="43" t="n">
        <v>0.37</v>
      </c>
      <c r="N12" s="44" t="n">
        <v>0.279</v>
      </c>
      <c r="O12" s="45">
        <f>(1-ABS(M12-N12)/M12)*100</f>
        <v/>
      </c>
      <c r="P12" s="46" t="n"/>
      <c r="Q12" s="47" t="n">
        <v>0.581</v>
      </c>
      <c r="R12" s="43" t="n"/>
      <c r="S12" s="48" t="n">
        <v>17.4</v>
      </c>
      <c r="T12" s="46" t="n">
        <v>9.99</v>
      </c>
      <c r="U12" s="45">
        <f>(1-ABS(S12-T12)/S12)*100</f>
        <v/>
      </c>
    </row>
    <row r="13">
      <c r="B13" s="41" t="inlineStr">
        <is>
          <t>10/19</t>
        </is>
      </c>
      <c r="C13" s="42" t="n">
        <v>4149</v>
      </c>
      <c r="D13" s="43" t="n">
        <v>2.88</v>
      </c>
      <c r="E13" s="44" t="n">
        <v>2.399</v>
      </c>
      <c r="F13" s="45">
        <f>(1-ABS(D13-E13)/D13)*100</f>
        <v/>
      </c>
      <c r="G13" s="44" t="n">
        <v>0.191</v>
      </c>
      <c r="H13" s="44" t="n">
        <v>0.155</v>
      </c>
      <c r="I13" s="45">
        <f>(1-ABS(G13-H13)/G13)*100</f>
        <v/>
      </c>
      <c r="J13" s="43" t="n">
        <v>1.25</v>
      </c>
      <c r="K13" s="44" t="n">
        <v>0.965</v>
      </c>
      <c r="L13" s="45">
        <f>(1-ABS(J13-K13)/J13)*100</f>
        <v/>
      </c>
      <c r="M13" s="43" t="n">
        <v>0.37</v>
      </c>
      <c r="N13" s="44" t="n">
        <v>0.292</v>
      </c>
      <c r="O13" s="45">
        <f>(1-ABS(M13-N13)/M13)*100</f>
        <v/>
      </c>
      <c r="P13" s="46" t="n"/>
      <c r="Q13" s="47" t="n">
        <v>0.626</v>
      </c>
      <c r="R13" s="43" t="n"/>
      <c r="S13" s="48" t="n">
        <v>17</v>
      </c>
      <c r="T13" s="46" t="n">
        <v>12.41</v>
      </c>
      <c r="U13" s="45">
        <f>(1-ABS(S13-T13)/S13)*100</f>
        <v/>
      </c>
    </row>
    <row r="14">
      <c r="B14" s="41" t="inlineStr">
        <is>
          <t>10/20</t>
        </is>
      </c>
      <c r="C14" s="42" t="n">
        <v>4739</v>
      </c>
      <c r="D14" s="43" t="n">
        <v>2.89</v>
      </c>
      <c r="E14" s="44" t="n">
        <v>2.473</v>
      </c>
      <c r="F14" s="45">
        <f>(1-ABS(D14-E14)/D14)*100</f>
        <v/>
      </c>
      <c r="G14" s="44" t="n">
        <v>0.192</v>
      </c>
      <c r="H14" s="44" t="n">
        <v>0.16</v>
      </c>
      <c r="I14" s="45">
        <f>(1-ABS(G14-H14)/G14)*100</f>
        <v/>
      </c>
      <c r="J14" s="43" t="n">
        <v>1.23</v>
      </c>
      <c r="K14" s="44" t="n">
        <v>1.007</v>
      </c>
      <c r="L14" s="45">
        <f>(1-ABS(J14-K14)/J14)*100</f>
        <v/>
      </c>
      <c r="M14" s="43" t="n">
        <v>0.38</v>
      </c>
      <c r="N14" s="44" t="n">
        <v>0.294</v>
      </c>
      <c r="O14" s="45">
        <f>(1-ABS(M14-N14)/M14)*100</f>
        <v/>
      </c>
      <c r="P14" s="46" t="n"/>
      <c r="Q14" s="47" t="n">
        <v>0.636</v>
      </c>
      <c r="R14" s="43" t="n"/>
      <c r="S14" s="48" t="n">
        <v>17.7</v>
      </c>
      <c r="T14" s="46" t="n">
        <v>12.94</v>
      </c>
      <c r="U14" s="45">
        <f>(1-ABS(S14-T14)/S14)*100</f>
        <v/>
      </c>
    </row>
    <row r="15">
      <c r="B15" s="41" t="inlineStr">
        <is>
          <t>11/22</t>
        </is>
      </c>
      <c r="C15" s="42" t="n">
        <v>4735</v>
      </c>
      <c r="D15" s="43" t="n">
        <v>2.91</v>
      </c>
      <c r="E15" s="44" t="n">
        <v>2.431</v>
      </c>
      <c r="F15" s="45">
        <f>(1-ABS(D15-E15)/D15)*100</f>
        <v/>
      </c>
      <c r="G15" s="44" t="n">
        <v>0.205</v>
      </c>
      <c r="H15" s="44" t="n">
        <v>0.157</v>
      </c>
      <c r="I15" s="45">
        <f>(1-ABS(G15-H15)/G15)*100</f>
        <v/>
      </c>
      <c r="J15" s="43" t="n">
        <v>1.21</v>
      </c>
      <c r="K15" s="44" t="n">
        <v>0.979</v>
      </c>
      <c r="L15" s="45">
        <f>(1-ABS(J15-K15)/J15)*100</f>
        <v/>
      </c>
      <c r="M15" s="43" t="n">
        <v>0.36</v>
      </c>
      <c r="N15" s="44" t="n">
        <v>0.287</v>
      </c>
      <c r="O15" s="45">
        <f>(1-ABS(M15-N15)/M15)*100</f>
        <v/>
      </c>
      <c r="P15" s="46" t="n"/>
      <c r="Q15" s="47" t="n">
        <v>0.626</v>
      </c>
      <c r="R15" s="43" t="n"/>
      <c r="S15" s="48" t="n">
        <v>17.8</v>
      </c>
      <c r="T15" s="46" t="n">
        <v>12.83</v>
      </c>
      <c r="U15" s="45">
        <f>(1-ABS(S15-T15)/S15)*100</f>
        <v/>
      </c>
    </row>
    <row r="16">
      <c r="B16" s="41" t="inlineStr">
        <is>
          <t>11/27</t>
        </is>
      </c>
      <c r="C16" s="42" t="n">
        <v>5248</v>
      </c>
      <c r="D16" s="43" t="n">
        <v>2.73</v>
      </c>
      <c r="E16" s="44" t="n">
        <v>2.562</v>
      </c>
      <c r="F16" s="45">
        <f>(1-ABS(D16-E16)/D16)*100</f>
        <v/>
      </c>
      <c r="G16" s="44" t="n">
        <v>0.183</v>
      </c>
      <c r="H16" s="44" t="n">
        <v>0.166</v>
      </c>
      <c r="I16" s="45">
        <f>(1-ABS(G16-H16)/G16)*100</f>
        <v/>
      </c>
      <c r="J16" s="43" t="n">
        <v>1.27</v>
      </c>
      <c r="K16" s="44" t="n">
        <v>1.033</v>
      </c>
      <c r="L16" s="45">
        <f>(1-ABS(J16-K16)/J16)*100</f>
        <v/>
      </c>
      <c r="M16" s="43" t="n">
        <v>0.35</v>
      </c>
      <c r="N16" s="44" t="n">
        <v>0.291</v>
      </c>
      <c r="O16" s="45">
        <f>(1-ABS(M16-N16)/M16)*100</f>
        <v/>
      </c>
      <c r="P16" s="46" t="n"/>
      <c r="Q16" s="47" t="n">
        <v>0.657</v>
      </c>
      <c r="R16" s="43" t="n"/>
      <c r="S16" s="48" t="n">
        <v>16.7</v>
      </c>
      <c r="T16" s="46" t="n">
        <v>13.51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12/06</t>
        </is>
      </c>
      <c r="C17" s="42" t="n">
        <v>5767</v>
      </c>
      <c r="D17" s="43" t="n">
        <v>2.79</v>
      </c>
      <c r="E17" s="44" t="n">
        <v>2.517</v>
      </c>
      <c r="F17" s="45">
        <f>(1-ABS(D17-E17)/D17)*100</f>
        <v/>
      </c>
      <c r="G17" s="44" t="n">
        <v>0.186</v>
      </c>
      <c r="H17" s="44" t="n">
        <v>0.164</v>
      </c>
      <c r="I17" s="45">
        <f>(1-ABS(G17-H17)/G17)*100</f>
        <v/>
      </c>
      <c r="J17" s="43" t="n">
        <v>1.22</v>
      </c>
      <c r="K17" s="44" t="n">
        <v>1.017</v>
      </c>
      <c r="L17" s="45">
        <f>(1-ABS(J17-K17)/J17)*100</f>
        <v/>
      </c>
      <c r="M17" s="43" t="n">
        <v>0.34</v>
      </c>
      <c r="N17" s="44" t="n">
        <v>0.291</v>
      </c>
      <c r="O17" s="45">
        <f>(1-ABS(M17-N17)/M17)*100</f>
        <v/>
      </c>
      <c r="P17" s="46" t="n"/>
      <c r="Q17" s="47" t="n">
        <v>0.65</v>
      </c>
      <c r="R17" s="43" t="n"/>
      <c r="S17" s="48" t="n">
        <v>17.8</v>
      </c>
      <c r="T17" s="46" t="n">
        <v>13.42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12/07</t>
        </is>
      </c>
      <c r="C18" s="42" t="n">
        <v>5465</v>
      </c>
      <c r="D18" s="43" t="n">
        <v>2.71</v>
      </c>
      <c r="E18" s="44" t="n">
        <v>2.491</v>
      </c>
      <c r="F18" s="45">
        <f>(1-ABS(D18-E18)/D18)*100</f>
        <v/>
      </c>
      <c r="G18" s="44" t="n">
        <v>0.186</v>
      </c>
      <c r="H18" s="44" t="n">
        <v>0.16</v>
      </c>
      <c r="I18" s="45">
        <f>(1-ABS(G18-H18)/G18)*100</f>
        <v/>
      </c>
      <c r="J18" s="43" t="n">
        <v>1.29</v>
      </c>
      <c r="K18" s="44" t="n">
        <v>1.022</v>
      </c>
      <c r="L18" s="45">
        <f>(1-ABS(J18-K18)/J18)*100</f>
        <v/>
      </c>
      <c r="M18" s="43" t="n">
        <v>0.38</v>
      </c>
      <c r="N18" s="44" t="n">
        <v>0.287</v>
      </c>
      <c r="O18" s="45">
        <f>(1-ABS(M18-N18)/M18)*100</f>
        <v/>
      </c>
      <c r="P18" s="46" t="n"/>
      <c r="Q18" s="47" t="n">
        <v>0.626</v>
      </c>
      <c r="R18" s="43" t="n"/>
      <c r="S18" s="48" t="n">
        <v>17.4</v>
      </c>
      <c r="T18" s="46" t="n">
        <v>13.51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12/08</t>
        </is>
      </c>
      <c r="C19" s="42" t="n">
        <v>5061</v>
      </c>
      <c r="D19" s="43" t="n">
        <v>2.95</v>
      </c>
      <c r="E19" s="44" t="n">
        <v>2.541</v>
      </c>
      <c r="F19" s="45">
        <f>(1-ABS(D19-E19)/D19)*100</f>
        <v/>
      </c>
      <c r="G19" s="44" t="n">
        <v>0.199</v>
      </c>
      <c r="H19" s="44" t="n">
        <v>0.165</v>
      </c>
      <c r="I19" s="45">
        <f>(1-ABS(G19-H19)/G19)*100</f>
        <v/>
      </c>
      <c r="J19" s="43" t="n">
        <v>1.2</v>
      </c>
      <c r="K19" s="44" t="n">
        <v>1.028</v>
      </c>
      <c r="L19" s="45">
        <f>(1-ABS(J19-K19)/J19)*100</f>
        <v/>
      </c>
      <c r="M19" s="43" t="n">
        <v>0.38</v>
      </c>
      <c r="N19" s="44" t="n">
        <v>0.29</v>
      </c>
      <c r="O19" s="45">
        <f>(1-ABS(M19-N19)/M19)*100</f>
        <v/>
      </c>
      <c r="P19" s="46" t="n"/>
      <c r="Q19" s="47" t="n">
        <v>0.651</v>
      </c>
      <c r="R19" s="43" t="n"/>
      <c r="S19" s="48" t="n">
        <v>15.7</v>
      </c>
      <c r="T19" s="46" t="n">
        <v>13.94</v>
      </c>
      <c r="U19" s="45">
        <f>(1-ABS(S19-T19)/S19)*100</f>
        <v/>
      </c>
    </row>
    <row r="20">
      <c r="B20" s="41" t="inlineStr">
        <is>
          <t>12/09</t>
        </is>
      </c>
      <c r="C20" s="42" t="n">
        <v>5579</v>
      </c>
      <c r="D20" s="43" t="n">
        <v>2.7</v>
      </c>
      <c r="E20" s="44" t="n">
        <v>2.518</v>
      </c>
      <c r="F20" s="45">
        <f>(1-ABS(D20-E20)/D20)*100</f>
        <v/>
      </c>
      <c r="G20" s="44" t="n">
        <v>0.189</v>
      </c>
      <c r="H20" s="44" t="n">
        <v>0.164</v>
      </c>
      <c r="I20" s="45">
        <f>(1-ABS(G20-H20)/G20)*100</f>
        <v/>
      </c>
      <c r="J20" s="43" t="n">
        <v>1.23</v>
      </c>
      <c r="K20" s="44" t="n">
        <v>1.016</v>
      </c>
      <c r="L20" s="45">
        <f>(1-ABS(J20-K20)/J20)*100</f>
        <v/>
      </c>
      <c r="M20" s="43" t="n">
        <v>0.38</v>
      </c>
      <c r="N20" s="44" t="n">
        <v>0.286</v>
      </c>
      <c r="O20" s="45">
        <f>(1-ABS(M20-N20)/M20)*100</f>
        <v/>
      </c>
      <c r="P20" s="46" t="n"/>
      <c r="Q20" s="47" t="n">
        <v>0.655</v>
      </c>
      <c r="R20" s="43" t="n"/>
      <c r="S20" s="48" t="n">
        <v>17.9</v>
      </c>
      <c r="T20" s="46" t="n">
        <v>13.51</v>
      </c>
      <c r="U20" s="45">
        <f>(1-ABS(S20-T20)/S20)*100</f>
        <v/>
      </c>
    </row>
    <row r="21">
      <c r="B21" s="41" t="inlineStr">
        <is>
          <t>12/10</t>
        </is>
      </c>
      <c r="C21" s="42" t="n">
        <v>5501</v>
      </c>
      <c r="D21" s="43" t="n">
        <v>2.66</v>
      </c>
      <c r="E21" s="44" t="n">
        <v>2.541</v>
      </c>
      <c r="F21" s="45">
        <f>(1-ABS(D21-E21)/D21)*100</f>
        <v/>
      </c>
      <c r="G21" s="44" t="n">
        <v>0.18</v>
      </c>
      <c r="H21" s="44" t="n">
        <v>0.165</v>
      </c>
      <c r="I21" s="45">
        <f>(1-ABS(G21-H21)/G21)*100</f>
        <v/>
      </c>
      <c r="J21" s="43" t="n">
        <v>1.35</v>
      </c>
      <c r="K21" s="44" t="n">
        <v>1.03</v>
      </c>
      <c r="L21" s="45">
        <f>(1-ABS(J21-K21)/J21)*100</f>
        <v/>
      </c>
      <c r="M21" s="43" t="n">
        <v>0.35</v>
      </c>
      <c r="N21" s="44" t="n">
        <v>0.292</v>
      </c>
      <c r="O21" s="45">
        <f>(1-ABS(M21-N21)/M21)*100</f>
        <v/>
      </c>
      <c r="P21" s="46" t="n"/>
      <c r="Q21" s="47" t="n">
        <v>0.654</v>
      </c>
      <c r="R21" s="43" t="n"/>
      <c r="S21" s="48" t="n">
        <v>16.6</v>
      </c>
      <c r="T21" s="46" t="n">
        <v>13.53</v>
      </c>
      <c r="U21" s="45">
        <f>(1-ABS(S21-T21)/S21)*100</f>
        <v/>
      </c>
    </row>
    <row r="22">
      <c r="B22" s="41" t="inlineStr">
        <is>
          <t>12/12</t>
        </is>
      </c>
      <c r="C22" s="42" t="n">
        <v>5747</v>
      </c>
      <c r="D22" s="43" t="n">
        <v>2.77</v>
      </c>
      <c r="E22" s="44" t="n">
        <v>2.484</v>
      </c>
      <c r="F22" s="45">
        <f>(1-ABS(D22-E22)/D22)*100</f>
        <v/>
      </c>
      <c r="G22" s="44" t="n">
        <v>0.202</v>
      </c>
      <c r="H22" s="44" t="n">
        <v>0.162</v>
      </c>
      <c r="I22" s="45">
        <f>(1-ABS(G22-H22)/G22)*100</f>
        <v/>
      </c>
      <c r="J22" s="43" t="n">
        <v>1.23</v>
      </c>
      <c r="K22" s="44" t="n">
        <v>1.011</v>
      </c>
      <c r="L22" s="45">
        <f>(1-ABS(J22-K22)/J22)*100</f>
        <v/>
      </c>
      <c r="M22" s="43" t="n">
        <v>0.39</v>
      </c>
      <c r="N22" s="44" t="n">
        <v>0.307</v>
      </c>
      <c r="O22" s="45">
        <f>(1-ABS(M22-N22)/M22)*100</f>
        <v/>
      </c>
      <c r="P22" s="46" t="n"/>
      <c r="Q22" s="47" t="n">
        <v>0.66</v>
      </c>
      <c r="R22" s="43" t="n"/>
      <c r="S22" s="48" t="n">
        <v>16.2</v>
      </c>
      <c r="T22" s="46" t="n">
        <v>11.43</v>
      </c>
      <c r="U22" s="45">
        <f>(1-ABS(S22-T22)/S22)*100</f>
        <v/>
      </c>
    </row>
    <row r="23">
      <c r="B23" s="41" t="inlineStr">
        <is>
          <t>12/13</t>
        </is>
      </c>
      <c r="C23" s="42" t="n">
        <v>5755</v>
      </c>
      <c r="D23" s="43" t="n">
        <v>2.75</v>
      </c>
      <c r="E23" s="44" t="n">
        <v>2.403</v>
      </c>
      <c r="F23" s="45">
        <f>(1-ABS(D23-E23)/D23)*100</f>
        <v/>
      </c>
      <c r="G23" s="44" t="n">
        <v>0.191</v>
      </c>
      <c r="H23" s="44" t="n">
        <v>0.158</v>
      </c>
      <c r="I23" s="45">
        <f>(1-ABS(G23-H23)/G23)*100</f>
        <v/>
      </c>
      <c r="J23" s="43" t="n">
        <v>1.18</v>
      </c>
      <c r="K23" s="44" t="n">
        <v>0.979</v>
      </c>
      <c r="L23" s="45">
        <f>(1-ABS(J23-K23)/J23)*100</f>
        <v/>
      </c>
      <c r="M23" s="43" t="n">
        <v>0.33</v>
      </c>
      <c r="N23" s="44" t="n">
        <v>0.303</v>
      </c>
      <c r="O23" s="45">
        <f>(1-ABS(M23-N23)/M23)*100</f>
        <v/>
      </c>
      <c r="P23" s="46" t="n"/>
      <c r="Q23" s="47" t="n">
        <v>0.65</v>
      </c>
      <c r="R23" s="43" t="n"/>
      <c r="S23" s="48" t="n">
        <v>16.9</v>
      </c>
      <c r="T23" s="46" t="n">
        <v>11.05</v>
      </c>
      <c r="U23" s="45">
        <f>(1-ABS(S23-T23)/S23)*100</f>
        <v/>
      </c>
    </row>
    <row r="24">
      <c r="B24" s="41" t="inlineStr">
        <is>
          <t>13/01</t>
        </is>
      </c>
      <c r="C24" s="42" t="n">
        <v>4227</v>
      </c>
      <c r="D24" s="43" t="n">
        <v>2.78</v>
      </c>
      <c r="E24" s="44" t="n">
        <v>2.366</v>
      </c>
      <c r="F24" s="45">
        <f>(1-ABS(D24-E24)/D24)*100</f>
        <v/>
      </c>
      <c r="G24" s="44" t="n">
        <v>0.183</v>
      </c>
      <c r="H24" s="44" t="n">
        <v>0.154</v>
      </c>
      <c r="I24" s="45">
        <f>(1-ABS(G24-H24)/G24)*100</f>
        <v/>
      </c>
      <c r="J24" s="43" t="n">
        <v>1.32</v>
      </c>
      <c r="K24" s="44" t="n">
        <v>0.9429999999999999</v>
      </c>
      <c r="L24" s="45">
        <f>(1-ABS(J24-K24)/J24)*100</f>
        <v/>
      </c>
      <c r="M24" s="43" t="n">
        <v>0.36</v>
      </c>
      <c r="N24" s="44" t="n">
        <v>0.292</v>
      </c>
      <c r="O24" s="45">
        <f>(1-ABS(M24-N24)/M24)*100</f>
        <v/>
      </c>
      <c r="P24" s="46" t="n"/>
      <c r="Q24" s="47" t="n">
        <v>0.657</v>
      </c>
      <c r="R24" s="43" t="n"/>
      <c r="S24" s="48" t="n">
        <v>14.7</v>
      </c>
      <c r="T24" s="46" t="n">
        <v>10.6</v>
      </c>
      <c r="U24" s="45">
        <f>(1-ABS(S24-T24)/S24)*100</f>
        <v/>
      </c>
    </row>
    <row r="25">
      <c r="B25" s="41" t="inlineStr">
        <is>
          <t>13/02</t>
        </is>
      </c>
      <c r="C25" s="42" t="n">
        <v>5226</v>
      </c>
      <c r="D25" s="43" t="n">
        <v>2.82</v>
      </c>
      <c r="E25" s="44" t="n">
        <v>2.516</v>
      </c>
      <c r="F25" s="45">
        <f>(1-ABS(D25-E25)/D25)*100</f>
        <v/>
      </c>
      <c r="G25" s="44" t="n">
        <v>0.187</v>
      </c>
      <c r="H25" s="44" t="n">
        <v>0.164</v>
      </c>
      <c r="I25" s="45">
        <f>(1-ABS(G25-H25)/G25)*100</f>
        <v/>
      </c>
      <c r="J25" s="43" t="n">
        <v>1.22</v>
      </c>
      <c r="K25" s="44" t="n">
        <v>1.013</v>
      </c>
      <c r="L25" s="45">
        <f>(1-ABS(J25-K25)/J25)*100</f>
        <v/>
      </c>
      <c r="M25" s="43" t="n">
        <v>0.35</v>
      </c>
      <c r="N25" s="44" t="n">
        <v>0.296</v>
      </c>
      <c r="O25" s="45">
        <f>(1-ABS(M25-N25)/M25)*100</f>
        <v/>
      </c>
      <c r="P25" s="46" t="n"/>
      <c r="Q25" s="47" t="n">
        <v>0.6820000000000001</v>
      </c>
      <c r="R25" s="43" t="n"/>
      <c r="S25" s="48" t="n">
        <v>15.2</v>
      </c>
      <c r="T25" s="46" t="n">
        <v>11.87</v>
      </c>
      <c r="U25" s="45">
        <f>(1-ABS(S25-T25)/S25)*100</f>
        <v/>
      </c>
    </row>
    <row r="26">
      <c r="B26" s="41" t="inlineStr">
        <is>
          <t>13/03</t>
        </is>
      </c>
      <c r="C26" s="42" t="n">
        <v>4026</v>
      </c>
      <c r="D26" s="43" t="n">
        <v>2.79</v>
      </c>
      <c r="E26" s="44" t="n">
        <v>2.511</v>
      </c>
      <c r="F26" s="45">
        <f>(1-ABS(D26-E26)/D26)*100</f>
        <v/>
      </c>
      <c r="G26" s="44" t="n">
        <v>0.182</v>
      </c>
      <c r="H26" s="44" t="n">
        <v>0.163</v>
      </c>
      <c r="I26" s="45">
        <f>(1-ABS(G26-H26)/G26)*100</f>
        <v/>
      </c>
      <c r="J26" s="43" t="n">
        <v>1.19</v>
      </c>
      <c r="K26" s="44" t="n">
        <v>1.012</v>
      </c>
      <c r="L26" s="45">
        <f>(1-ABS(J26-K26)/J26)*100</f>
        <v/>
      </c>
      <c r="M26" s="43" t="n">
        <v>0.36</v>
      </c>
      <c r="N26" s="44" t="n">
        <v>0.293</v>
      </c>
      <c r="O26" s="45">
        <f>(1-ABS(M26-N26)/M26)*100</f>
        <v/>
      </c>
      <c r="P26" s="46" t="n"/>
      <c r="Q26" s="47" t="n">
        <v>0.664</v>
      </c>
      <c r="R26" s="43" t="n"/>
      <c r="S26" s="48" t="n">
        <v>17.7</v>
      </c>
      <c r="T26" s="46" t="n">
        <v>12.59</v>
      </c>
      <c r="U26" s="45">
        <f>(1-ABS(S26-T26)/S26)*100</f>
        <v/>
      </c>
    </row>
    <row r="27">
      <c r="B27" s="41" t="inlineStr">
        <is>
          <t>13/05</t>
        </is>
      </c>
      <c r="C27" s="42" t="n">
        <v>4215</v>
      </c>
      <c r="D27" s="43" t="n">
        <v>2.7</v>
      </c>
      <c r="E27" s="44" t="n">
        <v>2.556</v>
      </c>
      <c r="F27" s="45">
        <f>(1-ABS(D27-E27)/D27)*100</f>
        <v/>
      </c>
      <c r="G27" s="44" t="n">
        <v>0.189</v>
      </c>
      <c r="H27" s="44" t="n">
        <v>0.164</v>
      </c>
      <c r="I27" s="45">
        <f>(1-ABS(G27-H27)/G27)*100</f>
        <v/>
      </c>
      <c r="J27" s="43" t="n">
        <v>1.19</v>
      </c>
      <c r="K27" s="44" t="n">
        <v>1.043</v>
      </c>
      <c r="L27" s="45">
        <f>(1-ABS(J27-K27)/J27)*100</f>
        <v/>
      </c>
      <c r="M27" s="43" t="n">
        <v>0.37</v>
      </c>
      <c r="N27" s="44" t="n">
        <v>0.303</v>
      </c>
      <c r="O27" s="45">
        <f>(1-ABS(M27-N27)/M27)*100</f>
        <v/>
      </c>
      <c r="P27" s="46" t="n"/>
      <c r="Q27" s="47" t="n">
        <v>0.66</v>
      </c>
      <c r="R27" s="43" t="n"/>
      <c r="S27" s="48" t="n">
        <v>15.2</v>
      </c>
      <c r="T27" s="46" t="n">
        <v>12.18</v>
      </c>
      <c r="U27" s="45">
        <f>(1-ABS(S27-T27)/S27)*100</f>
        <v/>
      </c>
    </row>
    <row r="28">
      <c r="B28" s="41" t="inlineStr">
        <is>
          <t>13/06</t>
        </is>
      </c>
      <c r="C28" s="42" t="n">
        <v>4231</v>
      </c>
      <c r="D28" s="43" t="n">
        <v>2.82</v>
      </c>
      <c r="E28" s="44" t="n">
        <v>2.187</v>
      </c>
      <c r="F28" s="45">
        <f>(1-ABS(D28-E28)/D28)*100</f>
        <v/>
      </c>
      <c r="G28" s="44" t="n">
        <v>0.194</v>
      </c>
      <c r="H28" s="44" t="n">
        <v>0.14</v>
      </c>
      <c r="I28" s="45">
        <f>(1-ABS(G28-H28)/G28)*100</f>
        <v/>
      </c>
      <c r="J28" s="43" t="n">
        <v>1.31</v>
      </c>
      <c r="K28" s="44" t="n">
        <v>0.862</v>
      </c>
      <c r="L28" s="45">
        <f>(1-ABS(J28-K28)/J28)*100</f>
        <v/>
      </c>
      <c r="M28" s="43" t="n">
        <v>0.33</v>
      </c>
      <c r="N28" s="44" t="n">
        <v>0.277</v>
      </c>
      <c r="O28" s="45">
        <f>(1-ABS(M28-N28)/M28)*100</f>
        <v/>
      </c>
      <c r="P28" s="46" t="n"/>
      <c r="Q28" s="47" t="n">
        <v>0.597</v>
      </c>
      <c r="R28" s="43" t="n"/>
      <c r="S28" s="48" t="n">
        <v>15.2</v>
      </c>
      <c r="T28" s="46" t="n">
        <v>9.41</v>
      </c>
      <c r="U28" s="45">
        <f>(1-ABS(S28-T28)/S28)*100</f>
        <v/>
      </c>
    </row>
    <row r="29">
      <c r="B29" s="41" t="inlineStr">
        <is>
          <t>13/08</t>
        </is>
      </c>
      <c r="C29" s="42" t="n">
        <v>5031</v>
      </c>
      <c r="D29" s="43" t="n">
        <v>2.82</v>
      </c>
      <c r="E29" s="44" t="n">
        <v>2.516</v>
      </c>
      <c r="F29" s="45">
        <f>(1-ABS(D29-E29)/D29)*100</f>
        <v/>
      </c>
      <c r="G29" s="44" t="n">
        <v>0.18</v>
      </c>
      <c r="H29" s="44" t="n">
        <v>0.162</v>
      </c>
      <c r="I29" s="45">
        <f>(1-ABS(G29-H29)/G29)*100</f>
        <v/>
      </c>
      <c r="J29" s="43" t="n">
        <v>1.28</v>
      </c>
      <c r="K29" s="44" t="n">
        <v>1.021</v>
      </c>
      <c r="L29" s="45">
        <f>(1-ABS(J29-K29)/J29)*100</f>
        <v/>
      </c>
      <c r="M29" s="43" t="n">
        <v>0.35</v>
      </c>
      <c r="N29" s="44" t="n">
        <v>0.304</v>
      </c>
      <c r="O29" s="45">
        <f>(1-ABS(M29-N29)/M29)*100</f>
        <v/>
      </c>
      <c r="P29" s="46" t="n"/>
      <c r="Q29" s="47" t="n">
        <v>0.661</v>
      </c>
      <c r="R29" s="43" t="n"/>
      <c r="S29" s="48" t="n">
        <v>14.5</v>
      </c>
      <c r="T29" s="46" t="n">
        <v>12.77</v>
      </c>
      <c r="U29" s="45">
        <f>(1-ABS(S29-T29)/S29)*100</f>
        <v/>
      </c>
    </row>
    <row r="30">
      <c r="B30" s="41" t="inlineStr">
        <is>
          <t>13/13</t>
        </is>
      </c>
      <c r="C30" s="42" t="n">
        <v>5746</v>
      </c>
      <c r="D30" s="43" t="n">
        <v>2.75</v>
      </c>
      <c r="E30" s="44" t="n">
        <v>2.456</v>
      </c>
      <c r="F30" s="45">
        <f>(1-ABS(D30-E30)/D30)*100</f>
        <v/>
      </c>
      <c r="G30" s="44" t="n">
        <v>0.198</v>
      </c>
      <c r="H30" s="44" t="n">
        <v>0.16</v>
      </c>
      <c r="I30" s="45">
        <f>(1-ABS(G30-H30)/G30)*100</f>
        <v/>
      </c>
      <c r="J30" s="43" t="n">
        <v>1.2</v>
      </c>
      <c r="K30" s="44" t="n">
        <v>0.981</v>
      </c>
      <c r="L30" s="45">
        <f>(1-ABS(J30-K30)/J30)*100</f>
        <v/>
      </c>
      <c r="M30" s="43" t="n">
        <v>0.38</v>
      </c>
      <c r="N30" s="44" t="n">
        <v>0.285</v>
      </c>
      <c r="O30" s="45">
        <f>(1-ABS(M30-N30)/M30)*100</f>
        <v/>
      </c>
      <c r="P30" s="46" t="n"/>
      <c r="Q30" s="47" t="n">
        <v>0.651</v>
      </c>
      <c r="R30" s="43" t="n"/>
      <c r="S30" s="48" t="n">
        <v>16.6</v>
      </c>
      <c r="T30" s="46" t="n">
        <v>13.04</v>
      </c>
      <c r="U30" s="45">
        <f>(1-ABS(S30-T30)/S30)*100</f>
        <v/>
      </c>
    </row>
    <row r="31" ht="35" customHeight="1">
      <c r="A31" s="49" t="inlineStr">
        <is>
          <t>AVG ACCURACY</t>
        </is>
      </c>
      <c r="F31" s="50">
        <f>AVERAGE(F7:F30)</f>
        <v/>
      </c>
      <c r="I31" s="50">
        <f>AVERAGE(I7:I30)</f>
        <v/>
      </c>
      <c r="L31" s="51">
        <f>AVERAGE(L7:L30)</f>
        <v/>
      </c>
      <c r="O31" s="50">
        <f>AVERAGE(O7:O30)</f>
        <v/>
      </c>
      <c r="R31" s="52" t="inlineStr">
        <is>
          <t>-</t>
        </is>
      </c>
      <c r="U31" s="51">
        <f>AVERAGE(U7:U30)</f>
        <v/>
      </c>
    </row>
    <row r="32" ht="40" customHeight="1">
      <c r="A32" s="53" t="inlineStr">
        <is>
          <t>Best result closer to 0</t>
        </is>
      </c>
      <c r="B32" s="41" t="inlineStr">
        <is>
          <t>R^2 (Coefficient of determination)</t>
        </is>
      </c>
      <c r="C32" s="54" t="n"/>
      <c r="D32" s="55">
        <f>RSQ(E7:E30, D7:D30)</f>
        <v/>
      </c>
      <c r="E32" s="56" t="n"/>
      <c r="F32" s="54" t="n"/>
      <c r="G32" s="55">
        <f>RSQ(H7:H30, G7:G30)</f>
        <v/>
      </c>
      <c r="H32" s="56" t="n"/>
      <c r="I32" s="54" t="n"/>
      <c r="J32" s="55">
        <f>RSQ(K7:K30, J7:J30)</f>
        <v/>
      </c>
      <c r="K32" s="56" t="n"/>
      <c r="L32" s="54" t="n"/>
      <c r="M32" s="55">
        <f>RSQ(N7:N30, M7:M30)</f>
        <v/>
      </c>
      <c r="N32" s="56" t="n"/>
      <c r="O32" s="54" t="n"/>
      <c r="P32" s="57" t="inlineStr">
        <is>
          <t>-</t>
        </is>
      </c>
      <c r="Q32" s="56" t="n"/>
      <c r="R32" s="54" t="n"/>
      <c r="S32" s="57">
        <f>RSQ(T7:T30, S7:S30)</f>
        <v/>
      </c>
      <c r="T32" s="56" t="n"/>
      <c r="U32" s="54" t="n"/>
    </row>
    <row r="33" ht="39" customHeight="1">
      <c r="A33" s="53" t="inlineStr">
        <is>
          <t>Best result closer to 1</t>
        </is>
      </c>
      <c r="B33" s="41" t="inlineStr">
        <is>
          <t>MAE (Average size of prediction errors)</t>
        </is>
      </c>
      <c r="C33" s="54" t="n"/>
      <c r="D33" s="55">
        <f>SUMPRODUCT(ABS(D7:D30-E7:E30))/COUNT(D7:D30)</f>
        <v/>
      </c>
      <c r="E33" s="56" t="n"/>
      <c r="F33" s="54" t="n"/>
      <c r="G33" s="55">
        <f>SUMPRODUCT(ABS(G7:G30-H7:H30))/COUNT(G7:G30)</f>
        <v/>
      </c>
      <c r="H33" s="56" t="n"/>
      <c r="I33" s="54" t="n"/>
      <c r="J33" s="55">
        <f>SUMPRODUCT(ABS(J7:J30-K7:K30))/COUNT(J7:J30)</f>
        <v/>
      </c>
      <c r="K33" s="56" t="n"/>
      <c r="L33" s="54" t="n"/>
      <c r="M33" s="55">
        <f>SUMPRODUCT(ABS(M7:M30-N7:N30))/COUNT(M7:M30)</f>
        <v/>
      </c>
      <c r="N33" s="56" t="n"/>
      <c r="O33" s="54" t="n"/>
      <c r="P33" s="57" t="inlineStr">
        <is>
          <t>-</t>
        </is>
      </c>
      <c r="Q33" s="56" t="n"/>
      <c r="R33" s="54" t="n"/>
      <c r="S33" s="57">
        <f>SUMPRODUCT(ABS(S7:S30-T7:T30))/COUNT(S7:S30)</f>
        <v/>
      </c>
      <c r="T33" s="56" t="n"/>
      <c r="U33" s="54" t="n"/>
    </row>
    <row r="34" ht="66" customHeight="1">
      <c r="A34" s="53" t="inlineStr">
        <is>
          <t>Best result closer to 1</t>
        </is>
      </c>
      <c r="B34" s="41" t="inlineStr">
        <is>
          <t>RMSE (Prediction error, with larger mistakes penalised more)</t>
        </is>
      </c>
      <c r="C34" s="54" t="n"/>
      <c r="D34" s="55">
        <f>SQRT(SUMXMY2(D7:D30, E7:E30)/COUNT(D7:D30))</f>
        <v/>
      </c>
      <c r="E34" s="56" t="n"/>
      <c r="F34" s="54" t="n"/>
      <c r="G34" s="55">
        <f>SQRT(SUMXMY2(G7:G30, H7:H30)/COUNT(G7:G30))</f>
        <v/>
      </c>
      <c r="H34" s="56" t="n"/>
      <c r="I34" s="54" t="n"/>
      <c r="J34" s="55">
        <f>SQRT(SUMXMY2(J7:J30, K7:K30)/COUNT(J7:J30))</f>
        <v/>
      </c>
      <c r="K34" s="56" t="n"/>
      <c r="L34" s="54" t="n"/>
      <c r="M34" s="55">
        <f>SQRT(SUMXMY2(M7:M30, N7:N30)/COUNT(M7:M30))</f>
        <v/>
      </c>
      <c r="N34" s="56" t="n"/>
      <c r="O34" s="54" t="n"/>
      <c r="P34" s="57" t="inlineStr">
        <is>
          <t>-</t>
        </is>
      </c>
      <c r="Q34" s="56" t="n"/>
      <c r="R34" s="54" t="n"/>
      <c r="S34" s="57">
        <f>SQRT(SUMXMY2(S7:S30, T7:T30)/COUNT(S7:S30))</f>
        <v/>
      </c>
      <c r="T34" s="56" t="n"/>
      <c r="U34" s="54" t="n"/>
    </row>
  </sheetData>
  <mergeCells count="31">
    <mergeCell ref="B4:O4"/>
    <mergeCell ref="D32:F32"/>
    <mergeCell ref="J34:L34"/>
    <mergeCell ref="G34:I34"/>
    <mergeCell ref="G33:I33"/>
    <mergeCell ref="S34:U34"/>
    <mergeCell ref="J32:L32"/>
    <mergeCell ref="P32:R32"/>
    <mergeCell ref="M33:O33"/>
    <mergeCell ref="G5:I5"/>
    <mergeCell ref="S33:U33"/>
    <mergeCell ref="D33:F33"/>
    <mergeCell ref="S5:U5"/>
    <mergeCell ref="G32:I32"/>
    <mergeCell ref="D5:F5"/>
    <mergeCell ref="M32:O32"/>
    <mergeCell ref="P5:R5"/>
    <mergeCell ref="J33:L33"/>
    <mergeCell ref="S32:U32"/>
    <mergeCell ref="P33:R33"/>
    <mergeCell ref="B34:C34"/>
    <mergeCell ref="M34:O34"/>
    <mergeCell ref="B5:B6"/>
    <mergeCell ref="D34:F34"/>
    <mergeCell ref="P4:U4"/>
    <mergeCell ref="J5:L5"/>
    <mergeCell ref="B33:C33"/>
    <mergeCell ref="M5:O5"/>
    <mergeCell ref="B32:C32"/>
    <mergeCell ref="P34:R34"/>
    <mergeCell ref="C5:C6"/>
  </mergeCells>
  <conditionalFormatting sqref="F7:F30 I7:I30 L7:L30 O7:O30 U7:U3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2026-10-15T07:48:27Z</dcterms:modified>
  <cp:lastModifiedBy>Siti Aisyah Jaafar</cp:lastModifiedBy>
</cp:coreProperties>
</file>