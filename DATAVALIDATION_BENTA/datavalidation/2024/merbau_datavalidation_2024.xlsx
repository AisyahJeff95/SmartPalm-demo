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31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06/01</t>
        </is>
      </c>
      <c r="C7" s="42" t="n">
        <v>2710</v>
      </c>
      <c r="D7" s="43" t="n">
        <v>2.81</v>
      </c>
      <c r="E7" s="44" t="n">
        <v>2.535</v>
      </c>
      <c r="F7" s="45">
        <f>(1-ABS(D7-E7)/D7)*100</f>
        <v/>
      </c>
      <c r="G7" s="44" t="n">
        <v>0.171</v>
      </c>
      <c r="H7" s="44" t="n">
        <v>0.162</v>
      </c>
      <c r="I7" s="45">
        <f>(1-ABS(G7-H7)/G7)*100</f>
        <v/>
      </c>
      <c r="J7" s="43" t="n">
        <v>1.06</v>
      </c>
      <c r="K7" s="44" t="n">
        <v>1.063</v>
      </c>
      <c r="L7" s="45">
        <f>(1-ABS(J7-K7)/J7)*100</f>
        <v/>
      </c>
      <c r="M7" s="43" t="n">
        <v>0.43</v>
      </c>
      <c r="N7" s="44" t="n">
        <v>0.237</v>
      </c>
      <c r="O7" s="45">
        <f>(1-ABS(M7-N7)/M7)*100</f>
        <v/>
      </c>
      <c r="P7" s="46" t="n"/>
      <c r="Q7" s="47" t="n">
        <v>0.624</v>
      </c>
      <c r="R7" s="43" t="n"/>
      <c r="S7" s="48" t="n">
        <v>17.7</v>
      </c>
      <c r="T7" s="46" t="n">
        <v>14.26</v>
      </c>
      <c r="U7" s="45">
        <f>(1-ABS(S7-T7)/S7)*100</f>
        <v/>
      </c>
    </row>
    <row r="8">
      <c r="B8" s="41" t="inlineStr">
        <is>
          <t>07/01</t>
        </is>
      </c>
      <c r="C8" s="42" t="n">
        <v>6029</v>
      </c>
      <c r="D8" s="43" t="n">
        <v>2.68</v>
      </c>
      <c r="E8" s="44" t="n">
        <v>2.543</v>
      </c>
      <c r="F8" s="45">
        <f>(1-ABS(D8-E8)/D8)*100</f>
        <v/>
      </c>
      <c r="G8" s="44" t="n">
        <v>0.16</v>
      </c>
      <c r="H8" s="44" t="n">
        <v>0.163</v>
      </c>
      <c r="I8" s="45">
        <f>(1-ABS(G8-H8)/G8)*100</f>
        <v/>
      </c>
      <c r="J8" s="43" t="n">
        <v>1.04</v>
      </c>
      <c r="K8" s="44" t="n">
        <v>1.062</v>
      </c>
      <c r="L8" s="45">
        <f>(1-ABS(J8-K8)/J8)*100</f>
        <v/>
      </c>
      <c r="M8" s="43" t="n">
        <v>0.38</v>
      </c>
      <c r="N8" s="44" t="n">
        <v>0.245</v>
      </c>
      <c r="O8" s="45">
        <f>(1-ABS(M8-N8)/M8)*100</f>
        <v/>
      </c>
      <c r="P8" s="46" t="n"/>
      <c r="Q8" s="47" t="n">
        <v>0.627</v>
      </c>
      <c r="R8" s="43" t="n"/>
      <c r="S8" s="48" t="n">
        <v>15.8</v>
      </c>
      <c r="T8" s="46" t="n">
        <v>14.3</v>
      </c>
      <c r="U8" s="45">
        <f>(1-ABS(S8-T8)/S8)*100</f>
        <v/>
      </c>
    </row>
    <row r="9">
      <c r="B9" s="41" t="inlineStr">
        <is>
          <t>07/02</t>
        </is>
      </c>
      <c r="C9" s="42" t="n">
        <v>5060</v>
      </c>
      <c r="D9" s="43" t="n">
        <v>2.96</v>
      </c>
      <c r="E9" s="44" t="n">
        <v>2.539</v>
      </c>
      <c r="F9" s="45">
        <f>(1-ABS(D9-E9)/D9)*100</f>
        <v/>
      </c>
      <c r="G9" s="44" t="n">
        <v>0.174</v>
      </c>
      <c r="H9" s="44" t="n">
        <v>0.163</v>
      </c>
      <c r="I9" s="45">
        <f>(1-ABS(G9-H9)/G9)*100</f>
        <v/>
      </c>
      <c r="J9" s="43" t="n">
        <v>1.17</v>
      </c>
      <c r="K9" s="44" t="n">
        <v>1.058</v>
      </c>
      <c r="L9" s="45">
        <f>(1-ABS(J9-K9)/J9)*100</f>
        <v/>
      </c>
      <c r="M9" s="43" t="n">
        <v>0.37</v>
      </c>
      <c r="N9" s="44" t="n">
        <v>0.243</v>
      </c>
      <c r="O9" s="45">
        <f>(1-ABS(M9-N9)/M9)*100</f>
        <v/>
      </c>
      <c r="P9" s="46" t="n"/>
      <c r="Q9" s="47" t="n">
        <v>0.626</v>
      </c>
      <c r="R9" s="43" t="n"/>
      <c r="S9" s="48" t="n">
        <v>18.9</v>
      </c>
      <c r="T9" s="46" t="n">
        <v>14.24</v>
      </c>
      <c r="U9" s="45">
        <f>(1-ABS(S9-T9)/S9)*100</f>
        <v/>
      </c>
    </row>
    <row r="10">
      <c r="B10" s="41" t="inlineStr">
        <is>
          <t>07/06A</t>
        </is>
      </c>
      <c r="C10" s="42" t="n">
        <v>8597</v>
      </c>
      <c r="D10" s="43" t="n">
        <v>2.81</v>
      </c>
      <c r="E10" s="44" t="n">
        <v>2.522</v>
      </c>
      <c r="F10" s="45">
        <f>(1-ABS(D10-E10)/D10)*100</f>
        <v/>
      </c>
      <c r="G10" s="44" t="n">
        <v>0.177</v>
      </c>
      <c r="H10" s="44" t="n">
        <v>0.162</v>
      </c>
      <c r="I10" s="45">
        <f>(1-ABS(G10-H10)/G10)*100</f>
        <v/>
      </c>
      <c r="J10" s="43" t="n">
        <v>1.16</v>
      </c>
      <c r="K10" s="44" t="n">
        <v>1.047</v>
      </c>
      <c r="L10" s="45">
        <f>(1-ABS(J10-K10)/J10)*100</f>
        <v/>
      </c>
      <c r="M10" s="43" t="n">
        <v>0.4</v>
      </c>
      <c r="N10" s="44" t="n">
        <v>0.246</v>
      </c>
      <c r="O10" s="45">
        <f>(1-ABS(M10-N10)/M10)*100</f>
        <v/>
      </c>
      <c r="P10" s="46" t="n"/>
      <c r="Q10" s="47" t="n">
        <v>0.623</v>
      </c>
      <c r="R10" s="43" t="n"/>
      <c r="S10" s="48" t="n">
        <v>16.4</v>
      </c>
      <c r="T10" s="46" t="n">
        <v>14.01</v>
      </c>
      <c r="U10" s="45">
        <f>(1-ABS(S10-T10)/S10)*100</f>
        <v/>
      </c>
    </row>
    <row r="11">
      <c r="B11" s="41" t="inlineStr">
        <is>
          <t>07/07A</t>
        </is>
      </c>
      <c r="C11" s="42" t="n">
        <v>4761</v>
      </c>
      <c r="D11" s="43" t="n">
        <v>2.62</v>
      </c>
      <c r="E11" s="44" t="n">
        <v>2.529</v>
      </c>
      <c r="F11" s="45">
        <f>(1-ABS(D11-E11)/D11)*100</f>
        <v/>
      </c>
      <c r="G11" s="44" t="n">
        <v>0.159</v>
      </c>
      <c r="H11" s="44" t="n">
        <v>0.163</v>
      </c>
      <c r="I11" s="45">
        <f>(1-ABS(G11-H11)/G11)*100</f>
        <v/>
      </c>
      <c r="J11" s="43" t="n">
        <v>1.03</v>
      </c>
      <c r="K11" s="44" t="n">
        <v>1.05</v>
      </c>
      <c r="L11" s="45">
        <f>(1-ABS(J11-K11)/J11)*100</f>
        <v/>
      </c>
      <c r="M11" s="43" t="n">
        <v>0.39</v>
      </c>
      <c r="N11" s="44" t="n">
        <v>0.255</v>
      </c>
      <c r="O11" s="45">
        <f>(1-ABS(M11-N11)/M11)*100</f>
        <v/>
      </c>
      <c r="P11" s="46" t="n"/>
      <c r="Q11" s="47" t="n">
        <v>0.631</v>
      </c>
      <c r="R11" s="43" t="n"/>
      <c r="S11" s="48" t="n">
        <v>14.6</v>
      </c>
      <c r="T11" s="46" t="n">
        <v>13.52</v>
      </c>
      <c r="U11" s="45">
        <f>(1-ABS(S11-T11)/S11)*100</f>
        <v/>
      </c>
    </row>
    <row r="12">
      <c r="B12" s="41" t="inlineStr">
        <is>
          <t>07/08</t>
        </is>
      </c>
      <c r="C12" s="42" t="n">
        <v>6136</v>
      </c>
      <c r="D12" s="43" t="n">
        <v>2.81</v>
      </c>
      <c r="E12" s="44" t="n">
        <v>2.552</v>
      </c>
      <c r="F12" s="45">
        <f>(1-ABS(D12-E12)/D12)*100</f>
        <v/>
      </c>
      <c r="G12" s="44" t="n">
        <v>0.173</v>
      </c>
      <c r="H12" s="44" t="n">
        <v>0.165</v>
      </c>
      <c r="I12" s="45">
        <f>(1-ABS(G12-H12)/G12)*100</f>
        <v/>
      </c>
      <c r="J12" s="43" t="n">
        <v>1.13</v>
      </c>
      <c r="K12" s="44" t="n">
        <v>1.043</v>
      </c>
      <c r="L12" s="45">
        <f>(1-ABS(J12-K12)/J12)*100</f>
        <v/>
      </c>
      <c r="M12" s="43" t="n">
        <v>0.37</v>
      </c>
      <c r="N12" s="44" t="n">
        <v>0.275</v>
      </c>
      <c r="O12" s="45">
        <f>(1-ABS(M12-N12)/M12)*100</f>
        <v/>
      </c>
      <c r="P12" s="46" t="n"/>
      <c r="Q12" s="47" t="n">
        <v>0.641</v>
      </c>
      <c r="R12" s="43" t="n"/>
      <c r="S12" s="48" t="n">
        <v>15.6</v>
      </c>
      <c r="T12" s="46" t="n">
        <v>14.05</v>
      </c>
      <c r="U12" s="45">
        <f>(1-ABS(S12-T12)/S12)*100</f>
        <v/>
      </c>
    </row>
    <row r="13">
      <c r="B13" s="41" t="inlineStr">
        <is>
          <t>07/09A</t>
        </is>
      </c>
      <c r="C13" s="42" t="n">
        <v>8467</v>
      </c>
      <c r="D13" s="43" t="n">
        <v>2.71</v>
      </c>
      <c r="E13" s="44" t="n">
        <v>2.503</v>
      </c>
      <c r="F13" s="45">
        <f>(1-ABS(D13-E13)/D13)*100</f>
        <v/>
      </c>
      <c r="G13" s="44" t="n">
        <v>0.174</v>
      </c>
      <c r="H13" s="44" t="n">
        <v>0.163</v>
      </c>
      <c r="I13" s="45">
        <f>(1-ABS(G13-H13)/G13)*100</f>
        <v/>
      </c>
      <c r="J13" s="43" t="n">
        <v>1.06</v>
      </c>
      <c r="K13" s="44" t="n">
        <v>1.012</v>
      </c>
      <c r="L13" s="45">
        <f>(1-ABS(J13-K13)/J13)*100</f>
        <v/>
      </c>
      <c r="M13" s="43" t="n">
        <v>0.37</v>
      </c>
      <c r="N13" s="44" t="n">
        <v>0.277</v>
      </c>
      <c r="O13" s="45">
        <f>(1-ABS(M13-N13)/M13)*100</f>
        <v/>
      </c>
      <c r="P13" s="46" t="n"/>
      <c r="Q13" s="47" t="n">
        <v>0.641</v>
      </c>
      <c r="R13" s="43" t="n"/>
      <c r="S13" s="48" t="n">
        <v>18.6</v>
      </c>
      <c r="T13" s="46" t="n">
        <v>13.47</v>
      </c>
      <c r="U13" s="45">
        <f>(1-ABS(S13-T13)/S13)*100</f>
        <v/>
      </c>
    </row>
    <row r="14">
      <c r="B14" s="41" t="inlineStr">
        <is>
          <t>09/13</t>
        </is>
      </c>
      <c r="C14" s="42" t="n">
        <v>4273</v>
      </c>
      <c r="D14" s="43" t="n">
        <v>2.98</v>
      </c>
      <c r="E14" s="44" t="n">
        <v>2.517</v>
      </c>
      <c r="F14" s="45">
        <f>(1-ABS(D14-E14)/D14)*100</f>
        <v/>
      </c>
      <c r="G14" s="44" t="n">
        <v>0.175</v>
      </c>
      <c r="H14" s="44" t="n">
        <v>0.164</v>
      </c>
      <c r="I14" s="45">
        <f>(1-ABS(G14-H14)/G14)*100</f>
        <v/>
      </c>
      <c r="J14" s="43" t="n">
        <v>1.17</v>
      </c>
      <c r="K14" s="44" t="n">
        <v>1.02</v>
      </c>
      <c r="L14" s="45">
        <f>(1-ABS(J14-K14)/J14)*100</f>
        <v/>
      </c>
      <c r="M14" s="43" t="n">
        <v>0.36</v>
      </c>
      <c r="N14" s="44" t="n">
        <v>0.286</v>
      </c>
      <c r="O14" s="45">
        <f>(1-ABS(M14-N14)/M14)*100</f>
        <v/>
      </c>
      <c r="P14" s="46" t="n"/>
      <c r="Q14" s="47" t="n">
        <v>0.652</v>
      </c>
      <c r="R14" s="43" t="n"/>
      <c r="S14" s="48" t="n">
        <v>14.6</v>
      </c>
      <c r="T14" s="46" t="n">
        <v>13.03</v>
      </c>
      <c r="U14" s="45">
        <f>(1-ABS(S14-T14)/S14)*100</f>
        <v/>
      </c>
    </row>
    <row r="15">
      <c r="B15" s="41" t="inlineStr">
        <is>
          <t>09/14</t>
        </is>
      </c>
      <c r="C15" s="42" t="n">
        <v>3983</v>
      </c>
      <c r="D15" s="43" t="n">
        <v>2.93</v>
      </c>
      <c r="E15" s="44" t="n">
        <v>2.487</v>
      </c>
      <c r="F15" s="45">
        <f>(1-ABS(D15-E15)/D15)*100</f>
        <v/>
      </c>
      <c r="G15" s="44" t="n">
        <v>0.174</v>
      </c>
      <c r="H15" s="44" t="n">
        <v>0.162</v>
      </c>
      <c r="I15" s="45">
        <f>(1-ABS(G15-H15)/G15)*100</f>
        <v/>
      </c>
      <c r="J15" s="43" t="n">
        <v>1.2</v>
      </c>
      <c r="K15" s="44" t="n">
        <v>1.002</v>
      </c>
      <c r="L15" s="45">
        <f>(1-ABS(J15-K15)/J15)*100</f>
        <v/>
      </c>
      <c r="M15" s="43" t="n">
        <v>0.41</v>
      </c>
      <c r="N15" s="44" t="n">
        <v>0.288</v>
      </c>
      <c r="O15" s="45">
        <f>(1-ABS(M15-N15)/M15)*100</f>
        <v/>
      </c>
      <c r="P15" s="46" t="n"/>
      <c r="Q15" s="47" t="n">
        <v>0.646</v>
      </c>
      <c r="R15" s="43" t="n"/>
      <c r="S15" s="48" t="n">
        <v>17.6</v>
      </c>
      <c r="T15" s="46" t="n">
        <v>12.91</v>
      </c>
      <c r="U15" s="45">
        <f>(1-ABS(S15-T15)/S15)*100</f>
        <v/>
      </c>
    </row>
    <row r="16">
      <c r="B16" s="41" t="inlineStr">
        <is>
          <t>09/15</t>
        </is>
      </c>
      <c r="C16" s="42" t="n">
        <v>3433</v>
      </c>
      <c r="D16" s="43" t="n">
        <v>2.88</v>
      </c>
      <c r="E16" s="44" t="n">
        <v>2.532</v>
      </c>
      <c r="F16" s="45">
        <f>(1-ABS(D16-E16)/D16)*100</f>
        <v/>
      </c>
      <c r="G16" s="44" t="n">
        <v>0.181</v>
      </c>
      <c r="H16" s="44" t="n">
        <v>0.164</v>
      </c>
      <c r="I16" s="45">
        <f>(1-ABS(G16-H16)/G16)*100</f>
        <v/>
      </c>
      <c r="J16" s="43" t="n">
        <v>1.14</v>
      </c>
      <c r="K16" s="44" t="n">
        <v>1.022</v>
      </c>
      <c r="L16" s="45">
        <f>(1-ABS(J16-K16)/J16)*100</f>
        <v/>
      </c>
      <c r="M16" s="43" t="n">
        <v>0.38</v>
      </c>
      <c r="N16" s="44" t="n">
        <v>0.276</v>
      </c>
      <c r="O16" s="45">
        <f>(1-ABS(M16-N16)/M16)*100</f>
        <v/>
      </c>
      <c r="P16" s="46" t="n"/>
      <c r="Q16" s="47" t="n">
        <v>0.642</v>
      </c>
      <c r="R16" s="43" t="n"/>
      <c r="S16" s="48" t="n">
        <v>14.7</v>
      </c>
      <c r="T16" s="46" t="n">
        <v>13.96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09/16</t>
        </is>
      </c>
      <c r="C17" s="42" t="n">
        <v>3106</v>
      </c>
      <c r="D17" s="43" t="n">
        <v>2.82</v>
      </c>
      <c r="E17" s="44" t="n">
        <v>2.517</v>
      </c>
      <c r="F17" s="45">
        <f>(1-ABS(D17-E17)/D17)*100</f>
        <v/>
      </c>
      <c r="G17" s="44" t="n">
        <v>0.172</v>
      </c>
      <c r="H17" s="44" t="n">
        <v>0.164</v>
      </c>
      <c r="I17" s="45">
        <f>(1-ABS(G17-H17)/G17)*100</f>
        <v/>
      </c>
      <c r="J17" s="43" t="n">
        <v>1.04</v>
      </c>
      <c r="K17" s="44" t="n">
        <v>1.008</v>
      </c>
      <c r="L17" s="45">
        <f>(1-ABS(J17-K17)/J17)*100</f>
        <v/>
      </c>
      <c r="M17" s="43" t="n">
        <v>0.43</v>
      </c>
      <c r="N17" s="44" t="n">
        <v>0.268</v>
      </c>
      <c r="O17" s="45">
        <f>(1-ABS(M17-N17)/M17)*100</f>
        <v/>
      </c>
      <c r="P17" s="46" t="n"/>
      <c r="Q17" s="47" t="n">
        <v>0.638</v>
      </c>
      <c r="R17" s="43" t="n"/>
      <c r="S17" s="48" t="n">
        <v>17.4</v>
      </c>
      <c r="T17" s="46" t="n">
        <v>14.22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11/12</t>
        </is>
      </c>
      <c r="C18" s="42" t="n">
        <v>6031</v>
      </c>
      <c r="D18" s="43" t="n">
        <v>2.99</v>
      </c>
      <c r="E18" s="44" t="n">
        <v>2.537</v>
      </c>
      <c r="F18" s="45">
        <f>(1-ABS(D18-E18)/D18)*100</f>
        <v/>
      </c>
      <c r="G18" s="44" t="n">
        <v>0.182</v>
      </c>
      <c r="H18" s="44" t="n">
        <v>0.165</v>
      </c>
      <c r="I18" s="45">
        <f>(1-ABS(G18-H18)/G18)*100</f>
        <v/>
      </c>
      <c r="J18" s="43" t="n">
        <v>1.22</v>
      </c>
      <c r="K18" s="44" t="n">
        <v>1.022</v>
      </c>
      <c r="L18" s="45">
        <f>(1-ABS(J18-K18)/J18)*100</f>
        <v/>
      </c>
      <c r="M18" s="43" t="n">
        <v>0.36</v>
      </c>
      <c r="N18" s="44" t="n">
        <v>0.265</v>
      </c>
      <c r="O18" s="45">
        <f>(1-ABS(M18-N18)/M18)*100</f>
        <v/>
      </c>
      <c r="P18" s="46" t="n"/>
      <c r="Q18" s="47" t="n">
        <v>0.643</v>
      </c>
      <c r="R18" s="43" t="n"/>
      <c r="S18" s="48" t="n">
        <v>16.3</v>
      </c>
      <c r="T18" s="46" t="n">
        <v>14.22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11/13</t>
        </is>
      </c>
      <c r="C19" s="42" t="n">
        <v>5319</v>
      </c>
      <c r="D19" s="43" t="n">
        <v>2.83</v>
      </c>
      <c r="E19" s="44" t="n">
        <v>2.554</v>
      </c>
      <c r="F19" s="45">
        <f>(1-ABS(D19-E19)/D19)*100</f>
        <v/>
      </c>
      <c r="G19" s="44" t="n">
        <v>0.181</v>
      </c>
      <c r="H19" s="44" t="n">
        <v>0.164</v>
      </c>
      <c r="I19" s="45">
        <f>(1-ABS(G19-H19)/G19)*100</f>
        <v/>
      </c>
      <c r="J19" s="43" t="n">
        <v>1.13</v>
      </c>
      <c r="K19" s="44" t="n">
        <v>1.051</v>
      </c>
      <c r="L19" s="45">
        <f>(1-ABS(J19-K19)/J19)*100</f>
        <v/>
      </c>
      <c r="M19" s="43" t="n">
        <v>0.39</v>
      </c>
      <c r="N19" s="44" t="n">
        <v>0.272</v>
      </c>
      <c r="O19" s="45">
        <f>(1-ABS(M19-N19)/M19)*100</f>
        <v/>
      </c>
      <c r="P19" s="46" t="n"/>
      <c r="Q19" s="47" t="n">
        <v>0.635</v>
      </c>
      <c r="R19" s="43" t="n"/>
      <c r="S19" s="48" t="n">
        <v>16.5</v>
      </c>
      <c r="T19" s="46" t="n">
        <v>14.07</v>
      </c>
      <c r="U19" s="45">
        <f>(1-ABS(S19-T19)/S19)*100</f>
        <v/>
      </c>
    </row>
    <row r="20">
      <c r="B20" s="41" t="inlineStr">
        <is>
          <t>11/14</t>
        </is>
      </c>
      <c r="C20" s="42" t="n">
        <v>5232</v>
      </c>
      <c r="D20" s="43" t="n">
        <v>2.75</v>
      </c>
      <c r="E20" s="44" t="n">
        <v>2.548</v>
      </c>
      <c r="F20" s="45">
        <f>(1-ABS(D20-E20)/D20)*100</f>
        <v/>
      </c>
      <c r="G20" s="44" t="n">
        <v>0.17</v>
      </c>
      <c r="H20" s="44" t="n">
        <v>0.164</v>
      </c>
      <c r="I20" s="45">
        <f>(1-ABS(G20-H20)/G20)*100</f>
        <v/>
      </c>
      <c r="J20" s="43" t="n">
        <v>1.11</v>
      </c>
      <c r="K20" s="44" t="n">
        <v>1.053</v>
      </c>
      <c r="L20" s="45">
        <f>(1-ABS(J20-K20)/J20)*100</f>
        <v/>
      </c>
      <c r="M20" s="43" t="n">
        <v>0.38</v>
      </c>
      <c r="N20" s="44" t="n">
        <v>0.257</v>
      </c>
      <c r="O20" s="45">
        <f>(1-ABS(M20-N20)/M20)*100</f>
        <v/>
      </c>
      <c r="P20" s="46" t="n"/>
      <c r="Q20" s="47" t="n">
        <v>0.633</v>
      </c>
      <c r="R20" s="43" t="n"/>
      <c r="S20" s="48" t="n">
        <v>15.1</v>
      </c>
      <c r="T20" s="46" t="n">
        <v>14.23</v>
      </c>
      <c r="U20" s="45">
        <f>(1-ABS(S20-T20)/S20)*100</f>
        <v/>
      </c>
    </row>
    <row r="21">
      <c r="B21" s="41" t="inlineStr">
        <is>
          <t>11/15</t>
        </is>
      </c>
      <c r="C21" s="42" t="n">
        <v>2638</v>
      </c>
      <c r="D21" s="43" t="n">
        <v>2.74</v>
      </c>
      <c r="E21" s="44" t="n">
        <v>2.549</v>
      </c>
      <c r="F21" s="45">
        <f>(1-ABS(D21-E21)/D21)*100</f>
        <v/>
      </c>
      <c r="G21" s="44" t="n">
        <v>0.176</v>
      </c>
      <c r="H21" s="44" t="n">
        <v>0.165</v>
      </c>
      <c r="I21" s="45">
        <f>(1-ABS(G21-H21)/G21)*100</f>
        <v/>
      </c>
      <c r="J21" s="43" t="n">
        <v>1.14</v>
      </c>
      <c r="K21" s="44" t="n">
        <v>1.05</v>
      </c>
      <c r="L21" s="45">
        <f>(1-ABS(J21-K21)/J21)*100</f>
        <v/>
      </c>
      <c r="M21" s="43" t="n">
        <v>0.37</v>
      </c>
      <c r="N21" s="44" t="n">
        <v>0.27</v>
      </c>
      <c r="O21" s="45">
        <f>(1-ABS(M21-N21)/M21)*100</f>
        <v/>
      </c>
      <c r="P21" s="46" t="n"/>
      <c r="Q21" s="47" t="n">
        <v>0.645</v>
      </c>
      <c r="R21" s="43" t="n"/>
      <c r="S21" s="48" t="n">
        <v>15.3</v>
      </c>
      <c r="T21" s="46" t="n">
        <v>13.75</v>
      </c>
      <c r="U21" s="45">
        <f>(1-ABS(S21-T21)/S21)*100</f>
        <v/>
      </c>
    </row>
    <row r="22">
      <c r="B22" s="41" t="inlineStr">
        <is>
          <t>11/16</t>
        </is>
      </c>
      <c r="C22" s="42" t="n">
        <v>6510</v>
      </c>
      <c r="D22" s="43" t="n">
        <v>2.86</v>
      </c>
      <c r="E22" s="44" t="n">
        <v>2.546</v>
      </c>
      <c r="F22" s="45">
        <f>(1-ABS(D22-E22)/D22)*100</f>
        <v/>
      </c>
      <c r="G22" s="44" t="n">
        <v>0.179</v>
      </c>
      <c r="H22" s="44" t="n">
        <v>0.164</v>
      </c>
      <c r="I22" s="45">
        <f>(1-ABS(G22-H22)/G22)*100</f>
        <v/>
      </c>
      <c r="J22" s="43" t="n">
        <v>1.17</v>
      </c>
      <c r="K22" s="44" t="n">
        <v>1.038</v>
      </c>
      <c r="L22" s="45">
        <f>(1-ABS(J22-K22)/J22)*100</f>
        <v/>
      </c>
      <c r="M22" s="43" t="n">
        <v>0.42</v>
      </c>
      <c r="N22" s="44" t="n">
        <v>0.273</v>
      </c>
      <c r="O22" s="45">
        <f>(1-ABS(M22-N22)/M22)*100</f>
        <v/>
      </c>
      <c r="P22" s="46" t="n"/>
      <c r="Q22" s="47" t="n">
        <v>0.643</v>
      </c>
      <c r="R22" s="43" t="n"/>
      <c r="S22" s="48" t="n">
        <v>16.2</v>
      </c>
      <c r="T22" s="46" t="n">
        <v>13.91</v>
      </c>
      <c r="U22" s="45">
        <f>(1-ABS(S22-T22)/S22)*100</f>
        <v/>
      </c>
    </row>
    <row r="23">
      <c r="B23" s="41" t="inlineStr">
        <is>
          <t>11/17</t>
        </is>
      </c>
      <c r="C23" s="42" t="n">
        <v>5009</v>
      </c>
      <c r="D23" s="43" t="n">
        <v>2.56</v>
      </c>
      <c r="E23" s="44" t="n">
        <v>2.542</v>
      </c>
      <c r="F23" s="45">
        <f>(1-ABS(D23-E23)/D23)*100</f>
        <v/>
      </c>
      <c r="G23" s="44" t="n">
        <v>0.161</v>
      </c>
      <c r="H23" s="44" t="n">
        <v>0.163</v>
      </c>
      <c r="I23" s="45">
        <f>(1-ABS(G23-H23)/G23)*100</f>
        <v/>
      </c>
      <c r="J23" s="43" t="n">
        <v>1.05</v>
      </c>
      <c r="K23" s="44" t="n">
        <v>1.056</v>
      </c>
      <c r="L23" s="45">
        <f>(1-ABS(J23-K23)/J23)*100</f>
        <v/>
      </c>
      <c r="M23" s="43" t="n">
        <v>0.39</v>
      </c>
      <c r="N23" s="44" t="n">
        <v>0.246</v>
      </c>
      <c r="O23" s="45">
        <f>(1-ABS(M23-N23)/M23)*100</f>
        <v/>
      </c>
      <c r="P23" s="46" t="n"/>
      <c r="Q23" s="47" t="n">
        <v>0.631</v>
      </c>
      <c r="R23" s="43" t="n"/>
      <c r="S23" s="48" t="n">
        <v>15.1</v>
      </c>
      <c r="T23" s="46" t="n">
        <v>14.25</v>
      </c>
      <c r="U23" s="45">
        <f>(1-ABS(S23-T23)/S23)*100</f>
        <v/>
      </c>
    </row>
    <row r="24">
      <c r="B24" s="41" t="inlineStr">
        <is>
          <t>11/18</t>
        </is>
      </c>
      <c r="C24" s="42" t="n">
        <v>3457</v>
      </c>
      <c r="D24" s="43" t="n">
        <v>2.97</v>
      </c>
      <c r="E24" s="44" t="n">
        <v>2.541</v>
      </c>
      <c r="F24" s="45">
        <f>(1-ABS(D24-E24)/D24)*100</f>
        <v/>
      </c>
      <c r="G24" s="44" t="n">
        <v>0.18</v>
      </c>
      <c r="H24" s="44" t="n">
        <v>0.164</v>
      </c>
      <c r="I24" s="45">
        <f>(1-ABS(G24-H24)/G24)*100</f>
        <v/>
      </c>
      <c r="J24" s="43" t="n">
        <v>1.19</v>
      </c>
      <c r="K24" s="44" t="n">
        <v>1.032</v>
      </c>
      <c r="L24" s="45">
        <f>(1-ABS(J24-K24)/J24)*100</f>
        <v/>
      </c>
      <c r="M24" s="43" t="n">
        <v>0.35</v>
      </c>
      <c r="N24" s="44" t="n">
        <v>0.249</v>
      </c>
      <c r="O24" s="45">
        <f>(1-ABS(M24-N24)/M24)*100</f>
        <v/>
      </c>
      <c r="P24" s="46" t="n"/>
      <c r="Q24" s="47" t="n">
        <v>0.635</v>
      </c>
      <c r="R24" s="43" t="n"/>
      <c r="S24" s="48" t="n">
        <v>15.8</v>
      </c>
      <c r="T24" s="46" t="n">
        <v>14.64</v>
      </c>
      <c r="U24" s="45">
        <f>(1-ABS(S24-T24)/S24)*100</f>
        <v/>
      </c>
    </row>
    <row r="25">
      <c r="B25" s="41" t="inlineStr">
        <is>
          <t>11/19</t>
        </is>
      </c>
      <c r="C25" s="42" t="n">
        <v>2597</v>
      </c>
      <c r="D25" s="43" t="n">
        <v>2.78</v>
      </c>
      <c r="E25" s="44" t="n">
        <v>2.498</v>
      </c>
      <c r="F25" s="45">
        <f>(1-ABS(D25-E25)/D25)*100</f>
        <v/>
      </c>
      <c r="G25" s="44" t="n">
        <v>0.167</v>
      </c>
      <c r="H25" s="44" t="n">
        <v>0.161</v>
      </c>
      <c r="I25" s="45">
        <f>(1-ABS(G25-H25)/G25)*100</f>
        <v/>
      </c>
      <c r="J25" s="43" t="n">
        <v>1.11</v>
      </c>
      <c r="K25" s="44" t="n">
        <v>1.017</v>
      </c>
      <c r="L25" s="45">
        <f>(1-ABS(J25-K25)/J25)*100</f>
        <v/>
      </c>
      <c r="M25" s="43" t="n">
        <v>0.38</v>
      </c>
      <c r="N25" s="44" t="n">
        <v>0.254</v>
      </c>
      <c r="O25" s="45">
        <f>(1-ABS(M25-N25)/M25)*100</f>
        <v/>
      </c>
      <c r="P25" s="46" t="n"/>
      <c r="Q25" s="47" t="n">
        <v>0.632</v>
      </c>
      <c r="R25" s="43" t="n"/>
      <c r="S25" s="48" t="n">
        <v>16.1</v>
      </c>
      <c r="T25" s="46" t="n">
        <v>13.68</v>
      </c>
      <c r="U25" s="45">
        <f>(1-ABS(S25-T25)/S25)*100</f>
        <v/>
      </c>
    </row>
    <row r="26">
      <c r="B26" s="41" t="inlineStr">
        <is>
          <t>11/20</t>
        </is>
      </c>
      <c r="C26" s="42" t="n">
        <v>1930</v>
      </c>
      <c r="D26" s="43" t="n">
        <v>2.8</v>
      </c>
      <c r="E26" s="44" t="n">
        <v>2.249</v>
      </c>
      <c r="F26" s="45">
        <f>(1-ABS(D26-E26)/D26)*100</f>
        <v/>
      </c>
      <c r="G26" s="44" t="n">
        <v>0.162</v>
      </c>
      <c r="H26" s="44" t="n">
        <v>0.142</v>
      </c>
      <c r="I26" s="45">
        <f>(1-ABS(G26-H26)/G26)*100</f>
        <v/>
      </c>
      <c r="J26" s="43" t="n">
        <v>1.05</v>
      </c>
      <c r="K26" s="44" t="n">
        <v>0.918</v>
      </c>
      <c r="L26" s="45">
        <f>(1-ABS(J26-K26)/J26)*100</f>
        <v/>
      </c>
      <c r="M26" s="43" t="n">
        <v>0.37</v>
      </c>
      <c r="N26" s="44" t="n">
        <v>0.257</v>
      </c>
      <c r="O26" s="45">
        <f>(1-ABS(M26-N26)/M26)*100</f>
        <v/>
      </c>
      <c r="P26" s="46" t="n"/>
      <c r="Q26" s="47" t="n">
        <v>0.573</v>
      </c>
      <c r="R26" s="43" t="n"/>
      <c r="S26" s="48" t="n">
        <v>14.7</v>
      </c>
      <c r="T26" s="46" t="n">
        <v>10.96</v>
      </c>
      <c r="U26" s="45">
        <f>(1-ABS(S26-T26)/S26)*100</f>
        <v/>
      </c>
    </row>
    <row r="27">
      <c r="B27" s="41" t="inlineStr">
        <is>
          <t>11/21A</t>
        </is>
      </c>
      <c r="C27" s="42" t="n">
        <v>2740</v>
      </c>
      <c r="D27" s="43" t="n">
        <v>2.81</v>
      </c>
      <c r="E27" s="44" t="n">
        <v>2.489</v>
      </c>
      <c r="F27" s="45">
        <f>(1-ABS(D27-E27)/D27)*100</f>
        <v/>
      </c>
      <c r="G27" s="44" t="n">
        <v>0.173</v>
      </c>
      <c r="H27" s="44" t="n">
        <v>0.162</v>
      </c>
      <c r="I27" s="45">
        <f>(1-ABS(G27-H27)/G27)*100</f>
        <v/>
      </c>
      <c r="J27" s="43" t="n">
        <v>1.12</v>
      </c>
      <c r="K27" s="44" t="n">
        <v>0.996</v>
      </c>
      <c r="L27" s="45">
        <f>(1-ABS(J27-K27)/J27)*100</f>
        <v/>
      </c>
      <c r="M27" s="43" t="n">
        <v>0.36</v>
      </c>
      <c r="N27" s="44" t="n">
        <v>0.273</v>
      </c>
      <c r="O27" s="45">
        <f>(1-ABS(M27-N27)/M27)*100</f>
        <v/>
      </c>
      <c r="P27" s="46" t="n"/>
      <c r="Q27" s="47" t="n">
        <v>0.638</v>
      </c>
      <c r="R27" s="43" t="n"/>
      <c r="S27" s="48" t="n">
        <v>16.8</v>
      </c>
      <c r="T27" s="46" t="n">
        <v>13.72</v>
      </c>
      <c r="U27" s="45">
        <f>(1-ABS(S27-T27)/S27)*100</f>
        <v/>
      </c>
    </row>
    <row r="28" ht="35" customHeight="1">
      <c r="A28" s="49" t="inlineStr">
        <is>
          <t>AVG ACCURACY</t>
        </is>
      </c>
      <c r="F28" s="50">
        <f>AVERAGE(F7:F27)</f>
        <v/>
      </c>
      <c r="I28" s="50">
        <f>AVERAGE(I7:I27)</f>
        <v/>
      </c>
      <c r="L28" s="50">
        <f>AVERAGE(L7:L27)</f>
        <v/>
      </c>
      <c r="O28" s="51">
        <f>AVERAGE(O7:O27)</f>
        <v/>
      </c>
      <c r="R28" s="52" t="inlineStr">
        <is>
          <t>-</t>
        </is>
      </c>
      <c r="U28" s="50">
        <f>AVERAGE(U7:U27)</f>
        <v/>
      </c>
    </row>
    <row r="29" ht="40" customHeight="1">
      <c r="A29" s="53" t="inlineStr">
        <is>
          <t>Best result closer to 0</t>
        </is>
      </c>
      <c r="B29" s="41" t="inlineStr">
        <is>
          <t>R^2 (Coefficient of determination)</t>
        </is>
      </c>
      <c r="C29" s="54" t="n"/>
      <c r="D29" s="55">
        <f>RSQ(E7:E27, D7:D27)</f>
        <v/>
      </c>
      <c r="E29" s="56" t="n"/>
      <c r="F29" s="54" t="n"/>
      <c r="G29" s="55">
        <f>RSQ(H7:H27, G7:G27)</f>
        <v/>
      </c>
      <c r="H29" s="56" t="n"/>
      <c r="I29" s="54" t="n"/>
      <c r="J29" s="55">
        <f>RSQ(K7:K27, J7:J27)</f>
        <v/>
      </c>
      <c r="K29" s="56" t="n"/>
      <c r="L29" s="54" t="n"/>
      <c r="M29" s="55">
        <f>RSQ(N7:N27, M7:M27)</f>
        <v/>
      </c>
      <c r="N29" s="56" t="n"/>
      <c r="O29" s="54" t="n"/>
      <c r="P29" s="57" t="inlineStr">
        <is>
          <t>-</t>
        </is>
      </c>
      <c r="Q29" s="56" t="n"/>
      <c r="R29" s="54" t="n"/>
      <c r="S29" s="57">
        <f>RSQ(T7:T27, S7:S27)</f>
        <v/>
      </c>
      <c r="T29" s="56" t="n"/>
      <c r="U29" s="54" t="n"/>
    </row>
    <row r="30" ht="39" customHeight="1">
      <c r="A30" s="53" t="inlineStr">
        <is>
          <t>Best result closer to 1</t>
        </is>
      </c>
      <c r="B30" s="41" t="inlineStr">
        <is>
          <t>MAE (Average size of prediction errors)</t>
        </is>
      </c>
      <c r="C30" s="54" t="n"/>
      <c r="D30" s="55">
        <f>SUMPRODUCT(ABS(D7:D27-E7:E27))/COUNT(D7:D27)</f>
        <v/>
      </c>
      <c r="E30" s="56" t="n"/>
      <c r="F30" s="54" t="n"/>
      <c r="G30" s="55">
        <f>SUMPRODUCT(ABS(G7:G27-H7:H27))/COUNT(G7:G27)</f>
        <v/>
      </c>
      <c r="H30" s="56" t="n"/>
      <c r="I30" s="54" t="n"/>
      <c r="J30" s="55">
        <f>SUMPRODUCT(ABS(J7:J27-K7:K27))/COUNT(J7:J27)</f>
        <v/>
      </c>
      <c r="K30" s="56" t="n"/>
      <c r="L30" s="54" t="n"/>
      <c r="M30" s="55">
        <f>SUMPRODUCT(ABS(M7:M27-N7:N27))/COUNT(M7:M27)</f>
        <v/>
      </c>
      <c r="N30" s="56" t="n"/>
      <c r="O30" s="54" t="n"/>
      <c r="P30" s="57" t="inlineStr">
        <is>
          <t>-</t>
        </is>
      </c>
      <c r="Q30" s="56" t="n"/>
      <c r="R30" s="54" t="n"/>
      <c r="S30" s="57">
        <f>SUMPRODUCT(ABS(S7:S27-T7:T27))/COUNT(S7:S27)</f>
        <v/>
      </c>
      <c r="T30" s="56" t="n"/>
      <c r="U30" s="54" t="n"/>
    </row>
    <row r="31" ht="66" customHeight="1">
      <c r="A31" s="53" t="inlineStr">
        <is>
          <t>Best result closer to 1</t>
        </is>
      </c>
      <c r="B31" s="41" t="inlineStr">
        <is>
          <t>RMSE (Prediction error, with larger mistakes penalised more)</t>
        </is>
      </c>
      <c r="C31" s="54" t="n"/>
      <c r="D31" s="55">
        <f>SQRT(SUMXMY2(D7:D27, E7:E27)/COUNT(D7:D27))</f>
        <v/>
      </c>
      <c r="E31" s="56" t="n"/>
      <c r="F31" s="54" t="n"/>
      <c r="G31" s="55">
        <f>SQRT(SUMXMY2(G7:G27, H7:H27)/COUNT(G7:G27))</f>
        <v/>
      </c>
      <c r="H31" s="56" t="n"/>
      <c r="I31" s="54" t="n"/>
      <c r="J31" s="55">
        <f>SQRT(SUMXMY2(J7:J27, K7:K27)/COUNT(J7:J27))</f>
        <v/>
      </c>
      <c r="K31" s="56" t="n"/>
      <c r="L31" s="54" t="n"/>
      <c r="M31" s="55">
        <f>SQRT(SUMXMY2(M7:M27, N7:N27)/COUNT(M7:M27))</f>
        <v/>
      </c>
      <c r="N31" s="56" t="n"/>
      <c r="O31" s="54" t="n"/>
      <c r="P31" s="57" t="inlineStr">
        <is>
          <t>-</t>
        </is>
      </c>
      <c r="Q31" s="56" t="n"/>
      <c r="R31" s="54" t="n"/>
      <c r="S31" s="57">
        <f>SQRT(SUMXMY2(S7:S27, T7:T27)/COUNT(S7:S27))</f>
        <v/>
      </c>
      <c r="T31" s="56" t="n"/>
      <c r="U31" s="54" t="n"/>
    </row>
  </sheetData>
  <mergeCells count="31">
    <mergeCell ref="B4:O4"/>
    <mergeCell ref="M31:O31"/>
    <mergeCell ref="B31:C31"/>
    <mergeCell ref="G30:I30"/>
    <mergeCell ref="M30:O30"/>
    <mergeCell ref="G5:I5"/>
    <mergeCell ref="J31:L31"/>
    <mergeCell ref="S30:U30"/>
    <mergeCell ref="D30:F30"/>
    <mergeCell ref="G29:I29"/>
    <mergeCell ref="M29:O29"/>
    <mergeCell ref="S29:U29"/>
    <mergeCell ref="P30:R30"/>
    <mergeCell ref="S5:U5"/>
    <mergeCell ref="D29:F29"/>
    <mergeCell ref="D5:F5"/>
    <mergeCell ref="B29:C29"/>
    <mergeCell ref="P5:R5"/>
    <mergeCell ref="G31:I31"/>
    <mergeCell ref="S31:U31"/>
    <mergeCell ref="B5:B6"/>
    <mergeCell ref="P4:U4"/>
    <mergeCell ref="J29:L29"/>
    <mergeCell ref="P29:R29"/>
    <mergeCell ref="J5:L5"/>
    <mergeCell ref="B30:C30"/>
    <mergeCell ref="D31:F31"/>
    <mergeCell ref="M5:O5"/>
    <mergeCell ref="P31:R31"/>
    <mergeCell ref="J30:L30"/>
    <mergeCell ref="C5:C6"/>
  </mergeCells>
  <conditionalFormatting sqref="F7:F27 I7:I27 L7:L27 O7:O27 U7:U27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2026-10-15T07:49:03Z</dcterms:modified>
  <cp:lastModifiedBy>Siti Aisyah Jaafar</cp:lastModifiedBy>
</cp:coreProperties>
</file>