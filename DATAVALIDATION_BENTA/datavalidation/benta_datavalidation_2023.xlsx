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gathis" sheetId="2" state="visible" r:id="rId2"/>
    <sheet xmlns:r="http://schemas.openxmlformats.org/officeDocument/2006/relationships" name="Belian" sheetId="3" state="visible" r:id="rId3"/>
    <sheet xmlns:r="http://schemas.openxmlformats.org/officeDocument/2006/relationships" name="Binuang" sheetId="4" state="visible" r:id="rId4"/>
    <sheet xmlns:r="http://schemas.openxmlformats.org/officeDocument/2006/relationships" name="Gaharu" sheetId="5" state="visible" r:id="rId5"/>
    <sheet xmlns:r="http://schemas.openxmlformats.org/officeDocument/2006/relationships" name="Kapur" sheetId="6" state="visible" r:id="rId6"/>
    <sheet xmlns:r="http://schemas.openxmlformats.org/officeDocument/2006/relationships" name="Keruing" sheetId="7" state="visible" r:id="rId7"/>
    <sheet xmlns:r="http://schemas.openxmlformats.org/officeDocument/2006/relationships" name="Menggaris" sheetId="8" state="visible" r:id="rId8"/>
    <sheet xmlns:r="http://schemas.openxmlformats.org/officeDocument/2006/relationships" name="Merbau" sheetId="9" state="visible" r:id="rId9"/>
    <sheet xmlns:r="http://schemas.openxmlformats.org/officeDocument/2006/relationships" name="Ramin" sheetId="10" state="visible" r:id="rId10"/>
    <sheet xmlns:r="http://schemas.openxmlformats.org/officeDocument/2006/relationships" name="Selangan Batu" sheetId="11" state="visible" r:id="rId11"/>
    <sheet xmlns:r="http://schemas.openxmlformats.org/officeDocument/2006/relationships" name="Seray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11">
    <font>
      <name val="Calibri"/>
      <family val="2"/>
      <color theme="1"/>
      <sz val="11"/>
      <scheme val="minor"/>
    </font>
    <font>
      <name val="Aptos Narrow"/>
      <b val="1"/>
      <color rgb="001F4E78"/>
      <sz val="16"/>
    </font>
    <font>
      <name val="Aptos Narrow"/>
      <i val="1"/>
      <color rgb="00595959"/>
      <sz val="11"/>
    </font>
    <font>
      <name val="Aptos Narrow"/>
      <b val="1"/>
      <color rgb="00FFFFFF"/>
      <sz val="12"/>
    </font>
    <font>
      <name val="Aptos Narrow"/>
      <b val="1"/>
      <sz val="11"/>
    </font>
    <font>
      <name val="Aptos Narrow"/>
      <sz val="11"/>
    </font>
    <font>
      <name val="Aptos Narrow"/>
      <family val="2"/>
      <color theme="1"/>
      <sz val="12"/>
      <scheme val="minor"/>
    </font>
    <font>
      <name val="Aptos Narrow"/>
      <family val="2"/>
      <color theme="1"/>
      <sz val="20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18"/>
      <scheme val="minor"/>
    </font>
    <font>
      <name val="Aptos Narrow"/>
      <sz val="12"/>
    </font>
  </fonts>
  <fills count="10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rgb="FFFFFF00"/>
      </patternFill>
    </fill>
  </fills>
  <borders count="2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000000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2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3" fontId="4" fillId="0" borderId="2" applyAlignment="1" pivotButton="0" quotePrefix="0" xfId="0">
      <alignment horizontal="center" vertical="center"/>
    </xf>
    <xf numFmtId="2" fontId="4" fillId="4" borderId="2" applyAlignment="1" pivotButton="0" quotePrefix="0" xfId="0">
      <alignment horizontal="center" vertical="center"/>
    </xf>
    <xf numFmtId="2" fontId="4" fillId="0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0" borderId="6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5" borderId="3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6" fillId="0" borderId="3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center" vertical="center" wrapText="1"/>
    </xf>
    <xf numFmtId="0" fontId="6" fillId="7" borderId="3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2" fontId="6" fillId="3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0" fontId="6" fillId="8" borderId="3" applyAlignment="1" pivotButton="0" quotePrefix="0" xfId="0">
      <alignment horizontal="center" vertical="center" wrapText="1"/>
    </xf>
    <xf numFmtId="0" fontId="10" fillId="8" borderId="3" applyAlignment="1" pivotButton="0" quotePrefix="0" xfId="0">
      <alignment horizontal="center" vertical="center"/>
    </xf>
    <xf numFmtId="2" fontId="10" fillId="4" borderId="1" applyAlignment="1" pivotButton="0" quotePrefix="0" xfId="0">
      <alignment horizontal="center" vertical="center"/>
    </xf>
    <xf numFmtId="2" fontId="10" fillId="0" borderId="1" applyAlignment="1" pivotButton="0" quotePrefix="0" xfId="0">
      <alignment horizontal="center" vertical="center"/>
    </xf>
    <xf numFmtId="2" fontId="10" fillId="9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0" fillId="0" borderId="9" pivotButton="0" quotePrefix="0" xfId="0"/>
    <xf numFmtId="166" fontId="6" fillId="0" borderId="1" applyAlignment="1" pivotButton="0" quotePrefix="0" xfId="0">
      <alignment horizontal="center" vertical="center"/>
    </xf>
    <xf numFmtId="0" fontId="0" fillId="0" borderId="10" pivotButton="0" quotePrefix="0" xfId="0"/>
    <xf numFmtId="166" fontId="6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6" fillId="5" borderId="7" applyAlignment="1" pivotButton="0" quotePrefix="0" xfId="0">
      <alignment horizontal="center" vertical="center" wrapText="1"/>
    </xf>
    <xf numFmtId="0" fontId="6" fillId="5" borderId="17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8" borderId="14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6" fillId="5" borderId="19" applyAlignment="1" pivotButton="0" quotePrefix="0" xfId="0">
      <alignment horizontal="center" vertical="center" wrapText="1"/>
    </xf>
    <xf numFmtId="0" fontId="6" fillId="5" borderId="13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center" vertical="center" wrapText="1"/>
    </xf>
    <xf numFmtId="0" fontId="6" fillId="8" borderId="20" applyAlignment="1" pivotButton="0" quotePrefix="0" xfId="0">
      <alignment horizontal="center" vertical="center" wrapText="1"/>
    </xf>
    <xf numFmtId="0" fontId="6" fillId="5" borderId="15" applyAlignment="1" pivotButton="0" quotePrefix="0" xfId="0">
      <alignment horizontal="center" vertical="center" wrapText="1"/>
    </xf>
    <xf numFmtId="0" fontId="6" fillId="8" borderId="2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ont>
        <name val="Aptos Narrow"/>
        <color rgb="FF7F6000"/>
        <sz val="11"/>
      </font>
      <fill>
        <patternFill patternType="solid">
          <fgColor rgb="FFFFF2CC"/>
          <bgColor rgb="FFFFF2CC"/>
        </patternFill>
      </fill>
    </dxf>
    <dxf>
      <font>
        <name val="Aptos Narrow"/>
        <color rgb="FF7F6000"/>
        <sz val="12"/>
      </font>
      <fill>
        <patternFill patternType="solid">
          <fgColor rgb="FFFFF2CC"/>
          <bgColor rgb="FF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5" customWidth="1" min="4" max="4"/>
    <col width="15" customWidth="1" min="5" max="5"/>
    <col width="16" customWidth="1" min="6" max="6"/>
    <col width="16" customWidth="1" min="7" max="7"/>
    <col width="15" customWidth="1" min="8" max="8"/>
  </cols>
  <sheetData>
    <row r="1" ht="25" customHeight="1">
      <c r="A1" s="1" t="inlineStr">
        <is>
          <t>BENTA ESTATE NUTRIENT VALIDATION SUMMARY - 2023</t>
        </is>
      </c>
    </row>
    <row r="2" ht="18" customHeight="1">
      <c r="A2" s="2" t="inlineStr">
        <is>
          <t>Comparison between Sentinel-2 Random Forest Predictions (training_v3) and Laboratory Actuals (LSU)</t>
        </is>
      </c>
    </row>
    <row r="3" ht="10" customHeight="1"/>
    <row r="4" ht="28" customHeight="1">
      <c r="A4" s="3" t="inlineStr">
        <is>
          <t>Estate</t>
        </is>
      </c>
      <c r="B4" s="3" t="inlineStr">
        <is>
          <t>Samples</t>
        </is>
      </c>
      <c r="C4" s="3" t="inlineStr">
        <is>
          <t>Mean N (%)</t>
        </is>
      </c>
      <c r="D4" s="3" t="inlineStr">
        <is>
          <t>Mean P (%)</t>
        </is>
      </c>
      <c r="E4" s="3" t="inlineStr">
        <is>
          <t>Mean K (%)</t>
        </is>
      </c>
      <c r="F4" s="3" t="inlineStr">
        <is>
          <t>Mean Mg (%)</t>
        </is>
      </c>
      <c r="G4" s="3" t="inlineStr">
        <is>
          <t>Mean Ca (%)</t>
        </is>
      </c>
      <c r="H4" s="3" t="inlineStr">
        <is>
          <t>Mean B (%)</t>
        </is>
      </c>
    </row>
    <row r="5" ht="22" customHeight="1">
      <c r="A5" s="4" t="inlineStr">
        <is>
          <t>Agathis</t>
        </is>
      </c>
      <c r="B5" s="5" t="n">
        <v>12</v>
      </c>
      <c r="C5" s="6" t="n">
        <v>95.17</v>
      </c>
      <c r="D5" s="6" t="n">
        <v>96.53</v>
      </c>
      <c r="E5" s="6" t="n">
        <v>84.12</v>
      </c>
      <c r="F5" s="6" t="n">
        <v>95.02</v>
      </c>
      <c r="G5" s="7" t="inlineStr">
        <is>
          <t>-</t>
        </is>
      </c>
      <c r="H5" s="6" t="n">
        <v>67.69</v>
      </c>
    </row>
    <row r="6" ht="22" customHeight="1">
      <c r="A6" s="4" t="inlineStr">
        <is>
          <t>Belian</t>
        </is>
      </c>
      <c r="B6" s="5" t="n">
        <v>13</v>
      </c>
      <c r="C6" s="6" t="n">
        <v>90.70999999999999</v>
      </c>
      <c r="D6" s="6" t="n">
        <v>92.41</v>
      </c>
      <c r="E6" s="6" t="n">
        <v>87.86</v>
      </c>
      <c r="F6" s="6" t="n">
        <v>90.44</v>
      </c>
      <c r="G6" s="7" t="inlineStr">
        <is>
          <t>-</t>
        </is>
      </c>
      <c r="H6" s="6" t="n">
        <v>70.2</v>
      </c>
    </row>
    <row r="7" ht="22" customHeight="1">
      <c r="A7" s="4" t="inlineStr">
        <is>
          <t>Binuang</t>
        </is>
      </c>
      <c r="B7" s="5" t="n">
        <v>10</v>
      </c>
      <c r="C7" s="6" t="n">
        <v>90.16</v>
      </c>
      <c r="D7" s="6" t="n">
        <v>92.61</v>
      </c>
      <c r="E7" s="6" t="n">
        <v>85.73999999999999</v>
      </c>
      <c r="F7" s="6" t="n">
        <v>89.95999999999999</v>
      </c>
      <c r="G7" s="7" t="inlineStr">
        <is>
          <t>-</t>
        </is>
      </c>
      <c r="H7" s="6" t="n">
        <v>74.54000000000001</v>
      </c>
    </row>
    <row r="8" ht="22" customHeight="1">
      <c r="A8" s="4" t="inlineStr">
        <is>
          <t>Gaharu</t>
        </is>
      </c>
      <c r="B8" s="5" t="n">
        <v>12</v>
      </c>
      <c r="C8" s="6" t="n">
        <v>91.48</v>
      </c>
      <c r="D8" s="6" t="n">
        <v>95.95999999999999</v>
      </c>
      <c r="E8" s="6" t="n">
        <v>93.78</v>
      </c>
      <c r="F8" s="6" t="n">
        <v>90.37</v>
      </c>
      <c r="G8" s="7" t="inlineStr">
        <is>
          <t>-</t>
        </is>
      </c>
      <c r="H8" s="6" t="n">
        <v>91.2</v>
      </c>
    </row>
    <row r="9" ht="22" customHeight="1">
      <c r="A9" s="4" t="inlineStr">
        <is>
          <t>Kapur</t>
        </is>
      </c>
      <c r="B9" s="5" t="n">
        <v>10</v>
      </c>
      <c r="C9" s="6" t="n">
        <v>90.62</v>
      </c>
      <c r="D9" s="6" t="n">
        <v>95.02</v>
      </c>
      <c r="E9" s="6" t="n">
        <v>91.56</v>
      </c>
      <c r="F9" s="6" t="n">
        <v>87.04000000000001</v>
      </c>
      <c r="G9" s="7" t="inlineStr">
        <is>
          <t>-</t>
        </is>
      </c>
      <c r="H9" s="6" t="n">
        <v>85.84999999999999</v>
      </c>
    </row>
    <row r="10" ht="22" customHeight="1">
      <c r="A10" s="4" t="inlineStr">
        <is>
          <t>Keruing</t>
        </is>
      </c>
      <c r="B10" s="5" t="n">
        <v>9</v>
      </c>
      <c r="C10" s="6" t="n">
        <v>92.87</v>
      </c>
      <c r="D10" s="6" t="n">
        <v>97.36</v>
      </c>
      <c r="E10" s="6" t="n">
        <v>91.95999999999999</v>
      </c>
      <c r="F10" s="6" t="n">
        <v>83.39</v>
      </c>
      <c r="G10" s="7" t="inlineStr">
        <is>
          <t>-</t>
        </is>
      </c>
      <c r="H10" s="6" t="n">
        <v>83.27</v>
      </c>
    </row>
    <row r="11" ht="22" customHeight="1">
      <c r="A11" s="4" t="inlineStr">
        <is>
          <t>Menggaris</t>
        </is>
      </c>
      <c r="B11" s="5" t="n">
        <v>15</v>
      </c>
      <c r="C11" s="6" t="n">
        <v>97.33</v>
      </c>
      <c r="D11" s="6" t="n">
        <v>94.05</v>
      </c>
      <c r="E11" s="6" t="n">
        <v>91.73</v>
      </c>
      <c r="F11" s="6" t="n">
        <v>85.51000000000001</v>
      </c>
      <c r="G11" s="7" t="inlineStr">
        <is>
          <t>-</t>
        </is>
      </c>
      <c r="H11" s="6" t="n">
        <v>88.06</v>
      </c>
    </row>
    <row r="12" ht="22" customHeight="1">
      <c r="A12" s="4" t="inlineStr">
        <is>
          <t>Merbau</t>
        </is>
      </c>
      <c r="B12" s="5" t="n">
        <v>9</v>
      </c>
      <c r="C12" s="6" t="n">
        <v>94.67</v>
      </c>
      <c r="D12" s="6" t="n">
        <v>94.2</v>
      </c>
      <c r="E12" s="6" t="n">
        <v>92.84</v>
      </c>
      <c r="F12" s="6" t="n">
        <v>77.45</v>
      </c>
      <c r="G12" s="7" t="inlineStr">
        <is>
          <t>-</t>
        </is>
      </c>
      <c r="H12" s="6" t="n">
        <v>91.8</v>
      </c>
    </row>
    <row r="13" ht="22" customHeight="1">
      <c r="A13" s="4" t="inlineStr">
        <is>
          <t>Ramin</t>
        </is>
      </c>
      <c r="B13" s="5" t="n">
        <v>9</v>
      </c>
      <c r="C13" s="6" t="n">
        <v>91.68000000000001</v>
      </c>
      <c r="D13" s="6" t="n">
        <v>92.53</v>
      </c>
      <c r="E13" s="6" t="n">
        <v>85.83</v>
      </c>
      <c r="F13" s="6" t="n">
        <v>81.65000000000001</v>
      </c>
      <c r="G13" s="7" t="inlineStr">
        <is>
          <t>-</t>
        </is>
      </c>
      <c r="H13" s="6" t="n">
        <v>80.26000000000001</v>
      </c>
    </row>
    <row r="14" ht="22" customHeight="1">
      <c r="A14" s="4" t="inlineStr">
        <is>
          <t>Selangan Batu</t>
        </is>
      </c>
      <c r="B14" s="5" t="n">
        <v>0</v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</row>
    <row r="15" ht="22" customHeight="1">
      <c r="A15" s="4" t="inlineStr">
        <is>
          <t>Seraya</t>
        </is>
      </c>
      <c r="B15" s="5" t="n">
        <v>8</v>
      </c>
      <c r="C15" s="6" t="n">
        <v>95.56999999999999</v>
      </c>
      <c r="D15" s="6" t="n">
        <v>96.41</v>
      </c>
      <c r="E15" s="6" t="n">
        <v>85.06999999999999</v>
      </c>
      <c r="F15" s="6" t="n">
        <v>91.93000000000001</v>
      </c>
      <c r="G15" s="7" t="inlineStr">
        <is>
          <t>-</t>
        </is>
      </c>
      <c r="H15" s="6" t="n">
        <v>73.05</v>
      </c>
    </row>
    <row r="16" ht="26" customHeight="1">
      <c r="A16" s="8" t="inlineStr">
        <is>
          <t>Mean (%)</t>
        </is>
      </c>
      <c r="B16" s="9">
        <f>SUM(B5:B15)</f>
        <v/>
      </c>
      <c r="C16" s="10">
        <f>AVERAGE(C5:C15)</f>
        <v/>
      </c>
      <c r="D16" s="10">
        <f>AVERAGE(D5:D15)</f>
        <v/>
      </c>
      <c r="E16" s="10">
        <f>AVERAGE(E5:E15)</f>
        <v/>
      </c>
      <c r="F16" s="10">
        <f>AVERAGE(F5:F15)</f>
        <v/>
      </c>
      <c r="G16" s="11" t="inlineStr">
        <is>
          <t>-</t>
        </is>
      </c>
      <c r="H16" s="10">
        <f>AVERAGE(H5:H15)</f>
        <v/>
      </c>
    </row>
  </sheetData>
  <conditionalFormatting sqref="C5:H16">
    <cfRule type="cellIs" priority="1" operator="lessThanOrEqual" dxfId="0">
      <formula>80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2"/>
  <sheetViews>
    <sheetView showGridLines="1" workbookViewId="0">
      <selection activeCell="A1" sqref="A1"/>
    </sheetView>
  </sheetViews>
  <sheetFormatPr baseColWidth="8" defaultRowHeight="15"/>
  <cols>
    <col width="10.83203125" customWidth="1" min="1" max="1"/>
  </cols>
  <sheetData>
    <row r="1"/>
    <row r="2"/>
    <row r="3"/>
    <row r="4">
      <c r="B4" s="12" t="n"/>
      <c r="P4" s="13" t="inlineStr">
        <is>
          <t>On-going Research for Ca and B Models</t>
        </is>
      </c>
      <c r="Q4" s="14" t="n"/>
      <c r="R4" s="14" t="n"/>
      <c r="S4" s="14" t="n"/>
      <c r="T4" s="14" t="n"/>
      <c r="U4" s="15" t="n"/>
    </row>
    <row r="5" ht="34" customHeight="1">
      <c r="B5" s="16" t="inlineStr">
        <is>
          <t>Plot</t>
        </is>
      </c>
      <c r="C5" s="17" t="inlineStr">
        <is>
          <t>Pixels sampled</t>
        </is>
      </c>
      <c r="D5" s="18" t="inlineStr">
        <is>
          <t>N</t>
        </is>
      </c>
      <c r="E5" s="14" t="n"/>
      <c r="F5" s="15" t="n"/>
      <c r="G5" s="18" t="inlineStr">
        <is>
          <t>P (%)</t>
        </is>
      </c>
      <c r="H5" s="14" t="n"/>
      <c r="I5" s="15" t="n"/>
      <c r="J5" s="18" t="inlineStr">
        <is>
          <t>K (%)</t>
        </is>
      </c>
      <c r="K5" s="14" t="n"/>
      <c r="L5" s="15" t="n"/>
      <c r="M5" s="18" t="inlineStr">
        <is>
          <t>Mg (%)</t>
        </is>
      </c>
      <c r="N5" s="14" t="n"/>
      <c r="O5" s="15" t="n"/>
      <c r="P5" s="19" t="inlineStr">
        <is>
          <t>Ca (%)</t>
        </is>
      </c>
      <c r="Q5" s="14" t="n"/>
      <c r="R5" s="15" t="n"/>
      <c r="S5" s="19" t="inlineStr">
        <is>
          <t>B (%)</t>
        </is>
      </c>
      <c r="T5" s="14" t="n"/>
      <c r="U5" s="15" t="n"/>
    </row>
    <row r="6" ht="34" customHeight="1">
      <c r="B6" s="20" t="n"/>
      <c r="C6" s="21" t="n"/>
      <c r="D6" s="22" t="inlineStr">
        <is>
          <t>Lab Actual (%)</t>
        </is>
      </c>
      <c r="E6" s="23" t="inlineStr">
        <is>
          <t>Prediction (%)</t>
        </is>
      </c>
      <c r="F6" s="24" t="inlineStr">
        <is>
          <t>Accuracy (%)</t>
        </is>
      </c>
      <c r="G6" s="22" t="inlineStr">
        <is>
          <t>Lab Actual (%)</t>
        </is>
      </c>
      <c r="H6" s="23" t="inlineStr">
        <is>
          <t>Prediction (%)</t>
        </is>
      </c>
      <c r="I6" s="24" t="inlineStr">
        <is>
          <t>Accuracy (%)</t>
        </is>
      </c>
      <c r="J6" s="22" t="inlineStr">
        <is>
          <t>Lab Actual (%)</t>
        </is>
      </c>
      <c r="K6" s="23" t="inlineStr">
        <is>
          <t>Prediction (%)</t>
        </is>
      </c>
      <c r="L6" s="24" t="inlineStr">
        <is>
          <t>Accuracy (%)</t>
        </is>
      </c>
      <c r="M6" s="22" t="inlineStr">
        <is>
          <t>Lab Actual (%)</t>
        </is>
      </c>
      <c r="N6" s="23" t="inlineStr">
        <is>
          <t>Prediction (%)</t>
        </is>
      </c>
      <c r="O6" s="24" t="inlineStr">
        <is>
          <t>Accuracy (%)</t>
        </is>
      </c>
      <c r="P6" s="13" t="inlineStr">
        <is>
          <t>Lab Actual (%)</t>
        </is>
      </c>
      <c r="Q6" s="13" t="inlineStr">
        <is>
          <t>Prediction (%)</t>
        </is>
      </c>
      <c r="R6" s="24" t="inlineStr">
        <is>
          <t>Accuracy (%)</t>
        </is>
      </c>
      <c r="S6" s="13" t="inlineStr">
        <is>
          <t>Lab Actual (%)</t>
        </is>
      </c>
      <c r="T6" s="13" t="inlineStr">
        <is>
          <t>Prediction (%)</t>
        </is>
      </c>
      <c r="U6" s="24" t="inlineStr">
        <is>
          <t>Accuracy (%)</t>
        </is>
      </c>
    </row>
    <row r="7">
      <c r="B7" s="25" t="inlineStr">
        <is>
          <t>08/19</t>
        </is>
      </c>
      <c r="C7" s="26" t="n">
        <v>4312</v>
      </c>
      <c r="D7" s="27" t="n">
        <v>2.56</v>
      </c>
      <c r="E7" s="28" t="n">
        <v>2.513</v>
      </c>
      <c r="F7" s="29">
        <f>(1-ABS(D7-E7)/D7)*100</f>
        <v/>
      </c>
      <c r="G7" s="28" t="n">
        <v>0.163</v>
      </c>
      <c r="H7" s="28" t="n">
        <v>0.163</v>
      </c>
      <c r="I7" s="29">
        <f>(1-ABS(G7-H7)/G7)*100</f>
        <v/>
      </c>
      <c r="J7" s="27" t="n">
        <v>0.8100000000000001</v>
      </c>
      <c r="K7" s="28" t="n">
        <v>1.012</v>
      </c>
      <c r="L7" s="29">
        <f>(1-ABS(J7-K7)/J7)*100</f>
        <v/>
      </c>
      <c r="M7" s="27" t="n">
        <v>0.29</v>
      </c>
      <c r="N7" s="28" t="n">
        <v>0.29</v>
      </c>
      <c r="O7" s="29">
        <f>(1-ABS(M7-N7)/M7)*100</f>
        <v/>
      </c>
      <c r="P7" s="30" t="n"/>
      <c r="Q7" s="31" t="n">
        <v>0.661</v>
      </c>
      <c r="R7" s="27" t="n"/>
      <c r="S7" s="32" t="n">
        <v>19</v>
      </c>
      <c r="T7" s="30" t="n">
        <v>12.04</v>
      </c>
      <c r="U7" s="29">
        <f>(1-ABS(S7-T7)/S7)*100</f>
        <v/>
      </c>
    </row>
    <row r="8">
      <c r="B8" s="25" t="inlineStr">
        <is>
          <t>09/11</t>
        </is>
      </c>
      <c r="C8" s="26" t="n">
        <v>5528</v>
      </c>
      <c r="D8" s="27" t="n">
        <v>2.55</v>
      </c>
      <c r="E8" s="28" t="n">
        <v>2.457</v>
      </c>
      <c r="F8" s="29">
        <f>(1-ABS(D8-E8)/D8)*100</f>
        <v/>
      </c>
      <c r="G8" s="28" t="n">
        <v>0.172</v>
      </c>
      <c r="H8" s="28" t="n">
        <v>0.159</v>
      </c>
      <c r="I8" s="29">
        <f>(1-ABS(G8-H8)/G8)*100</f>
        <v/>
      </c>
      <c r="J8" s="27" t="n">
        <v>0.95</v>
      </c>
      <c r="K8" s="28" t="n">
        <v>0.987</v>
      </c>
      <c r="L8" s="29">
        <f>(1-ABS(J8-K8)/J8)*100</f>
        <v/>
      </c>
      <c r="M8" s="27" t="n">
        <v>0.29</v>
      </c>
      <c r="N8" s="28" t="n">
        <v>0.285</v>
      </c>
      <c r="O8" s="29">
        <f>(1-ABS(M8-N8)/M8)*100</f>
        <v/>
      </c>
      <c r="P8" s="30" t="n"/>
      <c r="Q8" s="31" t="n">
        <v>0.661</v>
      </c>
      <c r="R8" s="27" t="n"/>
      <c r="S8" s="32" t="n">
        <v>16</v>
      </c>
      <c r="T8" s="30" t="n">
        <v>11.53</v>
      </c>
      <c r="U8" s="29">
        <f>(1-ABS(S8-T8)/S8)*100</f>
        <v/>
      </c>
    </row>
    <row r="9">
      <c r="B9" s="25" t="inlineStr">
        <is>
          <t>09/12</t>
        </is>
      </c>
      <c r="C9" s="26" t="n">
        <v>4382</v>
      </c>
      <c r="D9" s="27" t="n">
        <v>2.62</v>
      </c>
      <c r="E9" s="28" t="n">
        <v>2.539</v>
      </c>
      <c r="F9" s="29">
        <f>(1-ABS(D9-E9)/D9)*100</f>
        <v/>
      </c>
      <c r="G9" s="28" t="n">
        <v>0.164</v>
      </c>
      <c r="H9" s="28" t="n">
        <v>0.164</v>
      </c>
      <c r="I9" s="29">
        <f>(1-ABS(G9-H9)/G9)*100</f>
        <v/>
      </c>
      <c r="J9" s="27" t="n">
        <v>0.8100000000000001</v>
      </c>
      <c r="K9" s="28" t="n">
        <v>1.014</v>
      </c>
      <c r="L9" s="29">
        <f>(1-ABS(J9-K9)/J9)*100</f>
        <v/>
      </c>
      <c r="M9" s="27" t="n">
        <v>0.29</v>
      </c>
      <c r="N9" s="28" t="n">
        <v>0.292</v>
      </c>
      <c r="O9" s="29">
        <f>(1-ABS(M9-N9)/M9)*100</f>
        <v/>
      </c>
      <c r="P9" s="30" t="n"/>
      <c r="Q9" s="31" t="n">
        <v>0.678</v>
      </c>
      <c r="R9" s="27" t="n"/>
      <c r="S9" s="32" t="n">
        <v>19</v>
      </c>
      <c r="T9" s="30" t="n">
        <v>12.04</v>
      </c>
      <c r="U9" s="29">
        <f>(1-ABS(S9-T9)/S9)*100</f>
        <v/>
      </c>
    </row>
    <row r="10">
      <c r="B10" s="25" t="inlineStr">
        <is>
          <t>09/24</t>
        </is>
      </c>
      <c r="C10" s="26" t="n">
        <v>4424</v>
      </c>
      <c r="D10" s="27" t="n">
        <v>2.62</v>
      </c>
      <c r="E10" s="28" t="n">
        <v>2.443</v>
      </c>
      <c r="F10" s="29">
        <f>(1-ABS(D10-E10)/D10)*100</f>
        <v/>
      </c>
      <c r="G10" s="28" t="n">
        <v>0.171</v>
      </c>
      <c r="H10" s="28" t="n">
        <v>0.161</v>
      </c>
      <c r="I10" s="29">
        <f>(1-ABS(G10-H10)/G10)*100</f>
        <v/>
      </c>
      <c r="J10" s="27" t="n">
        <v>0.89</v>
      </c>
      <c r="K10" s="28" t="n">
        <v>1</v>
      </c>
      <c r="L10" s="29">
        <f>(1-ABS(J10-K10)/J10)*100</f>
        <v/>
      </c>
      <c r="M10" s="27" t="n">
        <v>0.31</v>
      </c>
      <c r="N10" s="28" t="n">
        <v>0.299</v>
      </c>
      <c r="O10" s="29">
        <f>(1-ABS(M10-N10)/M10)*100</f>
        <v/>
      </c>
      <c r="P10" s="30" t="n"/>
      <c r="Q10" s="31" t="n">
        <v>0.669</v>
      </c>
      <c r="R10" s="27" t="n"/>
      <c r="S10" s="32" t="n">
        <v>19</v>
      </c>
      <c r="T10" s="30" t="n">
        <v>11.53</v>
      </c>
      <c r="U10" s="29">
        <f>(1-ABS(S10-T10)/S10)*100</f>
        <v/>
      </c>
    </row>
    <row r="11">
      <c r="B11" s="25" t="inlineStr">
        <is>
          <t>10/7</t>
        </is>
      </c>
      <c r="C11" s="26" t="n">
        <v>5043</v>
      </c>
      <c r="D11" s="27" t="n">
        <v>2.56</v>
      </c>
      <c r="E11" s="28" t="n">
        <v>2.484</v>
      </c>
      <c r="F11" s="29">
        <f>(1-ABS(D11-E11)/D11)*100</f>
        <v/>
      </c>
      <c r="G11" s="28" t="n">
        <v>0.163</v>
      </c>
      <c r="H11" s="28" t="n">
        <v>0.162</v>
      </c>
      <c r="I11" s="29">
        <f>(1-ABS(G11-H11)/G11)*100</f>
        <v/>
      </c>
      <c r="J11" s="27" t="n">
        <v>0.8</v>
      </c>
      <c r="K11" s="28" t="n">
        <v>1.003</v>
      </c>
      <c r="L11" s="29">
        <f>(1-ABS(J11-K11)/J11)*100</f>
        <v/>
      </c>
      <c r="M11" s="27" t="n">
        <v>0.3</v>
      </c>
      <c r="N11" s="28" t="n">
        <v>0.296</v>
      </c>
      <c r="O11" s="29">
        <f>(1-ABS(M11-N11)/M11)*100</f>
        <v/>
      </c>
      <c r="P11" s="30" t="n"/>
      <c r="Q11" s="31" t="n">
        <v>0.67</v>
      </c>
      <c r="R11" s="27" t="n"/>
      <c r="S11" s="32" t="n">
        <v>19</v>
      </c>
      <c r="T11" s="30" t="n">
        <v>12.25</v>
      </c>
      <c r="U11" s="29">
        <f>(1-ABS(S11-T11)/S11)*100</f>
        <v/>
      </c>
    </row>
    <row r="12">
      <c r="B12" s="25" t="inlineStr">
        <is>
          <t>10/8</t>
        </is>
      </c>
      <c r="C12" s="26" t="n">
        <v>5171</v>
      </c>
      <c r="D12" s="27" t="n">
        <v>2.7</v>
      </c>
      <c r="E12" s="28" t="n">
        <v>2.484</v>
      </c>
      <c r="F12" s="29">
        <f>(1-ABS(D12-E12)/D12)*100</f>
        <v/>
      </c>
      <c r="G12" s="28" t="n">
        <v>0.171</v>
      </c>
      <c r="H12" s="28" t="n">
        <v>0.161</v>
      </c>
      <c r="I12" s="29">
        <f>(1-ABS(G12-H12)/G12)*100</f>
        <v/>
      </c>
      <c r="J12" s="27" t="n">
        <v>0.93</v>
      </c>
      <c r="K12" s="28" t="n">
        <v>1.008</v>
      </c>
      <c r="L12" s="29">
        <f>(1-ABS(J12-K12)/J12)*100</f>
        <v/>
      </c>
      <c r="M12" s="27" t="n">
        <v>0.31</v>
      </c>
      <c r="N12" s="28" t="n">
        <v>0.29</v>
      </c>
      <c r="O12" s="29">
        <f>(1-ABS(M12-N12)/M12)*100</f>
        <v/>
      </c>
      <c r="P12" s="30" t="n"/>
      <c r="Q12" s="31" t="n">
        <v>0.66</v>
      </c>
      <c r="R12" s="27" t="n"/>
      <c r="S12" s="32" t="n">
        <v>18</v>
      </c>
      <c r="T12" s="30" t="n">
        <v>12.12</v>
      </c>
      <c r="U12" s="29">
        <f>(1-ABS(S12-T12)/S12)*100</f>
        <v/>
      </c>
    </row>
    <row r="13">
      <c r="B13" s="25" t="inlineStr">
        <is>
          <t>10/9</t>
        </is>
      </c>
      <c r="C13" s="26" t="n">
        <v>4462</v>
      </c>
      <c r="D13" s="27" t="n">
        <v>2.55</v>
      </c>
      <c r="E13" s="28" t="n">
        <v>2.545</v>
      </c>
      <c r="F13" s="29">
        <f>(1-ABS(D13-E13)/D13)*100</f>
        <v/>
      </c>
      <c r="G13" s="28" t="n">
        <v>0.162</v>
      </c>
      <c r="H13" s="28" t="n">
        <v>0.163</v>
      </c>
      <c r="I13" s="29">
        <f>(1-ABS(G13-H13)/G13)*100</f>
        <v/>
      </c>
      <c r="J13" s="27" t="n">
        <v>0.8</v>
      </c>
      <c r="K13" s="28" t="n">
        <v>1.035</v>
      </c>
      <c r="L13" s="29">
        <f>(1-ABS(J13-K13)/J13)*100</f>
        <v/>
      </c>
      <c r="M13" s="27" t="n">
        <v>0.29</v>
      </c>
      <c r="N13" s="28" t="n">
        <v>0.264</v>
      </c>
      <c r="O13" s="29">
        <f>(1-ABS(M13-N13)/M13)*100</f>
        <v/>
      </c>
      <c r="P13" s="30" t="n"/>
      <c r="Q13" s="31" t="n">
        <v>0.642</v>
      </c>
      <c r="R13" s="27" t="n"/>
      <c r="S13" s="32" t="n">
        <v>19</v>
      </c>
      <c r="T13" s="30" t="n">
        <v>13.54</v>
      </c>
      <c r="U13" s="29">
        <f>(1-ABS(S13-T13)/S13)*100</f>
        <v/>
      </c>
    </row>
    <row r="14">
      <c r="B14" s="25" t="inlineStr">
        <is>
          <t>11/14</t>
        </is>
      </c>
      <c r="C14" s="26" t="n">
        <v>4565</v>
      </c>
      <c r="D14" s="27" t="n">
        <v>2.64</v>
      </c>
      <c r="E14" s="28" t="n">
        <v>2.514</v>
      </c>
      <c r="F14" s="29">
        <f>(1-ABS(D14-E14)/D14)*100</f>
        <v/>
      </c>
      <c r="G14" s="28" t="n">
        <v>0.17</v>
      </c>
      <c r="H14" s="28" t="n">
        <v>0.163</v>
      </c>
      <c r="I14" s="29">
        <f>(1-ABS(G14-H14)/G14)*100</f>
        <v/>
      </c>
      <c r="J14" s="27" t="n">
        <v>0.97</v>
      </c>
      <c r="K14" s="28" t="n">
        <v>1.01</v>
      </c>
      <c r="L14" s="29">
        <f>(1-ABS(J14-K14)/J14)*100</f>
        <v/>
      </c>
      <c r="M14" s="27" t="n">
        <v>0.31</v>
      </c>
      <c r="N14" s="28" t="n">
        <v>0.273</v>
      </c>
      <c r="O14" s="29">
        <f>(1-ABS(M14-N14)/M14)*100</f>
        <v/>
      </c>
      <c r="P14" s="30" t="n"/>
      <c r="Q14" s="31" t="n">
        <v>0.649</v>
      </c>
      <c r="R14" s="27" t="n"/>
      <c r="S14" s="32" t="n">
        <v>17</v>
      </c>
      <c r="T14" s="30" t="n">
        <v>13.36</v>
      </c>
      <c r="U14" s="29">
        <f>(1-ABS(S14-T14)/S14)*100</f>
        <v/>
      </c>
    </row>
    <row r="15">
      <c r="B15" s="25" t="inlineStr">
        <is>
          <t>12/33</t>
        </is>
      </c>
      <c r="C15" s="26" t="n">
        <v>5844</v>
      </c>
      <c r="D15" s="27" t="n">
        <v>2.58</v>
      </c>
      <c r="E15" s="28" t="n">
        <v>2.244</v>
      </c>
      <c r="F15" s="29">
        <f>(1-ABS(D15-E15)/D15)*100</f>
        <v/>
      </c>
      <c r="G15" s="28" t="n">
        <v>0.163</v>
      </c>
      <c r="H15" s="28" t="n">
        <v>0.147</v>
      </c>
      <c r="I15" s="29">
        <f>(1-ABS(G15-H15)/G15)*100</f>
        <v/>
      </c>
      <c r="J15" s="27" t="n">
        <v>0.8</v>
      </c>
      <c r="K15" s="28" t="n">
        <v>0.896</v>
      </c>
      <c r="L15" s="29">
        <f>(1-ABS(J15-K15)/J15)*100</f>
        <v/>
      </c>
      <c r="M15" s="27" t="n">
        <v>0.3</v>
      </c>
      <c r="N15" s="28" t="n">
        <v>0.29</v>
      </c>
      <c r="O15" s="29">
        <f>(1-ABS(M15-N15)/M15)*100</f>
        <v/>
      </c>
      <c r="P15" s="30" t="n"/>
      <c r="Q15" s="31" t="n">
        <v>0.629</v>
      </c>
      <c r="R15" s="27" t="n"/>
      <c r="S15" s="32" t="n">
        <v>19</v>
      </c>
      <c r="T15" s="30" t="n">
        <v>9.83</v>
      </c>
      <c r="U15" s="29">
        <f>(1-ABS(S15-T15)/S15)*100</f>
        <v/>
      </c>
    </row>
    <row r="16">
      <c r="B16" s="25" t="inlineStr">
        <is>
          <t>12/34</t>
        </is>
      </c>
      <c r="C16" s="26" t="n">
        <v>4073</v>
      </c>
      <c r="D16" s="27" t="n">
        <v>2.58</v>
      </c>
      <c r="E16" s="28" t="n">
        <v>2.462</v>
      </c>
      <c r="F16" s="29">
        <f>(1-ABS(D16-E16)/D16)*100</f>
        <v/>
      </c>
      <c r="G16" s="28" t="n">
        <v>0.157</v>
      </c>
      <c r="H16" s="28" t="n">
        <v>0.158</v>
      </c>
      <c r="I16" s="29">
        <f>(1-ABS(G16-H16)/G16)*100</f>
        <v/>
      </c>
      <c r="J16" s="27" t="n">
        <v>0.8</v>
      </c>
      <c r="K16" s="28" t="n">
        <v>1.001</v>
      </c>
      <c r="L16" s="29">
        <f>(1-ABS(J16-K16)/J16)*100</f>
        <v/>
      </c>
      <c r="M16" s="27" t="n">
        <v>0.3</v>
      </c>
      <c r="N16" s="28" t="n">
        <v>0.288</v>
      </c>
      <c r="O16" s="29">
        <f>(1-ABS(M16-N16)/M16)*100</f>
        <v/>
      </c>
      <c r="P16" s="30" t="n"/>
      <c r="Q16" s="31" t="n">
        <v>0.628</v>
      </c>
      <c r="R16" s="27" t="n"/>
      <c r="S16" s="32" t="n">
        <v>19</v>
      </c>
      <c r="T16" s="30" t="n">
        <v>12.53</v>
      </c>
      <c r="U16" s="29">
        <f>(1-ABS(S16-T16)/S16)*100</f>
        <v/>
      </c>
    </row>
    <row r="17" ht="40" customHeight="1">
      <c r="A17" s="33" t="inlineStr">
        <is>
          <t>Best result closer to 1</t>
        </is>
      </c>
      <c r="B17" s="25" t="inlineStr">
        <is>
          <t>12/35</t>
        </is>
      </c>
      <c r="C17" s="26" t="n">
        <v>4179</v>
      </c>
      <c r="D17" s="27" t="n">
        <v>2.65</v>
      </c>
      <c r="E17" s="28" t="n">
        <v>2.51</v>
      </c>
      <c r="F17" s="29">
        <f>(1-ABS(D17-E17)/D17)*100</f>
        <v/>
      </c>
      <c r="G17" s="28" t="n">
        <v>0.167</v>
      </c>
      <c r="H17" s="28" t="n">
        <v>0.16</v>
      </c>
      <c r="I17" s="29">
        <f>(1-ABS(G17-H17)/G17)*100</f>
        <v/>
      </c>
      <c r="J17" s="27" t="n">
        <v>0.93</v>
      </c>
      <c r="K17" s="28" t="n">
        <v>1.023</v>
      </c>
      <c r="L17" s="29">
        <f>(1-ABS(J17-K17)/J17)*100</f>
        <v/>
      </c>
      <c r="M17" s="27" t="n">
        <v>0.28</v>
      </c>
      <c r="N17" s="28" t="n">
        <v>0.291</v>
      </c>
      <c r="O17" s="29">
        <f>(1-ABS(M17-N17)/M17)*100</f>
        <v/>
      </c>
      <c r="P17" s="30" t="n"/>
      <c r="Q17" s="31" t="n">
        <v>0.642</v>
      </c>
      <c r="R17" s="27" t="n"/>
      <c r="S17" s="32" t="n">
        <v>17</v>
      </c>
      <c r="T17" s="30" t="n">
        <v>12.89</v>
      </c>
      <c r="U17" s="29">
        <f>(1-ABS(S17-T17)/S17)*100</f>
        <v/>
      </c>
    </row>
    <row r="18" ht="39" customHeight="1">
      <c r="A18" s="33" t="inlineStr">
        <is>
          <t>Best result closer to 0</t>
        </is>
      </c>
      <c r="B18" s="25" t="inlineStr">
        <is>
          <t>12/36</t>
        </is>
      </c>
      <c r="C18" s="26" t="n">
        <v>6184</v>
      </c>
      <c r="D18" s="27" t="n">
        <v>2.65</v>
      </c>
      <c r="E18" s="28" t="n">
        <v>2.548</v>
      </c>
      <c r="F18" s="29">
        <f>(1-ABS(D18-E18)/D18)*100</f>
        <v/>
      </c>
      <c r="G18" s="28" t="n">
        <v>0.169</v>
      </c>
      <c r="H18" s="28" t="n">
        <v>0.165</v>
      </c>
      <c r="I18" s="29">
        <f>(1-ABS(G18-H18)/G18)*100</f>
        <v/>
      </c>
      <c r="J18" s="27" t="n">
        <v>0.93</v>
      </c>
      <c r="K18" s="28" t="n">
        <v>1.021</v>
      </c>
      <c r="L18" s="29">
        <f>(1-ABS(J18-K18)/J18)*100</f>
        <v/>
      </c>
      <c r="M18" s="27" t="n">
        <v>0.31</v>
      </c>
      <c r="N18" s="28" t="n">
        <v>0.267</v>
      </c>
      <c r="O18" s="29">
        <f>(1-ABS(M18-N18)/M18)*100</f>
        <v/>
      </c>
      <c r="P18" s="30" t="n"/>
      <c r="Q18" s="31" t="n">
        <v>0.651</v>
      </c>
      <c r="R18" s="27" t="n"/>
      <c r="S18" s="32" t="n">
        <v>18</v>
      </c>
      <c r="T18" s="30" t="n">
        <v>13.98</v>
      </c>
      <c r="U18" s="29">
        <f>(1-ABS(S18-T18)/S18)*100</f>
        <v/>
      </c>
    </row>
    <row r="19" ht="35" customHeight="1">
      <c r="A19" s="34" t="inlineStr">
        <is>
          <t>AVG ACCURACY</t>
        </is>
      </c>
      <c r="B19" s="22" t="inlineStr">
        <is>
          <t>RMSE (Prediction error, with larger mistakes penalised more)</t>
        </is>
      </c>
      <c r="D19" s="22" t="n"/>
      <c r="F19" s="35">
        <f>AVERAGE(F7:F18)</f>
        <v/>
      </c>
      <c r="G19" s="22" t="n"/>
      <c r="I19" s="35">
        <f>AVERAGE(I7:I18)</f>
        <v/>
      </c>
      <c r="J19" s="22" t="n"/>
      <c r="L19" s="35">
        <f>AVERAGE(L7:L18)</f>
        <v/>
      </c>
      <c r="M19" s="22" t="n"/>
      <c r="O19" s="35">
        <f>AVERAGE(O7:O18)</f>
        <v/>
      </c>
      <c r="P19" s="13" t="n"/>
      <c r="R19" s="36" t="inlineStr">
        <is>
          <t>-</t>
        </is>
      </c>
      <c r="S19" s="13" t="n"/>
      <c r="U19" s="37">
        <f>AVERAGE(U7:U18)</f>
        <v/>
      </c>
    </row>
    <row r="20" ht="40" customHeight="1">
      <c r="A20" s="38" t="inlineStr">
        <is>
          <t>Best result closer to 0</t>
        </is>
      </c>
      <c r="B20" s="25" t="inlineStr">
        <is>
          <t>R^2 (Coefficient of determination)</t>
        </is>
      </c>
      <c r="C20" s="39" t="n"/>
      <c r="D20" s="40">
        <f>RSQ(E7:E18, D7:D18)</f>
        <v/>
      </c>
      <c r="E20" s="41" t="n"/>
      <c r="F20" s="39" t="n"/>
      <c r="G20" s="40">
        <f>RSQ(H7:H18, G7:G18)</f>
        <v/>
      </c>
      <c r="H20" s="41" t="n"/>
      <c r="I20" s="39" t="n"/>
      <c r="J20" s="40">
        <f>RSQ(K7:K18, J7:J18)</f>
        <v/>
      </c>
      <c r="K20" s="41" t="n"/>
      <c r="L20" s="39" t="n"/>
      <c r="M20" s="40">
        <f>RSQ(N7:N18, M7:M18)</f>
        <v/>
      </c>
      <c r="N20" s="41" t="n"/>
      <c r="O20" s="39" t="n"/>
      <c r="P20" s="42" t="inlineStr">
        <is>
          <t>-</t>
        </is>
      </c>
      <c r="Q20" s="41" t="n"/>
      <c r="R20" s="39" t="n"/>
      <c r="S20" s="42">
        <f>RSQ(T7:T18, S7:S18)</f>
        <v/>
      </c>
      <c r="T20" s="41" t="n"/>
      <c r="U20" s="39" t="n"/>
    </row>
    <row r="21" ht="39" customHeight="1">
      <c r="A21" s="38" t="inlineStr">
        <is>
          <t>Best result closer to 1</t>
        </is>
      </c>
      <c r="B21" s="25" t="inlineStr">
        <is>
          <t>MAE (Average size of prediction errors)</t>
        </is>
      </c>
      <c r="C21" s="39" t="n"/>
      <c r="D21" s="40">
        <f>SUMPRODUCT(ABS(D7:D18-E7:E18))/COUNT(D7:D18)</f>
        <v/>
      </c>
      <c r="E21" s="41" t="n"/>
      <c r="F21" s="39" t="n"/>
      <c r="G21" s="40">
        <f>SUMPRODUCT(ABS(G7:G18-H7:H18))/COUNT(G7:G18)</f>
        <v/>
      </c>
      <c r="H21" s="41" t="n"/>
      <c r="I21" s="39" t="n"/>
      <c r="J21" s="40">
        <f>SUMPRODUCT(ABS(J7:J18-K7:K18))/COUNT(J7:J18)</f>
        <v/>
      </c>
      <c r="K21" s="41" t="n"/>
      <c r="L21" s="39" t="n"/>
      <c r="M21" s="40">
        <f>SUMPRODUCT(ABS(M7:M18-N7:N18))/COUNT(M7:M18)</f>
        <v/>
      </c>
      <c r="N21" s="41" t="n"/>
      <c r="O21" s="39" t="n"/>
      <c r="P21" s="42" t="inlineStr">
        <is>
          <t>-</t>
        </is>
      </c>
      <c r="Q21" s="41" t="n"/>
      <c r="R21" s="39" t="n"/>
      <c r="S21" s="42">
        <f>SUMPRODUCT(ABS(S7:S18-T7:T18))/COUNT(S7:S18)</f>
        <v/>
      </c>
      <c r="T21" s="41" t="n"/>
      <c r="U21" s="39" t="n"/>
    </row>
    <row r="22" ht="66" customHeight="1">
      <c r="A22" s="38" t="inlineStr">
        <is>
          <t>Best result closer to 1</t>
        </is>
      </c>
      <c r="B22" s="25" t="inlineStr">
        <is>
          <t>RMSE (Prediction error, with larger mistakes penalised more)</t>
        </is>
      </c>
      <c r="C22" s="39" t="n"/>
      <c r="D22" s="40">
        <f>SQRT(SUMXMY2(D7:D18, E7:E18)/COUNT(D7:D18))</f>
        <v/>
      </c>
      <c r="E22" s="41" t="n"/>
      <c r="F22" s="39" t="n"/>
      <c r="G22" s="40">
        <f>SQRT(SUMXMY2(G7:G18, H7:H18)/COUNT(G7:G18))</f>
        <v/>
      </c>
      <c r="H22" s="41" t="n"/>
      <c r="I22" s="39" t="n"/>
      <c r="J22" s="40">
        <f>SQRT(SUMXMY2(J7:J18, K7:K18)/COUNT(J7:J18))</f>
        <v/>
      </c>
      <c r="K22" s="41" t="n"/>
      <c r="L22" s="39" t="n"/>
      <c r="M22" s="40">
        <f>SQRT(SUMXMY2(M7:M18, N7:N18)/COUNT(M7:M18))</f>
        <v/>
      </c>
      <c r="N22" s="41" t="n"/>
      <c r="O22" s="39" t="n"/>
      <c r="P22" s="42" t="inlineStr">
        <is>
          <t>-</t>
        </is>
      </c>
      <c r="Q22" s="41" t="n"/>
      <c r="R22" s="39" t="n"/>
      <c r="S22" s="42">
        <f>SQRT(SUMXMY2(S7:S18, T7:T18)/COUNT(S7:S18))</f>
        <v/>
      </c>
      <c r="T22" s="41" t="n"/>
      <c r="U22" s="39" t="n"/>
    </row>
  </sheetData>
  <mergeCells count="31">
    <mergeCell ref="P21:R21"/>
    <mergeCell ref="B4:O4"/>
    <mergeCell ref="M22:O22"/>
    <mergeCell ref="B22:C22"/>
    <mergeCell ref="J20:L20"/>
    <mergeCell ref="M21:O21"/>
    <mergeCell ref="B21:C21"/>
    <mergeCell ref="G5:I5"/>
    <mergeCell ref="J22:L22"/>
    <mergeCell ref="G20:I20"/>
    <mergeCell ref="J21:L21"/>
    <mergeCell ref="S20:U20"/>
    <mergeCell ref="S5:U5"/>
    <mergeCell ref="D5:F5"/>
    <mergeCell ref="P5:R5"/>
    <mergeCell ref="G22:I22"/>
    <mergeCell ref="S22:U22"/>
    <mergeCell ref="G21:I21"/>
    <mergeCell ref="D20:F20"/>
    <mergeCell ref="B5:B6"/>
    <mergeCell ref="P20:R20"/>
    <mergeCell ref="P4:U4"/>
    <mergeCell ref="J5:L5"/>
    <mergeCell ref="S21:U21"/>
    <mergeCell ref="B20:C20"/>
    <mergeCell ref="M5:O5"/>
    <mergeCell ref="D22:F22"/>
    <mergeCell ref="P22:R22"/>
    <mergeCell ref="D21:F21"/>
    <mergeCell ref="M20:O20"/>
    <mergeCell ref="C5:C6"/>
  </mergeCells>
  <conditionalFormatting sqref="F7:F18 I7:I18 L7:L18 O7:O18 U7:U18">
    <cfRule type="cellIs" priority="1" operator="lessThanOrEqual" dxfId="1">
      <formula>80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3"/>
  <sheetViews>
    <sheetView showGridLines="1" workbookViewId="0">
      <selection activeCell="A1" sqref="A1"/>
    </sheetView>
  </sheetViews>
  <sheetFormatPr baseColWidth="8" defaultRowHeight="15"/>
  <cols>
    <col width="10.83203125" customWidth="1" min="1" max="1"/>
  </cols>
  <sheetData>
    <row r="1"/>
    <row r="2"/>
    <row r="3"/>
    <row r="4">
      <c r="B4" s="12" t="n"/>
      <c r="P4" s="13" t="inlineStr">
        <is>
          <t>On-going Research for Ca and B Models</t>
        </is>
      </c>
      <c r="Q4" s="14" t="n"/>
      <c r="R4" s="14" t="n"/>
      <c r="S4" s="14" t="n"/>
      <c r="T4" s="14" t="n"/>
      <c r="U4" s="15" t="n"/>
    </row>
    <row r="5" ht="34" customHeight="1">
      <c r="B5" s="16" t="inlineStr">
        <is>
          <t>Plot</t>
        </is>
      </c>
      <c r="C5" s="17" t="inlineStr">
        <is>
          <t>Pixels sampled</t>
        </is>
      </c>
      <c r="D5" s="18" t="inlineStr">
        <is>
          <t>N</t>
        </is>
      </c>
      <c r="E5" s="14" t="n"/>
      <c r="F5" s="15" t="n"/>
      <c r="G5" s="18" t="inlineStr">
        <is>
          <t>P (%)</t>
        </is>
      </c>
      <c r="H5" s="14" t="n"/>
      <c r="I5" s="15" t="n"/>
      <c r="J5" s="18" t="inlineStr">
        <is>
          <t>K (%)</t>
        </is>
      </c>
      <c r="K5" s="14" t="n"/>
      <c r="L5" s="15" t="n"/>
      <c r="M5" s="18" t="inlineStr">
        <is>
          <t>Mg (%)</t>
        </is>
      </c>
      <c r="N5" s="14" t="n"/>
      <c r="O5" s="15" t="n"/>
      <c r="P5" s="19" t="inlineStr">
        <is>
          <t>Ca (%)</t>
        </is>
      </c>
      <c r="Q5" s="14" t="n"/>
      <c r="R5" s="15" t="n"/>
      <c r="S5" s="19" t="inlineStr">
        <is>
          <t>B (%)</t>
        </is>
      </c>
      <c r="T5" s="14" t="n"/>
      <c r="U5" s="15" t="n"/>
    </row>
    <row r="6" ht="34" customHeight="1">
      <c r="B6" s="20" t="n"/>
      <c r="C6" s="21" t="n"/>
      <c r="D6" s="22" t="inlineStr">
        <is>
          <t>Lab Actual (%)</t>
        </is>
      </c>
      <c r="E6" s="23" t="inlineStr">
        <is>
          <t>Prediction (%)</t>
        </is>
      </c>
      <c r="F6" s="24" t="inlineStr">
        <is>
          <t>Accuracy (%)</t>
        </is>
      </c>
      <c r="G6" s="22" t="inlineStr">
        <is>
          <t>Lab Actual (%)</t>
        </is>
      </c>
      <c r="H6" s="23" t="inlineStr">
        <is>
          <t>Prediction (%)</t>
        </is>
      </c>
      <c r="I6" s="24" t="inlineStr">
        <is>
          <t>Accuracy (%)</t>
        </is>
      </c>
      <c r="J6" s="22" t="inlineStr">
        <is>
          <t>Lab Actual (%)</t>
        </is>
      </c>
      <c r="K6" s="23" t="inlineStr">
        <is>
          <t>Prediction (%)</t>
        </is>
      </c>
      <c r="L6" s="24" t="inlineStr">
        <is>
          <t>Accuracy (%)</t>
        </is>
      </c>
      <c r="M6" s="22" t="inlineStr">
        <is>
          <t>Lab Actual (%)</t>
        </is>
      </c>
      <c r="N6" s="23" t="inlineStr">
        <is>
          <t>Prediction (%)</t>
        </is>
      </c>
      <c r="O6" s="24" t="inlineStr">
        <is>
          <t>Accuracy (%)</t>
        </is>
      </c>
      <c r="P6" s="13" t="inlineStr">
        <is>
          <t>Lab Actual (%)</t>
        </is>
      </c>
      <c r="Q6" s="13" t="inlineStr">
        <is>
          <t>Prediction (%)</t>
        </is>
      </c>
      <c r="R6" s="24" t="inlineStr">
        <is>
          <t>Accuracy (%)</t>
        </is>
      </c>
      <c r="S6" s="13" t="inlineStr">
        <is>
          <t>Lab Actual (%)</t>
        </is>
      </c>
      <c r="T6" s="13" t="inlineStr">
        <is>
          <t>Prediction (%)</t>
        </is>
      </c>
      <c r="U6" s="24" t="inlineStr">
        <is>
          <t>Accuracy (%)</t>
        </is>
      </c>
    </row>
    <row r="7">
      <c r="B7" s="25" t="inlineStr">
        <is>
          <t>10/05</t>
        </is>
      </c>
      <c r="C7" s="26" t="n">
        <v>6011</v>
      </c>
      <c r="D7" s="27" t="n">
        <v>2.54</v>
      </c>
      <c r="E7" s="28" t="n">
        <v>2.61</v>
      </c>
      <c r="F7" s="29">
        <f>(1-ABS(D7-E7)/D7)*100</f>
        <v/>
      </c>
      <c r="G7" s="28" t="n">
        <v>0.152</v>
      </c>
      <c r="H7" s="28" t="n">
        <v>0.17</v>
      </c>
      <c r="I7" s="29">
        <f>(1-ABS(G7-H7)/G7)*100</f>
        <v/>
      </c>
      <c r="J7" s="27" t="n">
        <v>0.9399999999999999</v>
      </c>
      <c r="K7" s="28" t="n">
        <v>1.035</v>
      </c>
      <c r="L7" s="29">
        <f>(1-ABS(J7-K7)/J7)*100</f>
        <v/>
      </c>
      <c r="M7" s="27" t="n">
        <v>0.31</v>
      </c>
      <c r="N7" s="28" t="n">
        <v>0.314</v>
      </c>
      <c r="O7" s="29">
        <f>(1-ABS(M7-N7)/M7)*100</f>
        <v/>
      </c>
      <c r="P7" s="30" t="n"/>
      <c r="Q7" s="31" t="n">
        <v>0.672</v>
      </c>
      <c r="R7" s="27" t="n"/>
      <c r="S7" s="32" t="n">
        <v>16</v>
      </c>
      <c r="T7" s="30" t="n">
        <v>11.63</v>
      </c>
      <c r="U7" s="29">
        <f>(1-ABS(S7-T7)/S7)*100</f>
        <v/>
      </c>
    </row>
    <row r="8">
      <c r="B8" s="25" t="inlineStr">
        <is>
          <t>11/19</t>
        </is>
      </c>
      <c r="C8" s="26" t="n">
        <v>4332</v>
      </c>
      <c r="D8" s="27" t="n">
        <v>2.6</v>
      </c>
      <c r="E8" s="28" t="n">
        <v>2.475</v>
      </c>
      <c r="F8" s="29">
        <f>(1-ABS(D8-E8)/D8)*100</f>
        <v/>
      </c>
      <c r="G8" s="28" t="n">
        <v>0.15</v>
      </c>
      <c r="H8" s="28" t="n">
        <v>0.159</v>
      </c>
      <c r="I8" s="29">
        <f>(1-ABS(G8-H8)/G8)*100</f>
        <v/>
      </c>
      <c r="J8" s="27" t="n">
        <v>0.9</v>
      </c>
      <c r="K8" s="28" t="n">
        <v>0.998</v>
      </c>
      <c r="L8" s="29">
        <f>(1-ABS(J8-K8)/J8)*100</f>
        <v/>
      </c>
      <c r="M8" s="27" t="n">
        <v>0.32</v>
      </c>
      <c r="N8" s="28" t="n">
        <v>0.271</v>
      </c>
      <c r="O8" s="29">
        <f>(1-ABS(M8-N8)/M8)*100</f>
        <v/>
      </c>
      <c r="P8" s="30" t="n"/>
      <c r="Q8" s="31" t="n">
        <v>0.634</v>
      </c>
      <c r="R8" s="27" t="n"/>
      <c r="S8" s="32" t="n">
        <v>17</v>
      </c>
      <c r="T8" s="30" t="n">
        <v>12.82</v>
      </c>
      <c r="U8" s="29">
        <f>(1-ABS(S8-T8)/S8)*100</f>
        <v/>
      </c>
    </row>
    <row r="9">
      <c r="B9" s="25" t="inlineStr">
        <is>
          <t>11/20</t>
        </is>
      </c>
      <c r="C9" s="26" t="n">
        <v>4353</v>
      </c>
      <c r="D9" s="27" t="n">
        <v>2.69</v>
      </c>
      <c r="E9" s="28" t="n">
        <v>2.541</v>
      </c>
      <c r="F9" s="29">
        <f>(1-ABS(D9-E9)/D9)*100</f>
        <v/>
      </c>
      <c r="G9" s="28" t="n">
        <v>0.161</v>
      </c>
      <c r="H9" s="28" t="n">
        <v>0.163</v>
      </c>
      <c r="I9" s="29">
        <f>(1-ABS(G9-H9)/G9)*100</f>
        <v/>
      </c>
      <c r="J9" s="27" t="n">
        <v>1.1</v>
      </c>
      <c r="K9" s="28" t="n">
        <v>1.025</v>
      </c>
      <c r="L9" s="29">
        <f>(1-ABS(J9-K9)/J9)*100</f>
        <v/>
      </c>
      <c r="M9" s="27" t="n">
        <v>0.28</v>
      </c>
      <c r="N9" s="28" t="n">
        <v>0.272</v>
      </c>
      <c r="O9" s="29">
        <f>(1-ABS(M9-N9)/M9)*100</f>
        <v/>
      </c>
      <c r="P9" s="30" t="n"/>
      <c r="Q9" s="31" t="n">
        <v>0.643</v>
      </c>
      <c r="R9" s="27" t="n"/>
      <c r="S9" s="32" t="n">
        <v>12</v>
      </c>
      <c r="T9" s="30" t="n">
        <v>13.62</v>
      </c>
      <c r="U9" s="29">
        <f>(1-ABS(S9-T9)/S9)*100</f>
        <v/>
      </c>
    </row>
    <row r="10">
      <c r="B10" s="25" t="inlineStr">
        <is>
          <t>11/21</t>
        </is>
      </c>
      <c r="C10" s="26" t="n">
        <v>3395</v>
      </c>
      <c r="D10" s="27" t="n">
        <v>2.64</v>
      </c>
      <c r="E10" s="28" t="n">
        <v>2.131</v>
      </c>
      <c r="F10" s="29">
        <f>(1-ABS(D10-E10)/D10)*100</f>
        <v/>
      </c>
      <c r="G10" s="28" t="n">
        <v>0.149</v>
      </c>
      <c r="H10" s="28" t="n">
        <v>0.135</v>
      </c>
      <c r="I10" s="29">
        <f>(1-ABS(G10-H10)/G10)*100</f>
        <v/>
      </c>
      <c r="J10" s="27" t="n">
        <v>0.9</v>
      </c>
      <c r="K10" s="28" t="n">
        <v>0.84</v>
      </c>
      <c r="L10" s="29">
        <f>(1-ABS(J10-K10)/J10)*100</f>
        <v/>
      </c>
      <c r="M10" s="27" t="n">
        <v>0.32</v>
      </c>
      <c r="N10" s="28" t="n">
        <v>0.264</v>
      </c>
      <c r="O10" s="29">
        <f>(1-ABS(M10-N10)/M10)*100</f>
        <v/>
      </c>
      <c r="P10" s="30" t="n"/>
      <c r="Q10" s="31" t="n">
        <v>0.556</v>
      </c>
      <c r="R10" s="27" t="n"/>
      <c r="S10" s="32" t="n">
        <v>16</v>
      </c>
      <c r="T10" s="30" t="n">
        <v>9.470000000000001</v>
      </c>
      <c r="U10" s="29">
        <f>(1-ABS(S10-T10)/S10)*100</f>
        <v/>
      </c>
    </row>
    <row r="11">
      <c r="B11" s="25" t="inlineStr">
        <is>
          <t>11/22</t>
        </is>
      </c>
      <c r="C11" s="26" t="n">
        <v>4562</v>
      </c>
      <c r="D11" s="27" t="n">
        <v>2.53</v>
      </c>
      <c r="E11" s="28" t="n">
        <v>2.002</v>
      </c>
      <c r="F11" s="29">
        <f>(1-ABS(D11-E11)/D11)*100</f>
        <v/>
      </c>
      <c r="G11" s="28" t="n">
        <v>0.15</v>
      </c>
      <c r="H11" s="28" t="n">
        <v>0.128</v>
      </c>
      <c r="I11" s="29">
        <f>(1-ABS(G11-H11)/G11)*100</f>
        <v/>
      </c>
      <c r="J11" s="27" t="n">
        <v>0.91</v>
      </c>
      <c r="K11" s="28" t="n">
        <v>0.778</v>
      </c>
      <c r="L11" s="29">
        <f>(1-ABS(J11-K11)/J11)*100</f>
        <v/>
      </c>
      <c r="M11" s="27" t="n">
        <v>0.36</v>
      </c>
      <c r="N11" s="28" t="n">
        <v>0.255</v>
      </c>
      <c r="O11" s="29">
        <f>(1-ABS(M11-N11)/M11)*100</f>
        <v/>
      </c>
      <c r="P11" s="30" t="n"/>
      <c r="Q11" s="31" t="n">
        <v>0.544</v>
      </c>
      <c r="R11" s="27" t="n"/>
      <c r="S11" s="32" t="n">
        <v>19</v>
      </c>
      <c r="T11" s="30" t="n">
        <v>8.26</v>
      </c>
      <c r="U11" s="29">
        <f>(1-ABS(S11-T11)/S11)*100</f>
        <v/>
      </c>
    </row>
    <row r="12">
      <c r="B12" s="25" t="inlineStr">
        <is>
          <t>12/27</t>
        </is>
      </c>
      <c r="C12" s="26" t="n">
        <v>3996</v>
      </c>
      <c r="D12" s="27" t="n">
        <v>2.59</v>
      </c>
      <c r="E12" s="28" t="n">
        <v>2.44</v>
      </c>
      <c r="F12" s="29">
        <f>(1-ABS(D12-E12)/D12)*100</f>
        <v/>
      </c>
      <c r="G12" s="28" t="n">
        <v>0.165</v>
      </c>
      <c r="H12" s="28" t="n">
        <v>0.159</v>
      </c>
      <c r="I12" s="29">
        <f>(1-ABS(G12-H12)/G12)*100</f>
        <v/>
      </c>
      <c r="J12" s="27" t="n">
        <v>1.15</v>
      </c>
      <c r="K12" s="28" t="n">
        <v>0.974</v>
      </c>
      <c r="L12" s="29">
        <f>(1-ABS(J12-K12)/J12)*100</f>
        <v/>
      </c>
      <c r="M12" s="27" t="n">
        <v>0.3</v>
      </c>
      <c r="N12" s="28" t="n">
        <v>0.299</v>
      </c>
      <c r="O12" s="29">
        <f>(1-ABS(M12-N12)/M12)*100</f>
        <v/>
      </c>
      <c r="P12" s="30" t="n"/>
      <c r="Q12" s="31" t="n">
        <v>0.652</v>
      </c>
      <c r="R12" s="27" t="n"/>
      <c r="S12" s="32" t="n">
        <v>13</v>
      </c>
      <c r="T12" s="30" t="n">
        <v>10.78</v>
      </c>
      <c r="U12" s="29">
        <f>(1-ABS(S12-T12)/S12)*100</f>
        <v/>
      </c>
    </row>
    <row r="13">
      <c r="B13" s="25" t="inlineStr">
        <is>
          <t>12/28A</t>
        </is>
      </c>
      <c r="C13" s="26" t="n">
        <v>4532</v>
      </c>
      <c r="D13" s="27" t="n">
        <v>2.6</v>
      </c>
      <c r="E13" s="28" t="n">
        <v>2.384</v>
      </c>
      <c r="F13" s="29">
        <f>(1-ABS(D13-E13)/D13)*100</f>
        <v/>
      </c>
      <c r="G13" s="28" t="n">
        <v>0.149</v>
      </c>
      <c r="H13" s="28" t="n">
        <v>0.156</v>
      </c>
      <c r="I13" s="29">
        <f>(1-ABS(G13-H13)/G13)*100</f>
        <v/>
      </c>
      <c r="J13" s="27" t="n">
        <v>0.95</v>
      </c>
      <c r="K13" s="28" t="n">
        <v>0.944</v>
      </c>
      <c r="L13" s="29">
        <f>(1-ABS(J13-K13)/J13)*100</f>
        <v/>
      </c>
      <c r="M13" s="27" t="n">
        <v>0.3</v>
      </c>
      <c r="N13" s="28" t="n">
        <v>0.295</v>
      </c>
      <c r="O13" s="29">
        <f>(1-ABS(M13-N13)/M13)*100</f>
        <v/>
      </c>
      <c r="P13" s="30" t="n"/>
      <c r="Q13" s="31" t="n">
        <v>0.637</v>
      </c>
      <c r="R13" s="27" t="n"/>
      <c r="S13" s="32" t="n">
        <v>18</v>
      </c>
      <c r="T13" s="30" t="n">
        <v>10.31</v>
      </c>
      <c r="U13" s="29">
        <f>(1-ABS(S13-T13)/S13)*100</f>
        <v/>
      </c>
    </row>
    <row r="14">
      <c r="B14" s="25" t="inlineStr">
        <is>
          <t>12/29A</t>
        </is>
      </c>
      <c r="C14" s="26" t="n">
        <v>4726</v>
      </c>
      <c r="D14" s="27" t="n">
        <v>2.54</v>
      </c>
      <c r="E14" s="28" t="n">
        <v>2.241</v>
      </c>
      <c r="F14" s="29">
        <f>(1-ABS(D14-E14)/D14)*100</f>
        <v/>
      </c>
      <c r="G14" s="28" t="n">
        <v>0.159</v>
      </c>
      <c r="H14" s="28" t="n">
        <v>0.145</v>
      </c>
      <c r="I14" s="29">
        <f>(1-ABS(G14-H14)/G14)*100</f>
        <v/>
      </c>
      <c r="J14" s="27" t="n">
        <v>1.05</v>
      </c>
      <c r="K14" s="28" t="n">
        <v>0.881</v>
      </c>
      <c r="L14" s="29">
        <f>(1-ABS(J14-K14)/J14)*100</f>
        <v/>
      </c>
      <c r="M14" s="27" t="n">
        <v>0.3</v>
      </c>
      <c r="N14" s="28" t="n">
        <v>0.28</v>
      </c>
      <c r="O14" s="29">
        <f>(1-ABS(M14-N14)/M14)*100</f>
        <v/>
      </c>
      <c r="P14" s="30" t="n"/>
      <c r="Q14" s="31" t="n">
        <v>0.618</v>
      </c>
      <c r="R14" s="27" t="n"/>
      <c r="S14" s="32" t="n">
        <v>14</v>
      </c>
      <c r="T14" s="30" t="n">
        <v>9.470000000000001</v>
      </c>
      <c r="U14" s="29">
        <f>(1-ABS(S14-T14)/S14)*100</f>
        <v/>
      </c>
    </row>
    <row r="15">
      <c r="B15" s="25" t="inlineStr">
        <is>
          <t>12/30A</t>
        </is>
      </c>
      <c r="C15" s="26" t="n">
        <v>4617</v>
      </c>
      <c r="D15" s="27" t="n">
        <v>2.51</v>
      </c>
      <c r="E15" s="28" t="n">
        <v>2.407</v>
      </c>
      <c r="F15" s="29">
        <f>(1-ABS(D15-E15)/D15)*100</f>
        <v/>
      </c>
      <c r="G15" s="28" t="n">
        <v>0.15</v>
      </c>
      <c r="H15" s="28" t="n">
        <v>0.157</v>
      </c>
      <c r="I15" s="29">
        <f>(1-ABS(G15-H15)/G15)*100</f>
        <v/>
      </c>
      <c r="J15" s="27" t="n">
        <v>0.92</v>
      </c>
      <c r="K15" s="28" t="n">
        <v>0.961</v>
      </c>
      <c r="L15" s="29">
        <f>(1-ABS(J15-K15)/J15)*100</f>
        <v/>
      </c>
      <c r="M15" s="27" t="n">
        <v>0.32</v>
      </c>
      <c r="N15" s="28" t="n">
        <v>0.286</v>
      </c>
      <c r="O15" s="29">
        <f>(1-ABS(M15-N15)/M15)*100</f>
        <v/>
      </c>
      <c r="P15" s="30" t="n"/>
      <c r="Q15" s="31" t="n">
        <v>0.652</v>
      </c>
      <c r="R15" s="27" t="n"/>
      <c r="S15" s="32" t="n">
        <v>17</v>
      </c>
      <c r="T15" s="30" t="n">
        <v>11.08</v>
      </c>
      <c r="U15" s="29">
        <f>(1-ABS(S15-T15)/S15)*100</f>
        <v/>
      </c>
    </row>
    <row r="16">
      <c r="B16" s="25" t="inlineStr">
        <is>
          <t>12/31</t>
        </is>
      </c>
      <c r="C16" s="26" t="n">
        <v>4457</v>
      </c>
      <c r="D16" s="27" t="n">
        <v>2.65</v>
      </c>
      <c r="E16" s="28" t="n">
        <v>2.355</v>
      </c>
      <c r="F16" s="29">
        <f>(1-ABS(D16-E16)/D16)*100</f>
        <v/>
      </c>
      <c r="G16" s="28" t="n">
        <v>0.163</v>
      </c>
      <c r="H16" s="28" t="n">
        <v>0.153</v>
      </c>
      <c r="I16" s="29">
        <f>(1-ABS(G16-H16)/G16)*100</f>
        <v/>
      </c>
      <c r="J16" s="27" t="n">
        <v>1.1</v>
      </c>
      <c r="K16" s="28" t="n">
        <v>0.9409999999999999</v>
      </c>
      <c r="L16" s="29">
        <f>(1-ABS(J16-K16)/J16)*100</f>
        <v/>
      </c>
      <c r="M16" s="27" t="n">
        <v>0.27</v>
      </c>
      <c r="N16" s="28" t="n">
        <v>0.278</v>
      </c>
      <c r="O16" s="29">
        <f>(1-ABS(M16-N16)/M16)*100</f>
        <v/>
      </c>
      <c r="P16" s="30" t="n"/>
      <c r="Q16" s="31" t="n">
        <v>0.633</v>
      </c>
      <c r="R16" s="27" t="n"/>
      <c r="S16" s="32" t="n">
        <v>12</v>
      </c>
      <c r="T16" s="30" t="n">
        <v>10.72</v>
      </c>
      <c r="U16" s="29">
        <f>(1-ABS(S16-T16)/S16)*100</f>
        <v/>
      </c>
    </row>
    <row r="17" ht="40" customHeight="1">
      <c r="A17" s="33" t="inlineStr">
        <is>
          <t>Best result closer to 1</t>
        </is>
      </c>
      <c r="B17" s="25" t="inlineStr">
        <is>
          <t>12/32</t>
        </is>
      </c>
      <c r="C17" s="26" t="n">
        <v>4181</v>
      </c>
      <c r="D17" s="27" t="n">
        <v>2.6</v>
      </c>
      <c r="E17" s="28" t="n">
        <v>2.393</v>
      </c>
      <c r="F17" s="29">
        <f>(1-ABS(D17-E17)/D17)*100</f>
        <v/>
      </c>
      <c r="G17" s="28" t="n">
        <v>0.161</v>
      </c>
      <c r="H17" s="28" t="n">
        <v>0.156</v>
      </c>
      <c r="I17" s="29">
        <f>(1-ABS(G17-H17)/G17)*100</f>
        <v/>
      </c>
      <c r="J17" s="27" t="n">
        <v>1.17</v>
      </c>
      <c r="K17" s="28" t="n">
        <v>0.971</v>
      </c>
      <c r="L17" s="29">
        <f>(1-ABS(J17-K17)/J17)*100</f>
        <v/>
      </c>
      <c r="M17" s="27" t="n">
        <v>0.3</v>
      </c>
      <c r="N17" s="28" t="n">
        <v>0.275</v>
      </c>
      <c r="O17" s="29">
        <f>(1-ABS(M17-N17)/M17)*100</f>
        <v/>
      </c>
      <c r="P17" s="30" t="n"/>
      <c r="Q17" s="31" t="n">
        <v>0.624</v>
      </c>
      <c r="R17" s="27" t="n"/>
      <c r="S17" s="32" t="n">
        <v>13</v>
      </c>
      <c r="T17" s="30" t="n">
        <v>11.24</v>
      </c>
      <c r="U17" s="29">
        <f>(1-ABS(S17-T17)/S17)*100</f>
        <v/>
      </c>
    </row>
    <row r="18" ht="39" customHeight="1">
      <c r="A18" s="33" t="inlineStr">
        <is>
          <t>Best result closer to 0</t>
        </is>
      </c>
      <c r="B18" s="25" t="inlineStr">
        <is>
          <t>13/06</t>
        </is>
      </c>
      <c r="C18" s="26" t="n">
        <v>4165</v>
      </c>
      <c r="D18" s="27" t="n">
        <v>2.61</v>
      </c>
      <c r="E18" s="28" t="n">
        <v>2.535</v>
      </c>
      <c r="F18" s="29">
        <f>(1-ABS(D18-E18)/D18)*100</f>
        <v/>
      </c>
      <c r="G18" s="28" t="n">
        <v>0.146</v>
      </c>
      <c r="H18" s="28" t="n">
        <v>0.164</v>
      </c>
      <c r="I18" s="29">
        <f>(1-ABS(G18-H18)/G18)*100</f>
        <v/>
      </c>
      <c r="J18" s="27" t="n">
        <v>0.85</v>
      </c>
      <c r="K18" s="28" t="n">
        <v>1.015</v>
      </c>
      <c r="L18" s="29">
        <f>(1-ABS(J18-K18)/J18)*100</f>
        <v/>
      </c>
      <c r="M18" s="27" t="n">
        <v>0.33</v>
      </c>
      <c r="N18" s="28" t="n">
        <v>0.292</v>
      </c>
      <c r="O18" s="29">
        <f>(1-ABS(M18-N18)/M18)*100</f>
        <v/>
      </c>
      <c r="P18" s="30" t="n"/>
      <c r="Q18" s="31" t="n">
        <v>0.659</v>
      </c>
      <c r="R18" s="27" t="n"/>
      <c r="S18" s="32" t="n">
        <v>19</v>
      </c>
      <c r="T18" s="30" t="n">
        <v>12.49</v>
      </c>
      <c r="U18" s="29">
        <f>(1-ABS(S18-T18)/S18)*100</f>
        <v/>
      </c>
    </row>
    <row r="19" ht="66" customHeight="1">
      <c r="A19" s="33" t="inlineStr">
        <is>
          <t>Best result closer to 1</t>
        </is>
      </c>
      <c r="B19" s="25" t="inlineStr">
        <is>
          <t>13/08</t>
        </is>
      </c>
      <c r="C19" s="26" t="n">
        <v>3310</v>
      </c>
      <c r="D19" s="27" t="n">
        <v>2.57</v>
      </c>
      <c r="E19" s="28" t="n">
        <v>2.169</v>
      </c>
      <c r="F19" s="29">
        <f>(1-ABS(D19-E19)/D19)*100</f>
        <v/>
      </c>
      <c r="G19" s="28" t="n">
        <v>0.156</v>
      </c>
      <c r="H19" s="28" t="n">
        <v>0.137</v>
      </c>
      <c r="I19" s="29">
        <f>(1-ABS(G19-H19)/G19)*100</f>
        <v/>
      </c>
      <c r="J19" s="27" t="n">
        <v>1.12</v>
      </c>
      <c r="K19" s="28" t="n">
        <v>0.879</v>
      </c>
      <c r="L19" s="29">
        <f>(1-ABS(J19-K19)/J19)*100</f>
        <v/>
      </c>
      <c r="M19" s="27" t="n">
        <v>0.3</v>
      </c>
      <c r="N19" s="28" t="n">
        <v>0.252</v>
      </c>
      <c r="O19" s="29">
        <f>(1-ABS(M19-N19)/M19)*100</f>
        <v/>
      </c>
      <c r="P19" s="30" t="n"/>
      <c r="Q19" s="31" t="n">
        <v>0.5649999999999999</v>
      </c>
      <c r="R19" s="27" t="n"/>
      <c r="S19" s="32" t="n">
        <v>18</v>
      </c>
      <c r="T19" s="30" t="n">
        <v>10.94</v>
      </c>
      <c r="U19" s="29">
        <f>(1-ABS(S19-T19)/S19)*100</f>
        <v/>
      </c>
    </row>
    <row r="20" ht="35" customHeight="1">
      <c r="A20" s="43" t="inlineStr">
        <is>
          <t>AVG ACCURACY</t>
        </is>
      </c>
      <c r="F20" s="35">
        <f>AVERAGE(F7:F19)</f>
        <v/>
      </c>
      <c r="I20" s="35">
        <f>AVERAGE(I7:I19)</f>
        <v/>
      </c>
      <c r="L20" s="35">
        <f>AVERAGE(L7:L19)</f>
        <v/>
      </c>
      <c r="O20" s="35">
        <f>AVERAGE(O7:O19)</f>
        <v/>
      </c>
      <c r="R20" s="36" t="inlineStr">
        <is>
          <t>-</t>
        </is>
      </c>
      <c r="U20" s="37">
        <f>AVERAGE(U7:U19)</f>
        <v/>
      </c>
    </row>
    <row r="21" ht="40" customHeight="1">
      <c r="A21" s="38" t="inlineStr">
        <is>
          <t>Best result closer to 0</t>
        </is>
      </c>
      <c r="B21" s="25" t="inlineStr">
        <is>
          <t>R^2 (Coefficient of determination)</t>
        </is>
      </c>
      <c r="C21" s="39" t="n"/>
      <c r="D21" s="40">
        <f>RSQ(E7:E19, D7:D19)</f>
        <v/>
      </c>
      <c r="E21" s="41" t="n"/>
      <c r="F21" s="39" t="n"/>
      <c r="G21" s="40">
        <f>RSQ(H7:H19, G7:G19)</f>
        <v/>
      </c>
      <c r="H21" s="41" t="n"/>
      <c r="I21" s="39" t="n"/>
      <c r="J21" s="40">
        <f>RSQ(K7:K19, J7:J19)</f>
        <v/>
      </c>
      <c r="K21" s="41" t="n"/>
      <c r="L21" s="39" t="n"/>
      <c r="M21" s="40">
        <f>RSQ(N7:N19, M7:M19)</f>
        <v/>
      </c>
      <c r="N21" s="41" t="n"/>
      <c r="O21" s="39" t="n"/>
      <c r="P21" s="42" t="inlineStr">
        <is>
          <t>-</t>
        </is>
      </c>
      <c r="Q21" s="41" t="n"/>
      <c r="R21" s="39" t="n"/>
      <c r="S21" s="42">
        <f>RSQ(T7:T19, S7:S19)</f>
        <v/>
      </c>
      <c r="T21" s="41" t="n"/>
      <c r="U21" s="39" t="n"/>
    </row>
    <row r="22" ht="39" customHeight="1">
      <c r="A22" s="38" t="inlineStr">
        <is>
          <t>Best result closer to 1</t>
        </is>
      </c>
      <c r="B22" s="25" t="inlineStr">
        <is>
          <t>MAE (Average size of prediction errors)</t>
        </is>
      </c>
      <c r="C22" s="39" t="n"/>
      <c r="D22" s="40">
        <f>SUMPRODUCT(ABS(D7:D19-E7:E19))/COUNT(D7:D19)</f>
        <v/>
      </c>
      <c r="E22" s="41" t="n"/>
      <c r="F22" s="39" t="n"/>
      <c r="G22" s="40">
        <f>SUMPRODUCT(ABS(G7:G19-H7:H19))/COUNT(G7:G19)</f>
        <v/>
      </c>
      <c r="H22" s="41" t="n"/>
      <c r="I22" s="39" t="n"/>
      <c r="J22" s="40">
        <f>SUMPRODUCT(ABS(J7:J19-K7:K19))/COUNT(J7:J19)</f>
        <v/>
      </c>
      <c r="K22" s="41" t="n"/>
      <c r="L22" s="39" t="n"/>
      <c r="M22" s="40">
        <f>SUMPRODUCT(ABS(M7:M19-N7:N19))/COUNT(M7:M19)</f>
        <v/>
      </c>
      <c r="N22" s="41" t="n"/>
      <c r="O22" s="39" t="n"/>
      <c r="P22" s="42" t="inlineStr">
        <is>
          <t>-</t>
        </is>
      </c>
      <c r="Q22" s="41" t="n"/>
      <c r="R22" s="39" t="n"/>
      <c r="S22" s="42">
        <f>SUMPRODUCT(ABS(S7:S19-T7:T19))/COUNT(S7:S19)</f>
        <v/>
      </c>
      <c r="T22" s="41" t="n"/>
      <c r="U22" s="39" t="n"/>
    </row>
    <row r="23" ht="66" customHeight="1">
      <c r="A23" s="38" t="inlineStr">
        <is>
          <t>Best result closer to 1</t>
        </is>
      </c>
      <c r="B23" s="25" t="inlineStr">
        <is>
          <t>RMSE (Prediction error, with larger mistakes penalised more)</t>
        </is>
      </c>
      <c r="C23" s="39" t="n"/>
      <c r="D23" s="40">
        <f>SQRT(SUMXMY2(D7:D19, E7:E19)/COUNT(D7:D19))</f>
        <v/>
      </c>
      <c r="E23" s="41" t="n"/>
      <c r="F23" s="39" t="n"/>
      <c r="G23" s="40">
        <f>SQRT(SUMXMY2(G7:G19, H7:H19)/COUNT(G7:G19))</f>
        <v/>
      </c>
      <c r="H23" s="41" t="n"/>
      <c r="I23" s="39" t="n"/>
      <c r="J23" s="40">
        <f>SQRT(SUMXMY2(J7:J19, K7:K19)/COUNT(J7:J19))</f>
        <v/>
      </c>
      <c r="K23" s="41" t="n"/>
      <c r="L23" s="39" t="n"/>
      <c r="M23" s="40">
        <f>SQRT(SUMXMY2(M7:M19, N7:N19)/COUNT(M7:M19))</f>
        <v/>
      </c>
      <c r="N23" s="41" t="n"/>
      <c r="O23" s="39" t="n"/>
      <c r="P23" s="42" t="inlineStr">
        <is>
          <t>-</t>
        </is>
      </c>
      <c r="Q23" s="41" t="n"/>
      <c r="R23" s="39" t="n"/>
      <c r="S23" s="42">
        <f>SQRT(SUMXMY2(S7:S19, T7:T19)/COUNT(S7:S19))</f>
        <v/>
      </c>
      <c r="T23" s="41" t="n"/>
      <c r="U23" s="39" t="n"/>
    </row>
  </sheetData>
  <mergeCells count="31">
    <mergeCell ref="P21:R21"/>
    <mergeCell ref="B4:O4"/>
    <mergeCell ref="S23:U23"/>
    <mergeCell ref="M22:O22"/>
    <mergeCell ref="B22:C22"/>
    <mergeCell ref="P23:R23"/>
    <mergeCell ref="M21:O21"/>
    <mergeCell ref="B21:C21"/>
    <mergeCell ref="G5:I5"/>
    <mergeCell ref="J22:L22"/>
    <mergeCell ref="B23:C23"/>
    <mergeCell ref="J21:L21"/>
    <mergeCell ref="S5:U5"/>
    <mergeCell ref="M23:O23"/>
    <mergeCell ref="D5:F5"/>
    <mergeCell ref="D23:F23"/>
    <mergeCell ref="P5:R5"/>
    <mergeCell ref="G22:I22"/>
    <mergeCell ref="J23:L23"/>
    <mergeCell ref="S22:U22"/>
    <mergeCell ref="G21:I21"/>
    <mergeCell ref="B5:B6"/>
    <mergeCell ref="P4:U4"/>
    <mergeCell ref="J5:L5"/>
    <mergeCell ref="S21:U21"/>
    <mergeCell ref="M5:O5"/>
    <mergeCell ref="D22:F22"/>
    <mergeCell ref="P22:R22"/>
    <mergeCell ref="G23:I23"/>
    <mergeCell ref="D21:F21"/>
    <mergeCell ref="C5:C6"/>
  </mergeCells>
  <conditionalFormatting sqref="F7:F19 I7:I19 L7:L19 O7:O19 U7:U19">
    <cfRule type="cellIs" priority="1" operator="lessThanOrEqual" dxfId="1">
      <formula>80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0"/>
  <sheetViews>
    <sheetView showGridLines="1" workbookViewId="0">
      <selection activeCell="A1" sqref="A1"/>
    </sheetView>
  </sheetViews>
  <sheetFormatPr baseColWidth="8" defaultRowHeight="15"/>
  <cols>
    <col width="10.83203125" customWidth="1" min="1" max="1"/>
  </cols>
  <sheetData>
    <row r="1"/>
    <row r="2"/>
    <row r="3"/>
    <row r="4">
      <c r="B4" s="12" t="n"/>
      <c r="P4" s="13" t="inlineStr">
        <is>
          <t>On-going Research for Ca and B Models</t>
        </is>
      </c>
      <c r="Q4" s="14" t="n"/>
      <c r="R4" s="14" t="n"/>
      <c r="S4" s="14" t="n"/>
      <c r="T4" s="14" t="n"/>
      <c r="U4" s="15" t="n"/>
    </row>
    <row r="5" ht="34" customHeight="1">
      <c r="B5" s="16" t="inlineStr">
        <is>
          <t>Plot</t>
        </is>
      </c>
      <c r="C5" s="17" t="inlineStr">
        <is>
          <t>Pixels sampled</t>
        </is>
      </c>
      <c r="D5" s="18" t="inlineStr">
        <is>
          <t>N</t>
        </is>
      </c>
      <c r="E5" s="14" t="n"/>
      <c r="F5" s="15" t="n"/>
      <c r="G5" s="18" t="inlineStr">
        <is>
          <t>P (%)</t>
        </is>
      </c>
      <c r="H5" s="14" t="n"/>
      <c r="I5" s="15" t="n"/>
      <c r="J5" s="18" t="inlineStr">
        <is>
          <t>K (%)</t>
        </is>
      </c>
      <c r="K5" s="14" t="n"/>
      <c r="L5" s="15" t="n"/>
      <c r="M5" s="18" t="inlineStr">
        <is>
          <t>Mg (%)</t>
        </is>
      </c>
      <c r="N5" s="14" t="n"/>
      <c r="O5" s="15" t="n"/>
      <c r="P5" s="19" t="inlineStr">
        <is>
          <t>Ca (%)</t>
        </is>
      </c>
      <c r="Q5" s="14" t="n"/>
      <c r="R5" s="15" t="n"/>
      <c r="S5" s="19" t="inlineStr">
        <is>
          <t>B (%)</t>
        </is>
      </c>
      <c r="T5" s="14" t="n"/>
      <c r="U5" s="15" t="n"/>
    </row>
    <row r="6" ht="34" customHeight="1">
      <c r="B6" s="20" t="n"/>
      <c r="C6" s="21" t="n"/>
      <c r="D6" s="22" t="inlineStr">
        <is>
          <t>Lab Actual (%)</t>
        </is>
      </c>
      <c r="E6" s="23" t="inlineStr">
        <is>
          <t>Prediction (%)</t>
        </is>
      </c>
      <c r="F6" s="24" t="inlineStr">
        <is>
          <t>Accuracy (%)</t>
        </is>
      </c>
      <c r="G6" s="22" t="inlineStr">
        <is>
          <t>Lab Actual (%)</t>
        </is>
      </c>
      <c r="H6" s="23" t="inlineStr">
        <is>
          <t>Prediction (%)</t>
        </is>
      </c>
      <c r="I6" s="24" t="inlineStr">
        <is>
          <t>Accuracy (%)</t>
        </is>
      </c>
      <c r="J6" s="22" t="inlineStr">
        <is>
          <t>Lab Actual (%)</t>
        </is>
      </c>
      <c r="K6" s="23" t="inlineStr">
        <is>
          <t>Prediction (%)</t>
        </is>
      </c>
      <c r="L6" s="24" t="inlineStr">
        <is>
          <t>Accuracy (%)</t>
        </is>
      </c>
      <c r="M6" s="22" t="inlineStr">
        <is>
          <t>Lab Actual (%)</t>
        </is>
      </c>
      <c r="N6" s="23" t="inlineStr">
        <is>
          <t>Prediction (%)</t>
        </is>
      </c>
      <c r="O6" s="24" t="inlineStr">
        <is>
          <t>Accuracy (%)</t>
        </is>
      </c>
      <c r="P6" s="13" t="inlineStr">
        <is>
          <t>Lab Actual (%)</t>
        </is>
      </c>
      <c r="Q6" s="13" t="inlineStr">
        <is>
          <t>Prediction (%)</t>
        </is>
      </c>
      <c r="R6" s="24" t="inlineStr">
        <is>
          <t>Accuracy (%)</t>
        </is>
      </c>
      <c r="S6" s="13" t="inlineStr">
        <is>
          <t>Lab Actual (%)</t>
        </is>
      </c>
      <c r="T6" s="13" t="inlineStr">
        <is>
          <t>Prediction (%)</t>
        </is>
      </c>
      <c r="U6" s="24" t="inlineStr">
        <is>
          <t>Accuracy (%)</t>
        </is>
      </c>
    </row>
    <row r="7">
      <c r="B7" s="25" t="inlineStr">
        <is>
          <t>08/11</t>
        </is>
      </c>
      <c r="C7" s="26" t="n">
        <v>3388</v>
      </c>
      <c r="D7" s="27" t="n">
        <v>2.64</v>
      </c>
      <c r="E7" s="28" t="n">
        <v>2.537</v>
      </c>
      <c r="F7" s="29">
        <f>(1-ABS(D7-E7)/D7)*100</f>
        <v/>
      </c>
      <c r="G7" s="28" t="n">
        <v>0.164</v>
      </c>
      <c r="H7" s="28" t="n">
        <v>0.163</v>
      </c>
      <c r="I7" s="29">
        <f>(1-ABS(G7-H7)/G7)*100</f>
        <v/>
      </c>
      <c r="J7" s="27" t="n">
        <v>1.09</v>
      </c>
      <c r="K7" s="28" t="n">
        <v>0.994</v>
      </c>
      <c r="L7" s="29">
        <f>(1-ABS(J7-K7)/J7)*100</f>
        <v/>
      </c>
      <c r="M7" s="27" t="n">
        <v>0.31</v>
      </c>
      <c r="N7" s="28" t="n">
        <v>0.257</v>
      </c>
      <c r="O7" s="29">
        <f>(1-ABS(M7-N7)/M7)*100</f>
        <v/>
      </c>
      <c r="P7" s="30" t="n"/>
      <c r="Q7" s="31" t="n">
        <v>0.638</v>
      </c>
      <c r="R7" s="27" t="n"/>
      <c r="S7" s="32" t="n">
        <v>14</v>
      </c>
      <c r="T7" s="30" t="n">
        <v>14.14</v>
      </c>
      <c r="U7" s="29">
        <f>(1-ABS(S7-T7)/S7)*100</f>
        <v/>
      </c>
    </row>
    <row r="8">
      <c r="B8" s="25" t="inlineStr">
        <is>
          <t>08/12</t>
        </is>
      </c>
      <c r="C8" s="26" t="n">
        <v>3411</v>
      </c>
      <c r="D8" s="27" t="n">
        <v>2.61</v>
      </c>
      <c r="E8" s="28" t="n">
        <v>2.535</v>
      </c>
      <c r="F8" s="29">
        <f>(1-ABS(D8-E8)/D8)*100</f>
        <v/>
      </c>
      <c r="G8" s="28" t="n">
        <v>0.162</v>
      </c>
      <c r="H8" s="28" t="n">
        <v>0.163</v>
      </c>
      <c r="I8" s="29">
        <f>(1-ABS(G8-H8)/G8)*100</f>
        <v/>
      </c>
      <c r="J8" s="27" t="n">
        <v>1.09</v>
      </c>
      <c r="K8" s="28" t="n">
        <v>0.998</v>
      </c>
      <c r="L8" s="29">
        <f>(1-ABS(J8-K8)/J8)*100</f>
        <v/>
      </c>
      <c r="M8" s="27" t="n">
        <v>0.32</v>
      </c>
      <c r="N8" s="28" t="n">
        <v>0.26</v>
      </c>
      <c r="O8" s="29">
        <f>(1-ABS(M8-N8)/M8)*100</f>
        <v/>
      </c>
      <c r="P8" s="30" t="n"/>
      <c r="Q8" s="31" t="n">
        <v>0.632</v>
      </c>
      <c r="R8" s="27" t="n"/>
      <c r="S8" s="32" t="n">
        <v>14</v>
      </c>
      <c r="T8" s="30" t="n">
        <v>14.04</v>
      </c>
      <c r="U8" s="29">
        <f>(1-ABS(S8-T8)/S8)*100</f>
        <v/>
      </c>
    </row>
    <row r="9">
      <c r="B9" s="25" t="inlineStr">
        <is>
          <t>10/21</t>
        </is>
      </c>
      <c r="C9" s="26" t="n">
        <v>4331</v>
      </c>
      <c r="D9" s="27" t="n">
        <v>2.61</v>
      </c>
      <c r="E9" s="28" t="n">
        <v>2.206</v>
      </c>
      <c r="F9" s="29">
        <f>(1-ABS(D9-E9)/D9)*100</f>
        <v/>
      </c>
      <c r="G9" s="28" t="n">
        <v>0.154</v>
      </c>
      <c r="H9" s="28" t="n">
        <v>0.144</v>
      </c>
      <c r="I9" s="29">
        <f>(1-ABS(G9-H9)/G9)*100</f>
        <v/>
      </c>
      <c r="J9" s="27" t="n">
        <v>1.17</v>
      </c>
      <c r="K9" s="28" t="n">
        <v>0.884</v>
      </c>
      <c r="L9" s="29">
        <f>(1-ABS(J9-K9)/J9)*100</f>
        <v/>
      </c>
      <c r="M9" s="27" t="n">
        <v>0.32</v>
      </c>
      <c r="N9" s="28" t="n">
        <v>0.289</v>
      </c>
      <c r="O9" s="29">
        <f>(1-ABS(M9-N9)/M9)*100</f>
        <v/>
      </c>
      <c r="P9" s="30" t="n"/>
      <c r="Q9" s="31" t="n">
        <v>0.615</v>
      </c>
      <c r="R9" s="27" t="n"/>
      <c r="S9" s="32" t="n">
        <v>14</v>
      </c>
      <c r="T9" s="30" t="n">
        <v>9.449999999999999</v>
      </c>
      <c r="U9" s="29">
        <f>(1-ABS(S9-T9)/S9)*100</f>
        <v/>
      </c>
    </row>
    <row r="10">
      <c r="B10" s="25" t="inlineStr">
        <is>
          <t>11/28</t>
        </is>
      </c>
      <c r="C10" s="26" t="n">
        <v>5031</v>
      </c>
      <c r="D10" s="27" t="n">
        <v>2.48</v>
      </c>
      <c r="E10" s="28" t="n">
        <v>2.469</v>
      </c>
      <c r="F10" s="29">
        <f>(1-ABS(D10-E10)/D10)*100</f>
        <v/>
      </c>
      <c r="G10" s="28" t="n">
        <v>0.156</v>
      </c>
      <c r="H10" s="28" t="n">
        <v>0.162</v>
      </c>
      <c r="I10" s="29">
        <f>(1-ABS(G10-H10)/G10)*100</f>
        <v/>
      </c>
      <c r="J10" s="27" t="n">
        <v>0.95</v>
      </c>
      <c r="K10" s="28" t="n">
        <v>1.004</v>
      </c>
      <c r="L10" s="29">
        <f>(1-ABS(J10-K10)/J10)*100</f>
        <v/>
      </c>
      <c r="M10" s="27" t="n">
        <v>0.32</v>
      </c>
      <c r="N10" s="28" t="n">
        <v>0.304</v>
      </c>
      <c r="O10" s="29">
        <f>(1-ABS(M10-N10)/M10)*100</f>
        <v/>
      </c>
      <c r="P10" s="30" t="n"/>
      <c r="Q10" s="31" t="n">
        <v>0.665</v>
      </c>
      <c r="R10" s="27" t="n"/>
      <c r="S10" s="32" t="n">
        <v>16</v>
      </c>
      <c r="T10" s="30" t="n">
        <v>11.58</v>
      </c>
      <c r="U10" s="29">
        <f>(1-ABS(S10-T10)/S10)*100</f>
        <v/>
      </c>
    </row>
    <row r="11">
      <c r="B11" s="25" t="inlineStr">
        <is>
          <t>12/12</t>
        </is>
      </c>
      <c r="C11" s="26" t="n">
        <v>5747</v>
      </c>
      <c r="D11" s="27" t="n">
        <v>2.47</v>
      </c>
      <c r="E11" s="28" t="n">
        <v>2.432</v>
      </c>
      <c r="F11" s="29">
        <f>(1-ABS(D11-E11)/D11)*100</f>
        <v/>
      </c>
      <c r="G11" s="28" t="n">
        <v>0.157</v>
      </c>
      <c r="H11" s="28" t="n">
        <v>0.16</v>
      </c>
      <c r="I11" s="29">
        <f>(1-ABS(G11-H11)/G11)*100</f>
        <v/>
      </c>
      <c r="J11" s="27" t="n">
        <v>0.93</v>
      </c>
      <c r="K11" s="28" t="n">
        <v>0.978</v>
      </c>
      <c r="L11" s="29">
        <f>(1-ABS(J11-K11)/J11)*100</f>
        <v/>
      </c>
      <c r="M11" s="27" t="n">
        <v>0.35</v>
      </c>
      <c r="N11" s="28" t="n">
        <v>0.31</v>
      </c>
      <c r="O11" s="29">
        <f>(1-ABS(M11-N11)/M11)*100</f>
        <v/>
      </c>
      <c r="P11" s="30" t="n"/>
      <c r="Q11" s="31" t="n">
        <v>0.67</v>
      </c>
      <c r="R11" s="27" t="n"/>
      <c r="S11" s="32" t="n">
        <v>17</v>
      </c>
      <c r="T11" s="30" t="n">
        <v>10.99</v>
      </c>
      <c r="U11" s="29">
        <f>(1-ABS(S11-T11)/S11)*100</f>
        <v/>
      </c>
    </row>
    <row r="12">
      <c r="B12" s="25" t="inlineStr">
        <is>
          <t>12/13</t>
        </is>
      </c>
      <c r="C12" s="26" t="n">
        <v>5755</v>
      </c>
      <c r="D12" s="27" t="n">
        <v>2.55</v>
      </c>
      <c r="E12" s="28" t="n">
        <v>2.463</v>
      </c>
      <c r="F12" s="29">
        <f>(1-ABS(D12-E12)/D12)*100</f>
        <v/>
      </c>
      <c r="G12" s="28" t="n">
        <v>0.159</v>
      </c>
      <c r="H12" s="28" t="n">
        <v>0.162</v>
      </c>
      <c r="I12" s="29">
        <f>(1-ABS(G12-H12)/G12)*100</f>
        <v/>
      </c>
      <c r="J12" s="27" t="n">
        <v>1.14</v>
      </c>
      <c r="K12" s="28" t="n">
        <v>0.995</v>
      </c>
      <c r="L12" s="29">
        <f>(1-ABS(J12-K12)/J12)*100</f>
        <v/>
      </c>
      <c r="M12" s="27" t="n">
        <v>0.28</v>
      </c>
      <c r="N12" s="28" t="n">
        <v>0.302</v>
      </c>
      <c r="O12" s="29">
        <f>(1-ABS(M12-N12)/M12)*100</f>
        <v/>
      </c>
      <c r="P12" s="30" t="n"/>
      <c r="Q12" s="31" t="n">
        <v>0.667</v>
      </c>
      <c r="R12" s="27" t="n"/>
      <c r="S12" s="32" t="n">
        <v>13</v>
      </c>
      <c r="T12" s="30" t="n">
        <v>11.26</v>
      </c>
      <c r="U12" s="29">
        <f>(1-ABS(S12-T12)/S12)*100</f>
        <v/>
      </c>
    </row>
    <row r="13">
      <c r="B13" s="25" t="inlineStr">
        <is>
          <t>12/14</t>
        </is>
      </c>
      <c r="C13" s="26" t="n">
        <v>4158</v>
      </c>
      <c r="D13" s="27" t="n">
        <v>2.57</v>
      </c>
      <c r="E13" s="28" t="n">
        <v>2.421</v>
      </c>
      <c r="F13" s="29">
        <f>(1-ABS(D13-E13)/D13)*100</f>
        <v/>
      </c>
      <c r="G13" s="28" t="n">
        <v>0.166</v>
      </c>
      <c r="H13" s="28" t="n">
        <v>0.158</v>
      </c>
      <c r="I13" s="29">
        <f>(1-ABS(G13-H13)/G13)*100</f>
        <v/>
      </c>
      <c r="J13" s="27" t="n">
        <v>1.05</v>
      </c>
      <c r="K13" s="28" t="n">
        <v>0.975</v>
      </c>
      <c r="L13" s="29">
        <f>(1-ABS(J13-K13)/J13)*100</f>
        <v/>
      </c>
      <c r="M13" s="27" t="n">
        <v>0.27</v>
      </c>
      <c r="N13" s="28" t="n">
        <v>0.281</v>
      </c>
      <c r="O13" s="29">
        <f>(1-ABS(M13-N13)/M13)*100</f>
        <v/>
      </c>
      <c r="P13" s="30" t="n"/>
      <c r="Q13" s="31" t="n">
        <v>0.641</v>
      </c>
      <c r="R13" s="27" t="n"/>
      <c r="S13" s="32" t="n">
        <v>13</v>
      </c>
      <c r="T13" s="30" t="n">
        <v>11.16</v>
      </c>
      <c r="U13" s="29">
        <f>(1-ABS(S13-T13)/S13)*100</f>
        <v/>
      </c>
    </row>
    <row r="14">
      <c r="B14" s="25" t="inlineStr">
        <is>
          <t>13/12</t>
        </is>
      </c>
      <c r="C14" s="26" t="n">
        <v>11577</v>
      </c>
      <c r="D14" s="27" t="n">
        <v>2.69</v>
      </c>
      <c r="E14" s="28" t="n">
        <v>2.487</v>
      </c>
      <c r="F14" s="29">
        <f>(1-ABS(D14-E14)/D14)*100</f>
        <v/>
      </c>
      <c r="G14" s="28" t="n">
        <v>0.157</v>
      </c>
      <c r="H14" s="28" t="n">
        <v>0.163</v>
      </c>
      <c r="I14" s="29">
        <f>(1-ABS(G14-H14)/G14)*100</f>
        <v/>
      </c>
      <c r="J14" s="27" t="n">
        <v>0.9399999999999999</v>
      </c>
      <c r="K14" s="28" t="n">
        <v>1.008</v>
      </c>
      <c r="L14" s="29">
        <f>(1-ABS(J14-K14)/J14)*100</f>
        <v/>
      </c>
      <c r="M14" s="27" t="n">
        <v>0.31</v>
      </c>
      <c r="N14" s="28" t="n">
        <v>0.303</v>
      </c>
      <c r="O14" s="29">
        <f>(1-ABS(M14-N14)/M14)*100</f>
        <v/>
      </c>
      <c r="P14" s="30" t="n"/>
      <c r="Q14" s="31" t="n">
        <v>0.668</v>
      </c>
      <c r="R14" s="27" t="n"/>
      <c r="S14" s="32" t="n">
        <v>17</v>
      </c>
      <c r="T14" s="30" t="n">
        <v>11.54</v>
      </c>
      <c r="U14" s="29">
        <f>(1-ABS(S14-T14)/S14)*100</f>
        <v/>
      </c>
    </row>
    <row r="15">
      <c r="B15" s="25" t="inlineStr">
        <is>
          <t>13/13</t>
        </is>
      </c>
      <c r="C15" s="26" t="n">
        <v>5746</v>
      </c>
      <c r="D15" s="27" t="n">
        <v>2.68</v>
      </c>
      <c r="E15" s="28" t="n">
        <v>2</v>
      </c>
      <c r="F15" s="29">
        <f>(1-ABS(D15-E15)/D15)*100</f>
        <v/>
      </c>
      <c r="G15" s="28" t="n">
        <v>0.168</v>
      </c>
      <c r="H15" s="28" t="n">
        <v>0.132</v>
      </c>
      <c r="I15" s="29">
        <f>(1-ABS(G15-H15)/G15)*100</f>
        <v/>
      </c>
      <c r="J15" s="27" t="n">
        <v>1.15</v>
      </c>
      <c r="K15" s="28" t="n">
        <v>0.778</v>
      </c>
      <c r="L15" s="29">
        <f>(1-ABS(J15-K15)/J15)*100</f>
        <v/>
      </c>
      <c r="M15" s="27" t="n">
        <v>0.28</v>
      </c>
      <c r="N15" s="28" t="n">
        <v>0.27</v>
      </c>
      <c r="O15" s="29">
        <f>(1-ABS(M15-N15)/M15)*100</f>
        <v/>
      </c>
      <c r="P15" s="30" t="n"/>
      <c r="Q15" s="31" t="n">
        <v>0.585</v>
      </c>
      <c r="R15" s="27" t="n"/>
      <c r="S15" s="32" t="n">
        <v>13</v>
      </c>
      <c r="T15" s="30" t="n">
        <v>7.73</v>
      </c>
      <c r="U15" s="29">
        <f>(1-ABS(S15-T15)/S15)*100</f>
        <v/>
      </c>
    </row>
    <row r="16">
      <c r="B16" s="25" t="inlineStr">
        <is>
          <t>13/14</t>
        </is>
      </c>
      <c r="C16" s="26" t="n">
        <v>6198</v>
      </c>
      <c r="D16" s="27" t="n">
        <v>2.52</v>
      </c>
      <c r="E16" s="28" t="n">
        <v>1.713</v>
      </c>
      <c r="F16" s="29">
        <f>(1-ABS(D16-E16)/D16)*100</f>
        <v/>
      </c>
      <c r="G16" s="28" t="n">
        <v>0.151</v>
      </c>
      <c r="H16" s="28" t="n">
        <v>0.108</v>
      </c>
      <c r="I16" s="29">
        <f>(1-ABS(G16-H16)/G16)*100</f>
        <v/>
      </c>
      <c r="J16" s="27" t="n">
        <v>0.9399999999999999</v>
      </c>
      <c r="K16" s="28" t="n">
        <v>0.652</v>
      </c>
      <c r="L16" s="29">
        <f>(1-ABS(J16-K16)/J16)*100</f>
        <v/>
      </c>
      <c r="M16" s="27" t="n">
        <v>0.3</v>
      </c>
      <c r="N16" s="28" t="n">
        <v>0.238</v>
      </c>
      <c r="O16" s="29">
        <f>(1-ABS(M16-N16)/M16)*100</f>
        <v/>
      </c>
      <c r="P16" s="30" t="n"/>
      <c r="Q16" s="31" t="n">
        <v>0.473</v>
      </c>
      <c r="R16" s="27" t="n"/>
      <c r="S16" s="32" t="n">
        <v>15</v>
      </c>
      <c r="T16" s="30" t="n">
        <v>6.36</v>
      </c>
      <c r="U16" s="29">
        <f>(1-ABS(S16-T16)/S16)*100</f>
        <v/>
      </c>
    </row>
    <row r="17" ht="35" customHeight="1">
      <c r="A17" s="34" t="inlineStr">
        <is>
          <t>AVG ACCURACY</t>
        </is>
      </c>
      <c r="B17" s="22" t="inlineStr">
        <is>
          <t>R^2 (Coefficient of determination)</t>
        </is>
      </c>
      <c r="D17" s="22" t="n"/>
      <c r="F17" s="35">
        <f>AVERAGE(F7:F16)</f>
        <v/>
      </c>
      <c r="G17" s="22" t="n"/>
      <c r="I17" s="35">
        <f>AVERAGE(I7:I16)</f>
        <v/>
      </c>
      <c r="J17" s="22" t="n"/>
      <c r="L17" s="35">
        <f>AVERAGE(L7:L16)</f>
        <v/>
      </c>
      <c r="M17" s="22" t="n"/>
      <c r="O17" s="35">
        <f>AVERAGE(O7:O16)</f>
        <v/>
      </c>
      <c r="P17" s="13" t="n"/>
      <c r="R17" s="36" t="inlineStr">
        <is>
          <t>-</t>
        </is>
      </c>
      <c r="S17" s="13" t="n"/>
      <c r="U17" s="37">
        <f>AVERAGE(U7:U16)</f>
        <v/>
      </c>
    </row>
    <row r="18" ht="40" customHeight="1">
      <c r="A18" s="38" t="inlineStr">
        <is>
          <t>Best result closer to 0</t>
        </is>
      </c>
      <c r="B18" s="25" t="inlineStr">
        <is>
          <t>R^2 (Coefficient of determination)</t>
        </is>
      </c>
      <c r="C18" s="39" t="n"/>
      <c r="D18" s="40">
        <f>RSQ(E7:E16, D7:D16)</f>
        <v/>
      </c>
      <c r="E18" s="41" t="n"/>
      <c r="F18" s="39" t="n"/>
      <c r="G18" s="40">
        <f>RSQ(H7:H16, G7:G16)</f>
        <v/>
      </c>
      <c r="H18" s="41" t="n"/>
      <c r="I18" s="39" t="n"/>
      <c r="J18" s="40">
        <f>RSQ(K7:K16, J7:J16)</f>
        <v/>
      </c>
      <c r="K18" s="41" t="n"/>
      <c r="L18" s="39" t="n"/>
      <c r="M18" s="40">
        <f>RSQ(N7:N16, M7:M16)</f>
        <v/>
      </c>
      <c r="N18" s="41" t="n"/>
      <c r="O18" s="39" t="n"/>
      <c r="P18" s="42" t="inlineStr">
        <is>
          <t>-</t>
        </is>
      </c>
      <c r="Q18" s="41" t="n"/>
      <c r="R18" s="39" t="n"/>
      <c r="S18" s="42">
        <f>RSQ(T7:T16, S7:S16)</f>
        <v/>
      </c>
      <c r="T18" s="41" t="n"/>
      <c r="U18" s="39" t="n"/>
    </row>
    <row r="19" ht="39" customHeight="1">
      <c r="A19" s="38" t="inlineStr">
        <is>
          <t>Best result closer to 1</t>
        </is>
      </c>
      <c r="B19" s="25" t="inlineStr">
        <is>
          <t>MAE (Average size of prediction errors)</t>
        </is>
      </c>
      <c r="C19" s="39" t="n"/>
      <c r="D19" s="40">
        <f>SUMPRODUCT(ABS(D7:D16-E7:E16))/COUNT(D7:D16)</f>
        <v/>
      </c>
      <c r="E19" s="41" t="n"/>
      <c r="F19" s="39" t="n"/>
      <c r="G19" s="40">
        <f>SUMPRODUCT(ABS(G7:G16-H7:H16))/COUNT(G7:G16)</f>
        <v/>
      </c>
      <c r="H19" s="41" t="n"/>
      <c r="I19" s="39" t="n"/>
      <c r="J19" s="40">
        <f>SUMPRODUCT(ABS(J7:J16-K7:K16))/COUNT(J7:J16)</f>
        <v/>
      </c>
      <c r="K19" s="41" t="n"/>
      <c r="L19" s="39" t="n"/>
      <c r="M19" s="40">
        <f>SUMPRODUCT(ABS(M7:M16-N7:N16))/COUNT(M7:M16)</f>
        <v/>
      </c>
      <c r="N19" s="41" t="n"/>
      <c r="O19" s="39" t="n"/>
      <c r="P19" s="42" t="inlineStr">
        <is>
          <t>-</t>
        </is>
      </c>
      <c r="Q19" s="41" t="n"/>
      <c r="R19" s="39" t="n"/>
      <c r="S19" s="42">
        <f>SUMPRODUCT(ABS(S7:S16-T7:T16))/COUNT(S7:S16)</f>
        <v/>
      </c>
      <c r="T19" s="41" t="n"/>
      <c r="U19" s="39" t="n"/>
    </row>
    <row r="20" ht="66" customHeight="1">
      <c r="A20" s="38" t="inlineStr">
        <is>
          <t>Best result closer to 1</t>
        </is>
      </c>
      <c r="B20" s="25" t="inlineStr">
        <is>
          <t>RMSE (Prediction error, with larger mistakes penalised more)</t>
        </is>
      </c>
      <c r="C20" s="39" t="n"/>
      <c r="D20" s="40">
        <f>SQRT(SUMXMY2(D7:D16, E7:E16)/COUNT(D7:D16))</f>
        <v/>
      </c>
      <c r="E20" s="41" t="n"/>
      <c r="F20" s="39" t="n"/>
      <c r="G20" s="40">
        <f>SQRT(SUMXMY2(G7:G16, H7:H16)/COUNT(G7:G16))</f>
        <v/>
      </c>
      <c r="H20" s="41" t="n"/>
      <c r="I20" s="39" t="n"/>
      <c r="J20" s="40">
        <f>SQRT(SUMXMY2(J7:J16, K7:K16)/COUNT(J7:J16))</f>
        <v/>
      </c>
      <c r="K20" s="41" t="n"/>
      <c r="L20" s="39" t="n"/>
      <c r="M20" s="40">
        <f>SQRT(SUMXMY2(M7:M16, N7:N16)/COUNT(M7:M16))</f>
        <v/>
      </c>
      <c r="N20" s="41" t="n"/>
      <c r="O20" s="39" t="n"/>
      <c r="P20" s="42" t="inlineStr">
        <is>
          <t>-</t>
        </is>
      </c>
      <c r="Q20" s="41" t="n"/>
      <c r="R20" s="39" t="n"/>
      <c r="S20" s="42">
        <f>SQRT(SUMXMY2(S7:S16, T7:T16)/COUNT(S7:S16))</f>
        <v/>
      </c>
      <c r="T20" s="41" t="n"/>
      <c r="U20" s="39" t="n"/>
    </row>
  </sheetData>
  <mergeCells count="31">
    <mergeCell ref="B4:O4"/>
    <mergeCell ref="G19:I19"/>
    <mergeCell ref="G18:I18"/>
    <mergeCell ref="J20:L20"/>
    <mergeCell ref="B18:C18"/>
    <mergeCell ref="S19:U19"/>
    <mergeCell ref="G5:I5"/>
    <mergeCell ref="P19:R19"/>
    <mergeCell ref="M18:O18"/>
    <mergeCell ref="D18:F18"/>
    <mergeCell ref="P18:R18"/>
    <mergeCell ref="G20:I20"/>
    <mergeCell ref="S20:U20"/>
    <mergeCell ref="S5:U5"/>
    <mergeCell ref="M19:O19"/>
    <mergeCell ref="D5:F5"/>
    <mergeCell ref="P5:R5"/>
    <mergeCell ref="J18:L18"/>
    <mergeCell ref="B19:C19"/>
    <mergeCell ref="D20:F20"/>
    <mergeCell ref="B5:B6"/>
    <mergeCell ref="P20:R20"/>
    <mergeCell ref="P4:U4"/>
    <mergeCell ref="J5:L5"/>
    <mergeCell ref="D19:F19"/>
    <mergeCell ref="J19:L19"/>
    <mergeCell ref="B20:C20"/>
    <mergeCell ref="M5:O5"/>
    <mergeCell ref="S18:U18"/>
    <mergeCell ref="M20:O20"/>
    <mergeCell ref="C5:C6"/>
  </mergeCells>
  <conditionalFormatting sqref="F7:F16 I7:I16 L7:L16 O7:O16 U7:U16">
    <cfRule type="cellIs" priority="1" operator="lessThanOrEqual" dxfId="1">
      <formula>80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2"/>
  <sheetViews>
    <sheetView showGridLines="1" workbookViewId="0">
      <selection activeCell="A1" sqref="A1"/>
    </sheetView>
  </sheetViews>
  <sheetFormatPr baseColWidth="8" defaultRowHeight="15"/>
  <cols>
    <col width="10.83203125" customWidth="1" min="1" max="1"/>
  </cols>
  <sheetData>
    <row r="1"/>
    <row r="2"/>
    <row r="3"/>
    <row r="4">
      <c r="B4" s="12" t="n"/>
      <c r="P4" s="13" t="inlineStr">
        <is>
          <t>On-going Research for Ca and B Models</t>
        </is>
      </c>
      <c r="Q4" s="14" t="n"/>
      <c r="R4" s="14" t="n"/>
      <c r="S4" s="14" t="n"/>
      <c r="T4" s="14" t="n"/>
      <c r="U4" s="15" t="n"/>
    </row>
    <row r="5" ht="34" customHeight="1">
      <c r="B5" s="16" t="inlineStr">
        <is>
          <t>Plot</t>
        </is>
      </c>
      <c r="C5" s="17" t="inlineStr">
        <is>
          <t>Pixels sampled</t>
        </is>
      </c>
      <c r="D5" s="18" t="inlineStr">
        <is>
          <t>N</t>
        </is>
      </c>
      <c r="E5" s="14" t="n"/>
      <c r="F5" s="15" t="n"/>
      <c r="G5" s="18" t="inlineStr">
        <is>
          <t>P (%)</t>
        </is>
      </c>
      <c r="H5" s="14" t="n"/>
      <c r="I5" s="15" t="n"/>
      <c r="J5" s="18" t="inlineStr">
        <is>
          <t>K (%)</t>
        </is>
      </c>
      <c r="K5" s="14" t="n"/>
      <c r="L5" s="15" t="n"/>
      <c r="M5" s="18" t="inlineStr">
        <is>
          <t>Mg (%)</t>
        </is>
      </c>
      <c r="N5" s="14" t="n"/>
      <c r="O5" s="15" t="n"/>
      <c r="P5" s="19" t="inlineStr">
        <is>
          <t>Ca (%)</t>
        </is>
      </c>
      <c r="Q5" s="14" t="n"/>
      <c r="R5" s="15" t="n"/>
      <c r="S5" s="19" t="inlineStr">
        <is>
          <t>B (%)</t>
        </is>
      </c>
      <c r="T5" s="14" t="n"/>
      <c r="U5" s="15" t="n"/>
    </row>
    <row r="6" ht="34" customHeight="1">
      <c r="B6" s="20" t="n"/>
      <c r="C6" s="21" t="n"/>
      <c r="D6" s="22" t="inlineStr">
        <is>
          <t>Lab Actual (%)</t>
        </is>
      </c>
      <c r="E6" s="23" t="inlineStr">
        <is>
          <t>Prediction (%)</t>
        </is>
      </c>
      <c r="F6" s="24" t="inlineStr">
        <is>
          <t>Accuracy (%)</t>
        </is>
      </c>
      <c r="G6" s="22" t="inlineStr">
        <is>
          <t>Lab Actual (%)</t>
        </is>
      </c>
      <c r="H6" s="23" t="inlineStr">
        <is>
          <t>Prediction (%)</t>
        </is>
      </c>
      <c r="I6" s="24" t="inlineStr">
        <is>
          <t>Accuracy (%)</t>
        </is>
      </c>
      <c r="J6" s="22" t="inlineStr">
        <is>
          <t>Lab Actual (%)</t>
        </is>
      </c>
      <c r="K6" s="23" t="inlineStr">
        <is>
          <t>Prediction (%)</t>
        </is>
      </c>
      <c r="L6" s="24" t="inlineStr">
        <is>
          <t>Accuracy (%)</t>
        </is>
      </c>
      <c r="M6" s="22" t="inlineStr">
        <is>
          <t>Lab Actual (%)</t>
        </is>
      </c>
      <c r="N6" s="23" t="inlineStr">
        <is>
          <t>Prediction (%)</t>
        </is>
      </c>
      <c r="O6" s="24" t="inlineStr">
        <is>
          <t>Accuracy (%)</t>
        </is>
      </c>
      <c r="P6" s="13" t="inlineStr">
        <is>
          <t>Lab Actual (%)</t>
        </is>
      </c>
      <c r="Q6" s="13" t="inlineStr">
        <is>
          <t>Prediction (%)</t>
        </is>
      </c>
      <c r="R6" s="24" t="inlineStr">
        <is>
          <t>Accuracy (%)</t>
        </is>
      </c>
      <c r="S6" s="13" t="inlineStr">
        <is>
          <t>Lab Actual (%)</t>
        </is>
      </c>
      <c r="T6" s="13" t="inlineStr">
        <is>
          <t>Prediction (%)</t>
        </is>
      </c>
      <c r="U6" s="24" t="inlineStr">
        <is>
          <t>Accuracy (%)</t>
        </is>
      </c>
    </row>
    <row r="7">
      <c r="B7" s="25" t="inlineStr">
        <is>
          <t>09/17</t>
        </is>
      </c>
      <c r="C7" s="26" t="n">
        <v>4736</v>
      </c>
      <c r="D7" s="27" t="n">
        <v>2.62</v>
      </c>
      <c r="E7" s="28" t="n">
        <v>2.574</v>
      </c>
      <c r="F7" s="29">
        <f>(1-ABS(D7-E7)/D7)*100</f>
        <v/>
      </c>
      <c r="G7" s="28" t="n">
        <v>0.162</v>
      </c>
      <c r="H7" s="28" t="n">
        <v>0.166</v>
      </c>
      <c r="I7" s="29">
        <f>(1-ABS(G7-H7)/G7)*100</f>
        <v/>
      </c>
      <c r="J7" s="27" t="n">
        <v>1.07</v>
      </c>
      <c r="K7" s="28" t="n">
        <v>1.035</v>
      </c>
      <c r="L7" s="29">
        <f>(1-ABS(J7-K7)/J7)*100</f>
        <v/>
      </c>
      <c r="M7" s="27" t="n">
        <v>0.29</v>
      </c>
      <c r="N7" s="28" t="n">
        <v>0.293</v>
      </c>
      <c r="O7" s="29">
        <f>(1-ABS(M7-N7)/M7)*100</f>
        <v/>
      </c>
      <c r="P7" s="30" t="n"/>
      <c r="Q7" s="31" t="n">
        <v>0.656</v>
      </c>
      <c r="R7" s="27" t="n"/>
      <c r="S7" s="32" t="n">
        <v>12</v>
      </c>
      <c r="T7" s="30" t="n">
        <v>12.62</v>
      </c>
      <c r="U7" s="29">
        <f>(1-ABS(S7-T7)/S7)*100</f>
        <v/>
      </c>
    </row>
    <row r="8">
      <c r="B8" s="25" t="inlineStr">
        <is>
          <t>09/18</t>
        </is>
      </c>
      <c r="C8" s="26" t="n">
        <v>5128</v>
      </c>
      <c r="D8" s="27" t="n">
        <v>2.64</v>
      </c>
      <c r="E8" s="28" t="n">
        <v>2.487</v>
      </c>
      <c r="F8" s="29">
        <f>(1-ABS(D8-E8)/D8)*100</f>
        <v/>
      </c>
      <c r="G8" s="28" t="n">
        <v>0.162</v>
      </c>
      <c r="H8" s="28" t="n">
        <v>0.161</v>
      </c>
      <c r="I8" s="29">
        <f>(1-ABS(G8-H8)/G8)*100</f>
        <v/>
      </c>
      <c r="J8" s="27" t="n">
        <v>0.98</v>
      </c>
      <c r="K8" s="28" t="n">
        <v>0.999</v>
      </c>
      <c r="L8" s="29">
        <f>(1-ABS(J8-K8)/J8)*100</f>
        <v/>
      </c>
      <c r="M8" s="27" t="n">
        <v>0.32</v>
      </c>
      <c r="N8" s="28" t="n">
        <v>0.294</v>
      </c>
      <c r="O8" s="29">
        <f>(1-ABS(M8-N8)/M8)*100</f>
        <v/>
      </c>
      <c r="P8" s="30" t="n"/>
      <c r="Q8" s="31" t="n">
        <v>0.645</v>
      </c>
      <c r="R8" s="27" t="n"/>
      <c r="S8" s="32" t="n">
        <v>13</v>
      </c>
      <c r="T8" s="30" t="n">
        <v>12.63</v>
      </c>
      <c r="U8" s="29">
        <f>(1-ABS(S8-T8)/S8)*100</f>
        <v/>
      </c>
    </row>
    <row r="9">
      <c r="B9" s="25" t="inlineStr">
        <is>
          <t>09/19</t>
        </is>
      </c>
      <c r="C9" s="26" t="n">
        <v>5186</v>
      </c>
      <c r="D9" s="27" t="n">
        <v>2.69</v>
      </c>
      <c r="E9" s="28" t="n">
        <v>2.533</v>
      </c>
      <c r="F9" s="29">
        <f>(1-ABS(D9-E9)/D9)*100</f>
        <v/>
      </c>
      <c r="G9" s="28" t="n">
        <v>0.163</v>
      </c>
      <c r="H9" s="28" t="n">
        <v>0.163</v>
      </c>
      <c r="I9" s="29">
        <f>(1-ABS(G9-H9)/G9)*100</f>
        <v/>
      </c>
      <c r="J9" s="27" t="n">
        <v>1.02</v>
      </c>
      <c r="K9" s="28" t="n">
        <v>1.028</v>
      </c>
      <c r="L9" s="29">
        <f>(1-ABS(J9-K9)/J9)*100</f>
        <v/>
      </c>
      <c r="M9" s="27" t="n">
        <v>0.33</v>
      </c>
      <c r="N9" s="28" t="n">
        <v>0.267</v>
      </c>
      <c r="O9" s="29">
        <f>(1-ABS(M9-N9)/M9)*100</f>
        <v/>
      </c>
      <c r="P9" s="30" t="n"/>
      <c r="Q9" s="31" t="n">
        <v>0.642</v>
      </c>
      <c r="R9" s="27" t="n"/>
      <c r="S9" s="32" t="n">
        <v>12</v>
      </c>
      <c r="T9" s="30" t="n">
        <v>13.81</v>
      </c>
      <c r="U9" s="29">
        <f>(1-ABS(S9-T9)/S9)*100</f>
        <v/>
      </c>
    </row>
    <row r="10">
      <c r="B10" s="25" t="inlineStr">
        <is>
          <t>09/20</t>
        </is>
      </c>
      <c r="C10" s="26" t="n">
        <v>4936</v>
      </c>
      <c r="D10" s="27" t="n">
        <v>2.76</v>
      </c>
      <c r="E10" s="28" t="n">
        <v>2.554</v>
      </c>
      <c r="F10" s="29">
        <f>(1-ABS(D10-E10)/D10)*100</f>
        <v/>
      </c>
      <c r="G10" s="28" t="n">
        <v>0.175</v>
      </c>
      <c r="H10" s="28" t="n">
        <v>0.166</v>
      </c>
      <c r="I10" s="29">
        <f>(1-ABS(G10-H10)/G10)*100</f>
        <v/>
      </c>
      <c r="J10" s="27" t="n">
        <v>1.13</v>
      </c>
      <c r="K10" s="28" t="n">
        <v>1.041</v>
      </c>
      <c r="L10" s="29">
        <f>(1-ABS(J10-K10)/J10)*100</f>
        <v/>
      </c>
      <c r="M10" s="27" t="n">
        <v>0.31</v>
      </c>
      <c r="N10" s="28" t="n">
        <v>0.274</v>
      </c>
      <c r="O10" s="29">
        <f>(1-ABS(M10-N10)/M10)*100</f>
        <v/>
      </c>
      <c r="P10" s="30" t="n"/>
      <c r="Q10" s="31" t="n">
        <v>0.646</v>
      </c>
      <c r="R10" s="27" t="n"/>
      <c r="S10" s="32" t="n">
        <v>12</v>
      </c>
      <c r="T10" s="30" t="n">
        <v>14.19</v>
      </c>
      <c r="U10" s="29">
        <f>(1-ABS(S10-T10)/S10)*100</f>
        <v/>
      </c>
    </row>
    <row r="11">
      <c r="B11" s="25" t="inlineStr">
        <is>
          <t>09/21</t>
        </is>
      </c>
      <c r="C11" s="26" t="n">
        <v>6857</v>
      </c>
      <c r="D11" s="27" t="n">
        <v>2.68</v>
      </c>
      <c r="E11" s="28" t="n">
        <v>2.508</v>
      </c>
      <c r="F11" s="29">
        <f>(1-ABS(D11-E11)/D11)*100</f>
        <v/>
      </c>
      <c r="G11" s="28" t="n">
        <v>0.156</v>
      </c>
      <c r="H11" s="28" t="n">
        <v>0.162</v>
      </c>
      <c r="I11" s="29">
        <f>(1-ABS(G11-H11)/G11)*100</f>
        <v/>
      </c>
      <c r="J11" s="27" t="n">
        <v>1.08</v>
      </c>
      <c r="K11" s="28" t="n">
        <v>1.012</v>
      </c>
      <c r="L11" s="29">
        <f>(1-ABS(J11-K11)/J11)*100</f>
        <v/>
      </c>
      <c r="M11" s="27" t="n">
        <v>0.34</v>
      </c>
      <c r="N11" s="28" t="n">
        <v>0.296</v>
      </c>
      <c r="O11" s="29">
        <f>(1-ABS(M11-N11)/M11)*100</f>
        <v/>
      </c>
      <c r="P11" s="30" t="n"/>
      <c r="Q11" s="31" t="n">
        <v>0.66</v>
      </c>
      <c r="R11" s="27" t="n"/>
      <c r="S11" s="32" t="n">
        <v>12</v>
      </c>
      <c r="T11" s="30" t="n">
        <v>12.71</v>
      </c>
      <c r="U11" s="29">
        <f>(1-ABS(S11-T11)/S11)*100</f>
        <v/>
      </c>
    </row>
    <row r="12">
      <c r="B12" s="25" t="inlineStr">
        <is>
          <t>09/22</t>
        </is>
      </c>
      <c r="C12" s="26" t="n">
        <v>4524</v>
      </c>
      <c r="D12" s="27" t="n">
        <v>2.58</v>
      </c>
      <c r="E12" s="28" t="n">
        <v>2.548</v>
      </c>
      <c r="F12" s="29">
        <f>(1-ABS(D12-E12)/D12)*100</f>
        <v/>
      </c>
      <c r="G12" s="28" t="n">
        <v>0.154</v>
      </c>
      <c r="H12" s="28" t="n">
        <v>0.165</v>
      </c>
      <c r="I12" s="29">
        <f>(1-ABS(G12-H12)/G12)*100</f>
        <v/>
      </c>
      <c r="J12" s="27" t="n">
        <v>1.1</v>
      </c>
      <c r="K12" s="28" t="n">
        <v>1.034</v>
      </c>
      <c r="L12" s="29">
        <f>(1-ABS(J12-K12)/J12)*100</f>
        <v/>
      </c>
      <c r="M12" s="27" t="n">
        <v>0.34</v>
      </c>
      <c r="N12" s="28" t="n">
        <v>0.28</v>
      </c>
      <c r="O12" s="29">
        <f>(1-ABS(M12-N12)/M12)*100</f>
        <v/>
      </c>
      <c r="P12" s="30" t="n"/>
      <c r="Q12" s="31" t="n">
        <v>0.65</v>
      </c>
      <c r="R12" s="27" t="n"/>
      <c r="S12" s="32" t="n">
        <v>12</v>
      </c>
      <c r="T12" s="30" t="n">
        <v>13.47</v>
      </c>
      <c r="U12" s="29">
        <f>(1-ABS(S12-T12)/S12)*100</f>
        <v/>
      </c>
    </row>
    <row r="13">
      <c r="B13" s="25" t="inlineStr">
        <is>
          <t>09/23</t>
        </is>
      </c>
      <c r="C13" s="26" t="n">
        <v>5740</v>
      </c>
      <c r="D13" s="27" t="n">
        <v>2.61</v>
      </c>
      <c r="E13" s="28" t="n">
        <v>2.463</v>
      </c>
      <c r="F13" s="29">
        <f>(1-ABS(D13-E13)/D13)*100</f>
        <v/>
      </c>
      <c r="G13" s="28" t="n">
        <v>0.163</v>
      </c>
      <c r="H13" s="28" t="n">
        <v>0.159</v>
      </c>
      <c r="I13" s="29">
        <f>(1-ABS(G13-H13)/G13)*100</f>
        <v/>
      </c>
      <c r="J13" s="27" t="n">
        <v>1.05</v>
      </c>
      <c r="K13" s="28" t="n">
        <v>0.996</v>
      </c>
      <c r="L13" s="29">
        <f>(1-ABS(J13-K13)/J13)*100</f>
        <v/>
      </c>
      <c r="M13" s="27" t="n">
        <v>0.29</v>
      </c>
      <c r="N13" s="28" t="n">
        <v>0.3</v>
      </c>
      <c r="O13" s="29">
        <f>(1-ABS(M13-N13)/M13)*100</f>
        <v/>
      </c>
      <c r="P13" s="30" t="n"/>
      <c r="Q13" s="31" t="n">
        <v>0.66</v>
      </c>
      <c r="R13" s="27" t="n"/>
      <c r="S13" s="32" t="n">
        <v>11</v>
      </c>
      <c r="T13" s="30" t="n">
        <v>11.6</v>
      </c>
      <c r="U13" s="29">
        <f>(1-ABS(S13-T13)/S13)*100</f>
        <v/>
      </c>
    </row>
    <row r="14">
      <c r="B14" s="25" t="inlineStr">
        <is>
          <t>10/03</t>
        </is>
      </c>
      <c r="C14" s="26" t="n">
        <v>5585</v>
      </c>
      <c r="D14" s="27" t="n">
        <v>2.92</v>
      </c>
      <c r="E14" s="28" t="n">
        <v>2.511</v>
      </c>
      <c r="F14" s="29">
        <f>(1-ABS(D14-E14)/D14)*100</f>
        <v/>
      </c>
      <c r="G14" s="28" t="n">
        <v>0.173</v>
      </c>
      <c r="H14" s="28" t="n">
        <v>0.162</v>
      </c>
      <c r="I14" s="29">
        <f>(1-ABS(G14-H14)/G14)*100</f>
        <v/>
      </c>
      <c r="J14" s="27" t="n">
        <v>1.01</v>
      </c>
      <c r="K14" s="28" t="n">
        <v>1.009</v>
      </c>
      <c r="L14" s="29">
        <f>(1-ABS(J14-K14)/J14)*100</f>
        <v/>
      </c>
      <c r="M14" s="27" t="n">
        <v>0.32</v>
      </c>
      <c r="N14" s="28" t="n">
        <v>0.297</v>
      </c>
      <c r="O14" s="29">
        <f>(1-ABS(M14-N14)/M14)*100</f>
        <v/>
      </c>
      <c r="P14" s="30" t="n"/>
      <c r="Q14" s="31" t="n">
        <v>0.646</v>
      </c>
      <c r="R14" s="27" t="n"/>
      <c r="S14" s="32" t="n">
        <v>15</v>
      </c>
      <c r="T14" s="30" t="n">
        <v>13.11</v>
      </c>
      <c r="U14" s="29">
        <f>(1-ABS(S14-T14)/S14)*100</f>
        <v/>
      </c>
    </row>
    <row r="15">
      <c r="B15" s="25" t="inlineStr">
        <is>
          <t>11/04</t>
        </is>
      </c>
      <c r="C15" s="26" t="n">
        <v>5465</v>
      </c>
      <c r="D15" s="27" t="n">
        <v>2.67</v>
      </c>
      <c r="E15" s="28" t="n">
        <v>2.368</v>
      </c>
      <c r="F15" s="29">
        <f>(1-ABS(D15-E15)/D15)*100</f>
        <v/>
      </c>
      <c r="G15" s="28" t="n">
        <v>0.161</v>
      </c>
      <c r="H15" s="28" t="n">
        <v>0.152</v>
      </c>
      <c r="I15" s="29">
        <f>(1-ABS(G15-H15)/G15)*100</f>
        <v/>
      </c>
      <c r="J15" s="27" t="n">
        <v>1.09</v>
      </c>
      <c r="K15" s="28" t="n">
        <v>0.952</v>
      </c>
      <c r="L15" s="29">
        <f>(1-ABS(J15-K15)/J15)*100</f>
        <v/>
      </c>
      <c r="M15" s="27" t="n">
        <v>0.25</v>
      </c>
      <c r="N15" s="28" t="n">
        <v>0.283</v>
      </c>
      <c r="O15" s="29">
        <f>(1-ABS(M15-N15)/M15)*100</f>
        <v/>
      </c>
      <c r="P15" s="30" t="n"/>
      <c r="Q15" s="31" t="n">
        <v>0.609</v>
      </c>
      <c r="R15" s="27" t="n"/>
      <c r="S15" s="32" t="n">
        <v>12</v>
      </c>
      <c r="T15" s="30" t="n">
        <v>12.37</v>
      </c>
      <c r="U15" s="29">
        <f>(1-ABS(S15-T15)/S15)*100</f>
        <v/>
      </c>
    </row>
    <row r="16">
      <c r="B16" s="25" t="inlineStr">
        <is>
          <t>13/07</t>
        </is>
      </c>
      <c r="C16" s="26" t="n">
        <v>3882</v>
      </c>
      <c r="D16" s="27" t="n">
        <v>2.85</v>
      </c>
      <c r="E16" s="28" t="n">
        <v>2.335</v>
      </c>
      <c r="F16" s="29">
        <f>(1-ABS(D16-E16)/D16)*100</f>
        <v/>
      </c>
      <c r="G16" s="28" t="n">
        <v>0.167</v>
      </c>
      <c r="H16" s="28" t="n">
        <v>0.151</v>
      </c>
      <c r="I16" s="29">
        <f>(1-ABS(G16-H16)/G16)*100</f>
        <v/>
      </c>
      <c r="J16" s="27" t="n">
        <v>1.11</v>
      </c>
      <c r="K16" s="28" t="n">
        <v>0.931</v>
      </c>
      <c r="L16" s="29">
        <f>(1-ABS(J16-K16)/J16)*100</f>
        <v/>
      </c>
      <c r="M16" s="27" t="n">
        <v>0.3</v>
      </c>
      <c r="N16" s="28" t="n">
        <v>0.288</v>
      </c>
      <c r="O16" s="29">
        <f>(1-ABS(M16-N16)/M16)*100</f>
        <v/>
      </c>
      <c r="P16" s="30" t="n"/>
      <c r="Q16" s="31" t="n">
        <v>0.625</v>
      </c>
      <c r="R16" s="27" t="n"/>
      <c r="S16" s="32" t="n">
        <v>12</v>
      </c>
      <c r="T16" s="30" t="n">
        <v>10.5</v>
      </c>
      <c r="U16" s="29">
        <f>(1-ABS(S16-T16)/S16)*100</f>
        <v/>
      </c>
    </row>
    <row r="17" ht="40" customHeight="1">
      <c r="A17" s="33" t="inlineStr">
        <is>
          <t>Best result closer to 1</t>
        </is>
      </c>
      <c r="B17" s="25" t="inlineStr">
        <is>
          <t>13/08</t>
        </is>
      </c>
      <c r="C17" s="26" t="n">
        <v>5891</v>
      </c>
      <c r="D17" s="27" t="n">
        <v>2.92</v>
      </c>
      <c r="E17" s="28" t="n">
        <v>2.55</v>
      </c>
      <c r="F17" s="29">
        <f>(1-ABS(D17-E17)/D17)*100</f>
        <v/>
      </c>
      <c r="G17" s="28" t="n">
        <v>0.163</v>
      </c>
      <c r="H17" s="28" t="n">
        <v>0.165</v>
      </c>
      <c r="I17" s="29">
        <f>(1-ABS(G17-H17)/G17)*100</f>
        <v/>
      </c>
      <c r="J17" s="27" t="n">
        <v>1.14</v>
      </c>
      <c r="K17" s="28" t="n">
        <v>1.028</v>
      </c>
      <c r="L17" s="29">
        <f>(1-ABS(J17-K17)/J17)*100</f>
        <v/>
      </c>
      <c r="M17" s="27" t="n">
        <v>0.29</v>
      </c>
      <c r="N17" s="28" t="n">
        <v>0.297</v>
      </c>
      <c r="O17" s="29">
        <f>(1-ABS(M17-N17)/M17)*100</f>
        <v/>
      </c>
      <c r="P17" s="30" t="n"/>
      <c r="Q17" s="31" t="n">
        <v>0.66</v>
      </c>
      <c r="R17" s="27" t="n"/>
      <c r="S17" s="32" t="n">
        <v>12</v>
      </c>
      <c r="T17" s="30" t="n">
        <v>13.34</v>
      </c>
      <c r="U17" s="29">
        <f>(1-ABS(S17-T17)/S17)*100</f>
        <v/>
      </c>
    </row>
    <row r="18" ht="39" customHeight="1">
      <c r="A18" s="33" t="inlineStr">
        <is>
          <t>Best result closer to 0</t>
        </is>
      </c>
      <c r="B18" s="25" t="inlineStr">
        <is>
          <t>13/09</t>
        </is>
      </c>
      <c r="C18" s="26" t="n">
        <v>6746</v>
      </c>
      <c r="D18" s="27" t="n">
        <v>2.88</v>
      </c>
      <c r="E18" s="28" t="n">
        <v>2.535</v>
      </c>
      <c r="F18" s="29">
        <f>(1-ABS(D18-E18)/D18)*100</f>
        <v/>
      </c>
      <c r="G18" s="28" t="n">
        <v>0.171</v>
      </c>
      <c r="H18" s="28" t="n">
        <v>0.164</v>
      </c>
      <c r="I18" s="29">
        <f>(1-ABS(G18-H18)/G18)*100</f>
        <v/>
      </c>
      <c r="J18" s="27" t="n">
        <v>1.07</v>
      </c>
      <c r="K18" s="28" t="n">
        <v>1.021</v>
      </c>
      <c r="L18" s="29">
        <f>(1-ABS(J18-K18)/J18)*100</f>
        <v/>
      </c>
      <c r="M18" s="27" t="n">
        <v>0.35</v>
      </c>
      <c r="N18" s="28" t="n">
        <v>0.298</v>
      </c>
      <c r="O18" s="29">
        <f>(1-ABS(M18-N18)/M18)*100</f>
        <v/>
      </c>
      <c r="P18" s="30" t="n"/>
      <c r="Q18" s="31" t="n">
        <v>0.655</v>
      </c>
      <c r="R18" s="27" t="n"/>
      <c r="S18" s="32" t="n">
        <v>13</v>
      </c>
      <c r="T18" s="30" t="n">
        <v>12.84</v>
      </c>
      <c r="U18" s="29">
        <f>(1-ABS(S18-T18)/S18)*100</f>
        <v/>
      </c>
    </row>
    <row r="19" ht="35" customHeight="1">
      <c r="A19" s="34" t="inlineStr">
        <is>
          <t>AVG ACCURACY</t>
        </is>
      </c>
      <c r="B19" s="22" t="inlineStr">
        <is>
          <t>RMSE (Prediction error, with larger mistakes penalised more)</t>
        </is>
      </c>
      <c r="D19" s="22" t="n"/>
      <c r="F19" s="35">
        <f>AVERAGE(F7:F18)</f>
        <v/>
      </c>
      <c r="G19" s="22" t="n"/>
      <c r="I19" s="35">
        <f>AVERAGE(I7:I18)</f>
        <v/>
      </c>
      <c r="J19" s="22" t="n"/>
      <c r="L19" s="35">
        <f>AVERAGE(L7:L18)</f>
        <v/>
      </c>
      <c r="M19" s="22" t="n"/>
      <c r="O19" s="35">
        <f>AVERAGE(O7:O18)</f>
        <v/>
      </c>
      <c r="P19" s="13" t="n"/>
      <c r="R19" s="36" t="inlineStr">
        <is>
          <t>-</t>
        </is>
      </c>
      <c r="S19" s="13" t="n"/>
      <c r="U19" s="35">
        <f>AVERAGE(U7:U18)</f>
        <v/>
      </c>
    </row>
    <row r="20" ht="40" customHeight="1">
      <c r="A20" s="38" t="inlineStr">
        <is>
          <t>Best result closer to 0</t>
        </is>
      </c>
      <c r="B20" s="25" t="inlineStr">
        <is>
          <t>R^2 (Coefficient of determination)</t>
        </is>
      </c>
      <c r="C20" s="39" t="n"/>
      <c r="D20" s="40">
        <f>RSQ(E7:E18, D7:D18)</f>
        <v/>
      </c>
      <c r="E20" s="41" t="n"/>
      <c r="F20" s="39" t="n"/>
      <c r="G20" s="40">
        <f>RSQ(H7:H18, G7:G18)</f>
        <v/>
      </c>
      <c r="H20" s="41" t="n"/>
      <c r="I20" s="39" t="n"/>
      <c r="J20" s="40">
        <f>RSQ(K7:K18, J7:J18)</f>
        <v/>
      </c>
      <c r="K20" s="41" t="n"/>
      <c r="L20" s="39" t="n"/>
      <c r="M20" s="40">
        <f>RSQ(N7:N18, M7:M18)</f>
        <v/>
      </c>
      <c r="N20" s="41" t="n"/>
      <c r="O20" s="39" t="n"/>
      <c r="P20" s="42" t="inlineStr">
        <is>
          <t>-</t>
        </is>
      </c>
      <c r="Q20" s="41" t="n"/>
      <c r="R20" s="39" t="n"/>
      <c r="S20" s="42">
        <f>RSQ(T7:T18, S7:S18)</f>
        <v/>
      </c>
      <c r="T20" s="41" t="n"/>
      <c r="U20" s="39" t="n"/>
    </row>
    <row r="21" ht="39" customHeight="1">
      <c r="A21" s="38" t="inlineStr">
        <is>
          <t>Best result closer to 1</t>
        </is>
      </c>
      <c r="B21" s="25" t="inlineStr">
        <is>
          <t>MAE (Average size of prediction errors)</t>
        </is>
      </c>
      <c r="C21" s="39" t="n"/>
      <c r="D21" s="40">
        <f>SUMPRODUCT(ABS(D7:D18-E7:E18))/COUNT(D7:D18)</f>
        <v/>
      </c>
      <c r="E21" s="41" t="n"/>
      <c r="F21" s="39" t="n"/>
      <c r="G21" s="40">
        <f>SUMPRODUCT(ABS(G7:G18-H7:H18))/COUNT(G7:G18)</f>
        <v/>
      </c>
      <c r="H21" s="41" t="n"/>
      <c r="I21" s="39" t="n"/>
      <c r="J21" s="40">
        <f>SUMPRODUCT(ABS(J7:J18-K7:K18))/COUNT(J7:J18)</f>
        <v/>
      </c>
      <c r="K21" s="41" t="n"/>
      <c r="L21" s="39" t="n"/>
      <c r="M21" s="40">
        <f>SUMPRODUCT(ABS(M7:M18-N7:N18))/COUNT(M7:M18)</f>
        <v/>
      </c>
      <c r="N21" s="41" t="n"/>
      <c r="O21" s="39" t="n"/>
      <c r="P21" s="42" t="inlineStr">
        <is>
          <t>-</t>
        </is>
      </c>
      <c r="Q21" s="41" t="n"/>
      <c r="R21" s="39" t="n"/>
      <c r="S21" s="42">
        <f>SUMPRODUCT(ABS(S7:S18-T7:T18))/COUNT(S7:S18)</f>
        <v/>
      </c>
      <c r="T21" s="41" t="n"/>
      <c r="U21" s="39" t="n"/>
    </row>
    <row r="22" ht="66" customHeight="1">
      <c r="A22" s="38" t="inlineStr">
        <is>
          <t>Best result closer to 1</t>
        </is>
      </c>
      <c r="B22" s="25" t="inlineStr">
        <is>
          <t>RMSE (Prediction error, with larger mistakes penalised more)</t>
        </is>
      </c>
      <c r="C22" s="39" t="n"/>
      <c r="D22" s="40">
        <f>SQRT(SUMXMY2(D7:D18, E7:E18)/COUNT(D7:D18))</f>
        <v/>
      </c>
      <c r="E22" s="41" t="n"/>
      <c r="F22" s="39" t="n"/>
      <c r="G22" s="40">
        <f>SQRT(SUMXMY2(G7:G18, H7:H18)/COUNT(G7:G18))</f>
        <v/>
      </c>
      <c r="H22" s="41" t="n"/>
      <c r="I22" s="39" t="n"/>
      <c r="J22" s="40">
        <f>SQRT(SUMXMY2(J7:J18, K7:K18)/COUNT(J7:J18))</f>
        <v/>
      </c>
      <c r="K22" s="41" t="n"/>
      <c r="L22" s="39" t="n"/>
      <c r="M22" s="40">
        <f>SQRT(SUMXMY2(M7:M18, N7:N18)/COUNT(M7:M18))</f>
        <v/>
      </c>
      <c r="N22" s="41" t="n"/>
      <c r="O22" s="39" t="n"/>
      <c r="P22" s="42" t="inlineStr">
        <is>
          <t>-</t>
        </is>
      </c>
      <c r="Q22" s="41" t="n"/>
      <c r="R22" s="39" t="n"/>
      <c r="S22" s="42">
        <f>SQRT(SUMXMY2(S7:S18, T7:T18)/COUNT(S7:S18))</f>
        <v/>
      </c>
      <c r="T22" s="41" t="n"/>
      <c r="U22" s="39" t="n"/>
    </row>
  </sheetData>
  <mergeCells count="31">
    <mergeCell ref="P21:R21"/>
    <mergeCell ref="B4:O4"/>
    <mergeCell ref="M22:O22"/>
    <mergeCell ref="B22:C22"/>
    <mergeCell ref="J20:L20"/>
    <mergeCell ref="M21:O21"/>
    <mergeCell ref="B21:C21"/>
    <mergeCell ref="G5:I5"/>
    <mergeCell ref="J22:L22"/>
    <mergeCell ref="G20:I20"/>
    <mergeCell ref="J21:L21"/>
    <mergeCell ref="S20:U20"/>
    <mergeCell ref="S5:U5"/>
    <mergeCell ref="D5:F5"/>
    <mergeCell ref="P5:R5"/>
    <mergeCell ref="G22:I22"/>
    <mergeCell ref="S22:U22"/>
    <mergeCell ref="G21:I21"/>
    <mergeCell ref="D20:F20"/>
    <mergeCell ref="B5:B6"/>
    <mergeCell ref="P20:R20"/>
    <mergeCell ref="P4:U4"/>
    <mergeCell ref="J5:L5"/>
    <mergeCell ref="S21:U21"/>
    <mergeCell ref="B20:C20"/>
    <mergeCell ref="M5:O5"/>
    <mergeCell ref="D22:F22"/>
    <mergeCell ref="P22:R22"/>
    <mergeCell ref="D21:F21"/>
    <mergeCell ref="M20:O20"/>
    <mergeCell ref="C5:C6"/>
  </mergeCells>
  <conditionalFormatting sqref="F7:F18 I7:I18 L7:L18 O7:O18 U7:U18">
    <cfRule type="cellIs" priority="1" operator="lessThanOrEqual" dxfId="1">
      <formula>80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0"/>
  <sheetViews>
    <sheetView showGridLines="1" workbookViewId="0">
      <selection activeCell="A1" sqref="A1"/>
    </sheetView>
  </sheetViews>
  <sheetFormatPr baseColWidth="8" defaultRowHeight="15"/>
  <cols>
    <col width="10.83203125" customWidth="1" min="1" max="1"/>
  </cols>
  <sheetData>
    <row r="1"/>
    <row r="2"/>
    <row r="3"/>
    <row r="4">
      <c r="B4" s="12" t="n"/>
      <c r="P4" s="13" t="inlineStr">
        <is>
          <t>On-going Research for Ca and B Models</t>
        </is>
      </c>
      <c r="Q4" s="14" t="n"/>
      <c r="R4" s="14" t="n"/>
      <c r="S4" s="14" t="n"/>
      <c r="T4" s="14" t="n"/>
      <c r="U4" s="15" t="n"/>
    </row>
    <row r="5" ht="34" customHeight="1">
      <c r="B5" s="16" t="inlineStr">
        <is>
          <t>Plot</t>
        </is>
      </c>
      <c r="C5" s="17" t="inlineStr">
        <is>
          <t>Pixels sampled</t>
        </is>
      </c>
      <c r="D5" s="18" t="inlineStr">
        <is>
          <t>N</t>
        </is>
      </c>
      <c r="E5" s="14" t="n"/>
      <c r="F5" s="15" t="n"/>
      <c r="G5" s="18" t="inlineStr">
        <is>
          <t>P (%)</t>
        </is>
      </c>
      <c r="H5" s="14" t="n"/>
      <c r="I5" s="15" t="n"/>
      <c r="J5" s="18" t="inlineStr">
        <is>
          <t>K (%)</t>
        </is>
      </c>
      <c r="K5" s="14" t="n"/>
      <c r="L5" s="15" t="n"/>
      <c r="M5" s="18" t="inlineStr">
        <is>
          <t>Mg (%)</t>
        </is>
      </c>
      <c r="N5" s="14" t="n"/>
      <c r="O5" s="15" t="n"/>
      <c r="P5" s="19" t="inlineStr">
        <is>
          <t>Ca (%)</t>
        </is>
      </c>
      <c r="Q5" s="14" t="n"/>
      <c r="R5" s="15" t="n"/>
      <c r="S5" s="19" t="inlineStr">
        <is>
          <t>B (%)</t>
        </is>
      </c>
      <c r="T5" s="14" t="n"/>
      <c r="U5" s="15" t="n"/>
    </row>
    <row r="6" ht="34" customHeight="1">
      <c r="B6" s="20" t="n"/>
      <c r="C6" s="21" t="n"/>
      <c r="D6" s="22" t="inlineStr">
        <is>
          <t>Lab Actual (%)</t>
        </is>
      </c>
      <c r="E6" s="23" t="inlineStr">
        <is>
          <t>Prediction (%)</t>
        </is>
      </c>
      <c r="F6" s="24" t="inlineStr">
        <is>
          <t>Accuracy (%)</t>
        </is>
      </c>
      <c r="G6" s="22" t="inlineStr">
        <is>
          <t>Lab Actual (%)</t>
        </is>
      </c>
      <c r="H6" s="23" t="inlineStr">
        <is>
          <t>Prediction (%)</t>
        </is>
      </c>
      <c r="I6" s="24" t="inlineStr">
        <is>
          <t>Accuracy (%)</t>
        </is>
      </c>
      <c r="J6" s="22" t="inlineStr">
        <is>
          <t>Lab Actual (%)</t>
        </is>
      </c>
      <c r="K6" s="23" t="inlineStr">
        <is>
          <t>Prediction (%)</t>
        </is>
      </c>
      <c r="L6" s="24" t="inlineStr">
        <is>
          <t>Accuracy (%)</t>
        </is>
      </c>
      <c r="M6" s="22" t="inlineStr">
        <is>
          <t>Lab Actual (%)</t>
        </is>
      </c>
      <c r="N6" s="23" t="inlineStr">
        <is>
          <t>Prediction (%)</t>
        </is>
      </c>
      <c r="O6" s="24" t="inlineStr">
        <is>
          <t>Accuracy (%)</t>
        </is>
      </c>
      <c r="P6" s="13" t="inlineStr">
        <is>
          <t>Lab Actual (%)</t>
        </is>
      </c>
      <c r="Q6" s="13" t="inlineStr">
        <is>
          <t>Prediction (%)</t>
        </is>
      </c>
      <c r="R6" s="24" t="inlineStr">
        <is>
          <t>Accuracy (%)</t>
        </is>
      </c>
      <c r="S6" s="13" t="inlineStr">
        <is>
          <t>Lab Actual (%)</t>
        </is>
      </c>
      <c r="T6" s="13" t="inlineStr">
        <is>
          <t>Prediction (%)</t>
        </is>
      </c>
      <c r="U6" s="24" t="inlineStr">
        <is>
          <t>Accuracy (%)</t>
        </is>
      </c>
    </row>
    <row r="7">
      <c r="B7" s="25" t="inlineStr">
        <is>
          <t>10/03</t>
        </is>
      </c>
      <c r="C7" s="26" t="n">
        <v>2287</v>
      </c>
      <c r="D7" s="27" t="n">
        <v>2.78</v>
      </c>
      <c r="E7" s="28" t="n">
        <v>2.565</v>
      </c>
      <c r="F7" s="29">
        <f>(1-ABS(D7-E7)/D7)*100</f>
        <v/>
      </c>
      <c r="G7" s="28" t="n">
        <v>0.167</v>
      </c>
      <c r="H7" s="28" t="n">
        <v>0.168</v>
      </c>
      <c r="I7" s="29">
        <f>(1-ABS(G7-H7)/G7)*100</f>
        <v/>
      </c>
      <c r="J7" s="27" t="n">
        <v>1.1</v>
      </c>
      <c r="K7" s="28" t="n">
        <v>1.063</v>
      </c>
      <c r="L7" s="29">
        <f>(1-ABS(J7-K7)/J7)*100</f>
        <v/>
      </c>
      <c r="M7" s="27" t="n">
        <v>0.31</v>
      </c>
      <c r="N7" s="28" t="n">
        <v>0.287</v>
      </c>
      <c r="O7" s="29">
        <f>(1-ABS(M7-N7)/M7)*100</f>
        <v/>
      </c>
      <c r="P7" s="30" t="n"/>
      <c r="Q7" s="31" t="n">
        <v>0.647</v>
      </c>
      <c r="R7" s="27" t="n"/>
      <c r="S7" s="32" t="n">
        <v>11</v>
      </c>
      <c r="T7" s="30" t="n">
        <v>11.87</v>
      </c>
      <c r="U7" s="29">
        <f>(1-ABS(S7-T7)/S7)*100</f>
        <v/>
      </c>
    </row>
    <row r="8">
      <c r="B8" s="25" t="inlineStr">
        <is>
          <t>10/12</t>
        </is>
      </c>
      <c r="C8" s="26" t="n">
        <v>3548</v>
      </c>
      <c r="D8" s="27" t="n">
        <v>2.73</v>
      </c>
      <c r="E8" s="28" t="n">
        <v>2.535</v>
      </c>
      <c r="F8" s="29">
        <f>(1-ABS(D8-E8)/D8)*100</f>
        <v/>
      </c>
      <c r="G8" s="28" t="n">
        <v>0.169</v>
      </c>
      <c r="H8" s="28" t="n">
        <v>0.164</v>
      </c>
      <c r="I8" s="29">
        <f>(1-ABS(G8-H8)/G8)*100</f>
        <v/>
      </c>
      <c r="J8" s="27" t="n">
        <v>1.1</v>
      </c>
      <c r="K8" s="28" t="n">
        <v>1.025</v>
      </c>
      <c r="L8" s="29">
        <f>(1-ABS(J8-K8)/J8)*100</f>
        <v/>
      </c>
      <c r="M8" s="27" t="n">
        <v>0.31</v>
      </c>
      <c r="N8" s="28" t="n">
        <v>0.28</v>
      </c>
      <c r="O8" s="29">
        <f>(1-ABS(M8-N8)/M8)*100</f>
        <v/>
      </c>
      <c r="P8" s="30" t="n"/>
      <c r="Q8" s="31" t="n">
        <v>0.656</v>
      </c>
      <c r="R8" s="27" t="n"/>
      <c r="S8" s="32" t="n">
        <v>12</v>
      </c>
      <c r="T8" s="30" t="n">
        <v>12.49</v>
      </c>
      <c r="U8" s="29">
        <f>(1-ABS(S8-T8)/S8)*100</f>
        <v/>
      </c>
    </row>
    <row r="9">
      <c r="B9" s="25" t="inlineStr">
        <is>
          <t>10/15</t>
        </is>
      </c>
      <c r="C9" s="26" t="n">
        <v>2561</v>
      </c>
      <c r="D9" s="27" t="n">
        <v>2.71</v>
      </c>
      <c r="E9" s="28" t="n">
        <v>2.518</v>
      </c>
      <c r="F9" s="29">
        <f>(1-ABS(D9-E9)/D9)*100</f>
        <v/>
      </c>
      <c r="G9" s="28" t="n">
        <v>0.156</v>
      </c>
      <c r="H9" s="28" t="n">
        <v>0.16</v>
      </c>
      <c r="I9" s="29">
        <f>(1-ABS(G9-H9)/G9)*100</f>
        <v/>
      </c>
      <c r="J9" s="27" t="n">
        <v>1.07</v>
      </c>
      <c r="K9" s="28" t="n">
        <v>1.067</v>
      </c>
      <c r="L9" s="29">
        <f>(1-ABS(J9-K9)/J9)*100</f>
        <v/>
      </c>
      <c r="M9" s="27" t="n">
        <v>0.28</v>
      </c>
      <c r="N9" s="28" t="n">
        <v>0.237</v>
      </c>
      <c r="O9" s="29">
        <f>(1-ABS(M9-N9)/M9)*100</f>
        <v/>
      </c>
      <c r="P9" s="30" t="n"/>
      <c r="Q9" s="31" t="n">
        <v>0.591</v>
      </c>
      <c r="R9" s="27" t="n"/>
      <c r="S9" s="32" t="n">
        <v>11</v>
      </c>
      <c r="T9" s="30" t="n">
        <v>14.08</v>
      </c>
      <c r="U9" s="29">
        <f>(1-ABS(S9-T9)/S9)*100</f>
        <v/>
      </c>
    </row>
    <row r="10">
      <c r="B10" s="25" t="inlineStr">
        <is>
          <t>10/20</t>
        </is>
      </c>
      <c r="C10" s="26" t="n">
        <v>3939</v>
      </c>
      <c r="D10" s="27" t="n">
        <v>2.77</v>
      </c>
      <c r="E10" s="28" t="n">
        <v>2.377</v>
      </c>
      <c r="F10" s="29">
        <f>(1-ABS(D10-E10)/D10)*100</f>
        <v/>
      </c>
      <c r="G10" s="28" t="n">
        <v>0.167</v>
      </c>
      <c r="H10" s="28" t="n">
        <v>0.15</v>
      </c>
      <c r="I10" s="29">
        <f>(1-ABS(G10-H10)/G10)*100</f>
        <v/>
      </c>
      <c r="J10" s="27" t="n">
        <v>1.13</v>
      </c>
      <c r="K10" s="28" t="n">
        <v>0.977</v>
      </c>
      <c r="L10" s="29">
        <f>(1-ABS(J10-K10)/J10)*100</f>
        <v/>
      </c>
      <c r="M10" s="27" t="n">
        <v>0.33</v>
      </c>
      <c r="N10" s="28" t="n">
        <v>0.252</v>
      </c>
      <c r="O10" s="29">
        <f>(1-ABS(M10-N10)/M10)*100</f>
        <v/>
      </c>
      <c r="P10" s="30" t="n"/>
      <c r="Q10" s="31" t="n">
        <v>0.608</v>
      </c>
      <c r="R10" s="27" t="n"/>
      <c r="S10" s="32" t="n">
        <v>14</v>
      </c>
      <c r="T10" s="30" t="n">
        <v>11.99</v>
      </c>
      <c r="U10" s="29">
        <f>(1-ABS(S10-T10)/S10)*100</f>
        <v/>
      </c>
    </row>
    <row r="11">
      <c r="B11" s="25" t="inlineStr">
        <is>
          <t>11/22</t>
        </is>
      </c>
      <c r="C11" s="26" t="n">
        <v>5791</v>
      </c>
      <c r="D11" s="27" t="n">
        <v>2.43</v>
      </c>
      <c r="E11" s="28" t="n">
        <v>2.498</v>
      </c>
      <c r="F11" s="29">
        <f>(1-ABS(D11-E11)/D11)*100</f>
        <v/>
      </c>
      <c r="G11" s="28" t="n">
        <v>0.167</v>
      </c>
      <c r="H11" s="28" t="n">
        <v>0.159</v>
      </c>
      <c r="I11" s="29">
        <f>(1-ABS(G11-H11)/G11)*100</f>
        <v/>
      </c>
      <c r="J11" s="27" t="n">
        <v>1.02</v>
      </c>
      <c r="K11" s="28" t="n">
        <v>1.049</v>
      </c>
      <c r="L11" s="29">
        <f>(1-ABS(J11-K11)/J11)*100</f>
        <v/>
      </c>
      <c r="M11" s="27" t="n">
        <v>0.33</v>
      </c>
      <c r="N11" s="28" t="n">
        <v>0.245</v>
      </c>
      <c r="O11" s="29">
        <f>(1-ABS(M11-N11)/M11)*100</f>
        <v/>
      </c>
      <c r="P11" s="30" t="n"/>
      <c r="Q11" s="31" t="n">
        <v>0.596</v>
      </c>
      <c r="R11" s="27" t="n"/>
      <c r="S11" s="32" t="n">
        <v>12</v>
      </c>
      <c r="T11" s="30" t="n">
        <v>13.85</v>
      </c>
      <c r="U11" s="29">
        <f>(1-ABS(S11-T11)/S11)*100</f>
        <v/>
      </c>
    </row>
    <row r="12">
      <c r="B12" s="25" t="inlineStr">
        <is>
          <t>11/24</t>
        </is>
      </c>
      <c r="C12" s="26" t="n">
        <v>3975</v>
      </c>
      <c r="D12" s="27" t="n">
        <v>2.75</v>
      </c>
      <c r="E12" s="28" t="n">
        <v>2.526</v>
      </c>
      <c r="F12" s="29">
        <f>(1-ABS(D12-E12)/D12)*100</f>
        <v/>
      </c>
      <c r="G12" s="28" t="n">
        <v>0.166</v>
      </c>
      <c r="H12" s="28" t="n">
        <v>0.164</v>
      </c>
      <c r="I12" s="29">
        <f>(1-ABS(G12-H12)/G12)*100</f>
        <v/>
      </c>
      <c r="J12" s="27" t="n">
        <v>1.08</v>
      </c>
      <c r="K12" s="28" t="n">
        <v>1.026</v>
      </c>
      <c r="L12" s="29">
        <f>(1-ABS(J12-K12)/J12)*100</f>
        <v/>
      </c>
      <c r="M12" s="27" t="n">
        <v>0.32</v>
      </c>
      <c r="N12" s="28" t="n">
        <v>0.298</v>
      </c>
      <c r="O12" s="29">
        <f>(1-ABS(M12-N12)/M12)*100</f>
        <v/>
      </c>
      <c r="P12" s="30" t="n"/>
      <c r="Q12" s="31" t="n">
        <v>0.653</v>
      </c>
      <c r="R12" s="27" t="n"/>
      <c r="S12" s="32" t="n">
        <v>13</v>
      </c>
      <c r="T12" s="30" t="n">
        <v>11.4</v>
      </c>
      <c r="U12" s="29">
        <f>(1-ABS(S12-T12)/S12)*100</f>
        <v/>
      </c>
    </row>
    <row r="13">
      <c r="B13" s="25" t="inlineStr">
        <is>
          <t>11/27</t>
        </is>
      </c>
      <c r="C13" s="26" t="n">
        <v>4074</v>
      </c>
      <c r="D13" s="27" t="n">
        <v>2.76</v>
      </c>
      <c r="E13" s="28" t="n">
        <v>2.188</v>
      </c>
      <c r="F13" s="29">
        <f>(1-ABS(D13-E13)/D13)*100</f>
        <v/>
      </c>
      <c r="G13" s="28" t="n">
        <v>0.171</v>
      </c>
      <c r="H13" s="28" t="n">
        <v>0.143</v>
      </c>
      <c r="I13" s="29">
        <f>(1-ABS(G13-H13)/G13)*100</f>
        <v/>
      </c>
      <c r="J13" s="27" t="n">
        <v>1.15</v>
      </c>
      <c r="K13" s="28" t="n">
        <v>0.866</v>
      </c>
      <c r="L13" s="29">
        <f>(1-ABS(J13-K13)/J13)*100</f>
        <v/>
      </c>
      <c r="M13" s="27" t="n">
        <v>0.3</v>
      </c>
      <c r="N13" s="28" t="n">
        <v>0.274</v>
      </c>
      <c r="O13" s="29">
        <f>(1-ABS(M13-N13)/M13)*100</f>
        <v/>
      </c>
      <c r="P13" s="30" t="n"/>
      <c r="Q13" s="31" t="n">
        <v>0.614</v>
      </c>
      <c r="R13" s="27" t="n"/>
      <c r="S13" s="32" t="n">
        <v>14</v>
      </c>
      <c r="T13" s="30" t="n">
        <v>9.619999999999999</v>
      </c>
      <c r="U13" s="29">
        <f>(1-ABS(S13-T13)/S13)*100</f>
        <v/>
      </c>
    </row>
    <row r="14">
      <c r="B14" s="25" t="inlineStr">
        <is>
          <t>11/31</t>
        </is>
      </c>
      <c r="C14" s="26" t="n">
        <v>3630</v>
      </c>
      <c r="D14" s="27" t="n">
        <v>2.78</v>
      </c>
      <c r="E14" s="28" t="n">
        <v>2.389</v>
      </c>
      <c r="F14" s="29">
        <f>(1-ABS(D14-E14)/D14)*100</f>
        <v/>
      </c>
      <c r="G14" s="28" t="n">
        <v>0.156</v>
      </c>
      <c r="H14" s="28" t="n">
        <v>0.159</v>
      </c>
      <c r="I14" s="29">
        <f>(1-ABS(G14-H14)/G14)*100</f>
        <v/>
      </c>
      <c r="J14" s="27" t="n">
        <v>1.15</v>
      </c>
      <c r="K14" s="28" t="n">
        <v>0.978</v>
      </c>
      <c r="L14" s="29">
        <f>(1-ABS(J14-K14)/J14)*100</f>
        <v/>
      </c>
      <c r="M14" s="27" t="n">
        <v>0.28</v>
      </c>
      <c r="N14" s="28" t="n">
        <v>0.309</v>
      </c>
      <c r="O14" s="29">
        <f>(1-ABS(M14-N14)/M14)*100</f>
        <v/>
      </c>
      <c r="P14" s="30" t="n"/>
      <c r="Q14" s="31" t="n">
        <v>0.678</v>
      </c>
      <c r="R14" s="27" t="n"/>
      <c r="S14" s="32" t="n">
        <v>12</v>
      </c>
      <c r="T14" s="30" t="n">
        <v>10.78</v>
      </c>
      <c r="U14" s="29">
        <f>(1-ABS(S14-T14)/S14)*100</f>
        <v/>
      </c>
    </row>
    <row r="15">
      <c r="B15" s="25" t="inlineStr">
        <is>
          <t>12/37</t>
        </is>
      </c>
      <c r="C15" s="26" t="n">
        <v>4148</v>
      </c>
      <c r="D15" s="27" t="n">
        <v>2.75</v>
      </c>
      <c r="E15" s="28" t="n">
        <v>2.551</v>
      </c>
      <c r="F15" s="29">
        <f>(1-ABS(D15-E15)/D15)*100</f>
        <v/>
      </c>
      <c r="G15" s="28" t="n">
        <v>0.177</v>
      </c>
      <c r="H15" s="28" t="n">
        <v>0.165</v>
      </c>
      <c r="I15" s="29">
        <f>(1-ABS(G15-H15)/G15)*100</f>
        <v/>
      </c>
      <c r="J15" s="27" t="n">
        <v>1.13</v>
      </c>
      <c r="K15" s="28" t="n">
        <v>1.04</v>
      </c>
      <c r="L15" s="29">
        <f>(1-ABS(J15-K15)/J15)*100</f>
        <v/>
      </c>
      <c r="M15" s="27" t="n">
        <v>0.31</v>
      </c>
      <c r="N15" s="28" t="n">
        <v>0.28</v>
      </c>
      <c r="O15" s="29">
        <f>(1-ABS(M15-N15)/M15)*100</f>
        <v/>
      </c>
      <c r="P15" s="30" t="n"/>
      <c r="Q15" s="31" t="n">
        <v>0.654</v>
      </c>
      <c r="R15" s="27" t="n"/>
      <c r="S15" s="32" t="n">
        <v>14</v>
      </c>
      <c r="T15" s="30" t="n">
        <v>12.51</v>
      </c>
      <c r="U15" s="29">
        <f>(1-ABS(S15-T15)/S15)*100</f>
        <v/>
      </c>
    </row>
    <row r="16">
      <c r="B16" s="25" t="inlineStr">
        <is>
          <t>12/45</t>
        </is>
      </c>
      <c r="C16" s="26" t="n">
        <v>2790</v>
      </c>
      <c r="D16" s="27" t="n">
        <v>2.66</v>
      </c>
      <c r="E16" s="28" t="n">
        <v>2.535</v>
      </c>
      <c r="F16" s="29">
        <f>(1-ABS(D16-E16)/D16)*100</f>
        <v/>
      </c>
      <c r="G16" s="28" t="n">
        <v>0.168</v>
      </c>
      <c r="H16" s="28" t="n">
        <v>0.164</v>
      </c>
      <c r="I16" s="29">
        <f>(1-ABS(G16-H16)/G16)*100</f>
        <v/>
      </c>
      <c r="J16" s="27" t="n">
        <v>1.08</v>
      </c>
      <c r="K16" s="28" t="n">
        <v>1.027</v>
      </c>
      <c r="L16" s="29">
        <f>(1-ABS(J16-K16)/J16)*100</f>
        <v/>
      </c>
      <c r="M16" s="27" t="n">
        <v>0.28</v>
      </c>
      <c r="N16" s="28" t="n">
        <v>0.314</v>
      </c>
      <c r="O16" s="29">
        <f>(1-ABS(M16-N16)/M16)*100</f>
        <v/>
      </c>
      <c r="P16" s="30" t="n"/>
      <c r="Q16" s="31" t="n">
        <v>0.664</v>
      </c>
      <c r="R16" s="27" t="n"/>
      <c r="S16" s="32" t="n">
        <v>12</v>
      </c>
      <c r="T16" s="30" t="n">
        <v>11.12</v>
      </c>
      <c r="U16" s="29">
        <f>(1-ABS(S16-T16)/S16)*100</f>
        <v/>
      </c>
    </row>
    <row r="17" ht="35" customHeight="1">
      <c r="A17" s="34" t="inlineStr">
        <is>
          <t>AVG ACCURACY</t>
        </is>
      </c>
      <c r="B17" s="22" t="inlineStr">
        <is>
          <t>R^2 (Coefficient of determination)</t>
        </is>
      </c>
      <c r="D17" s="22" t="n"/>
      <c r="F17" s="35">
        <f>AVERAGE(F7:F16)</f>
        <v/>
      </c>
      <c r="G17" s="22" t="n"/>
      <c r="I17" s="35">
        <f>AVERAGE(I7:I16)</f>
        <v/>
      </c>
      <c r="J17" s="22" t="n"/>
      <c r="L17" s="35">
        <f>AVERAGE(L7:L16)</f>
        <v/>
      </c>
      <c r="M17" s="22" t="n"/>
      <c r="O17" s="35">
        <f>AVERAGE(O7:O16)</f>
        <v/>
      </c>
      <c r="P17" s="13" t="n"/>
      <c r="R17" s="36" t="inlineStr">
        <is>
          <t>-</t>
        </is>
      </c>
      <c r="S17" s="13" t="n"/>
      <c r="U17" s="35">
        <f>AVERAGE(U7:U16)</f>
        <v/>
      </c>
    </row>
    <row r="18" ht="40" customHeight="1">
      <c r="A18" s="38" t="inlineStr">
        <is>
          <t>Best result closer to 0</t>
        </is>
      </c>
      <c r="B18" s="25" t="inlineStr">
        <is>
          <t>R^2 (Coefficient of determination)</t>
        </is>
      </c>
      <c r="C18" s="39" t="n"/>
      <c r="D18" s="40">
        <f>RSQ(E7:E16, D7:D16)</f>
        <v/>
      </c>
      <c r="E18" s="41" t="n"/>
      <c r="F18" s="39" t="n"/>
      <c r="G18" s="40">
        <f>RSQ(H7:H16, G7:G16)</f>
        <v/>
      </c>
      <c r="H18" s="41" t="n"/>
      <c r="I18" s="39" t="n"/>
      <c r="J18" s="40">
        <f>RSQ(K7:K16, J7:J16)</f>
        <v/>
      </c>
      <c r="K18" s="41" t="n"/>
      <c r="L18" s="39" t="n"/>
      <c r="M18" s="40">
        <f>RSQ(N7:N16, M7:M16)</f>
        <v/>
      </c>
      <c r="N18" s="41" t="n"/>
      <c r="O18" s="39" t="n"/>
      <c r="P18" s="42" t="inlineStr">
        <is>
          <t>-</t>
        </is>
      </c>
      <c r="Q18" s="41" t="n"/>
      <c r="R18" s="39" t="n"/>
      <c r="S18" s="42">
        <f>RSQ(T7:T16, S7:S16)</f>
        <v/>
      </c>
      <c r="T18" s="41" t="n"/>
      <c r="U18" s="39" t="n"/>
    </row>
    <row r="19" ht="39" customHeight="1">
      <c r="A19" s="38" t="inlineStr">
        <is>
          <t>Best result closer to 1</t>
        </is>
      </c>
      <c r="B19" s="25" t="inlineStr">
        <is>
          <t>MAE (Average size of prediction errors)</t>
        </is>
      </c>
      <c r="C19" s="39" t="n"/>
      <c r="D19" s="40">
        <f>SUMPRODUCT(ABS(D7:D16-E7:E16))/COUNT(D7:D16)</f>
        <v/>
      </c>
      <c r="E19" s="41" t="n"/>
      <c r="F19" s="39" t="n"/>
      <c r="G19" s="40">
        <f>SUMPRODUCT(ABS(G7:G16-H7:H16))/COUNT(G7:G16)</f>
        <v/>
      </c>
      <c r="H19" s="41" t="n"/>
      <c r="I19" s="39" t="n"/>
      <c r="J19" s="40">
        <f>SUMPRODUCT(ABS(J7:J16-K7:K16))/COUNT(J7:J16)</f>
        <v/>
      </c>
      <c r="K19" s="41" t="n"/>
      <c r="L19" s="39" t="n"/>
      <c r="M19" s="40">
        <f>SUMPRODUCT(ABS(M7:M16-N7:N16))/COUNT(M7:M16)</f>
        <v/>
      </c>
      <c r="N19" s="41" t="n"/>
      <c r="O19" s="39" t="n"/>
      <c r="P19" s="42" t="inlineStr">
        <is>
          <t>-</t>
        </is>
      </c>
      <c r="Q19" s="41" t="n"/>
      <c r="R19" s="39" t="n"/>
      <c r="S19" s="42">
        <f>SUMPRODUCT(ABS(S7:S16-T7:T16))/COUNT(S7:S16)</f>
        <v/>
      </c>
      <c r="T19" s="41" t="n"/>
      <c r="U19" s="39" t="n"/>
    </row>
    <row r="20" ht="66" customHeight="1">
      <c r="A20" s="38" t="inlineStr">
        <is>
          <t>Best result closer to 1</t>
        </is>
      </c>
      <c r="B20" s="25" t="inlineStr">
        <is>
          <t>RMSE (Prediction error, with larger mistakes penalised more)</t>
        </is>
      </c>
      <c r="C20" s="39" t="n"/>
      <c r="D20" s="40">
        <f>SQRT(SUMXMY2(D7:D16, E7:E16)/COUNT(D7:D16))</f>
        <v/>
      </c>
      <c r="E20" s="41" t="n"/>
      <c r="F20" s="39" t="n"/>
      <c r="G20" s="40">
        <f>SQRT(SUMXMY2(G7:G16, H7:H16)/COUNT(G7:G16))</f>
        <v/>
      </c>
      <c r="H20" s="41" t="n"/>
      <c r="I20" s="39" t="n"/>
      <c r="J20" s="40">
        <f>SQRT(SUMXMY2(J7:J16, K7:K16)/COUNT(J7:J16))</f>
        <v/>
      </c>
      <c r="K20" s="41" t="n"/>
      <c r="L20" s="39" t="n"/>
      <c r="M20" s="40">
        <f>SQRT(SUMXMY2(M7:M16, N7:N16)/COUNT(M7:M16))</f>
        <v/>
      </c>
      <c r="N20" s="41" t="n"/>
      <c r="O20" s="39" t="n"/>
      <c r="P20" s="42" t="inlineStr">
        <is>
          <t>-</t>
        </is>
      </c>
      <c r="Q20" s="41" t="n"/>
      <c r="R20" s="39" t="n"/>
      <c r="S20" s="42">
        <f>SQRT(SUMXMY2(S7:S16, T7:T16)/COUNT(S7:S16))</f>
        <v/>
      </c>
      <c r="T20" s="41" t="n"/>
      <c r="U20" s="39" t="n"/>
    </row>
  </sheetData>
  <mergeCells count="31">
    <mergeCell ref="B4:O4"/>
    <mergeCell ref="G19:I19"/>
    <mergeCell ref="G18:I18"/>
    <mergeCell ref="J20:L20"/>
    <mergeCell ref="B18:C18"/>
    <mergeCell ref="S19:U19"/>
    <mergeCell ref="G5:I5"/>
    <mergeCell ref="P19:R19"/>
    <mergeCell ref="M18:O18"/>
    <mergeCell ref="D18:F18"/>
    <mergeCell ref="P18:R18"/>
    <mergeCell ref="G20:I20"/>
    <mergeCell ref="S20:U20"/>
    <mergeCell ref="S5:U5"/>
    <mergeCell ref="M19:O19"/>
    <mergeCell ref="D5:F5"/>
    <mergeCell ref="P5:R5"/>
    <mergeCell ref="J18:L18"/>
    <mergeCell ref="B19:C19"/>
    <mergeCell ref="D20:F20"/>
    <mergeCell ref="B5:B6"/>
    <mergeCell ref="P20:R20"/>
    <mergeCell ref="P4:U4"/>
    <mergeCell ref="J5:L5"/>
    <mergeCell ref="D19:F19"/>
    <mergeCell ref="J19:L19"/>
    <mergeCell ref="B20:C20"/>
    <mergeCell ref="M5:O5"/>
    <mergeCell ref="S18:U18"/>
    <mergeCell ref="M20:O20"/>
    <mergeCell ref="C5:C6"/>
  </mergeCells>
  <conditionalFormatting sqref="F7:F16 I7:I16 L7:L16 O7:O16 U7:U16">
    <cfRule type="cellIs" priority="1" operator="lessThanOrEqual" dxfId="1">
      <formula>80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9"/>
  <sheetViews>
    <sheetView showGridLines="1" workbookViewId="0">
      <selection activeCell="A1" sqref="A1"/>
    </sheetView>
  </sheetViews>
  <sheetFormatPr baseColWidth="8" defaultRowHeight="15"/>
  <cols>
    <col width="10.83203125" customWidth="1" min="1" max="1"/>
  </cols>
  <sheetData>
    <row r="1"/>
    <row r="2"/>
    <row r="3"/>
    <row r="4">
      <c r="B4" s="12" t="n"/>
      <c r="P4" s="13" t="inlineStr">
        <is>
          <t>On-going Research for Ca and B Models</t>
        </is>
      </c>
      <c r="Q4" s="14" t="n"/>
      <c r="R4" s="14" t="n"/>
      <c r="S4" s="14" t="n"/>
      <c r="T4" s="14" t="n"/>
      <c r="U4" s="15" t="n"/>
    </row>
    <row r="5" ht="34" customHeight="1">
      <c r="B5" s="16" t="inlineStr">
        <is>
          <t>Plot</t>
        </is>
      </c>
      <c r="C5" s="17" t="inlineStr">
        <is>
          <t>Pixels sampled</t>
        </is>
      </c>
      <c r="D5" s="18" t="inlineStr">
        <is>
          <t>N</t>
        </is>
      </c>
      <c r="E5" s="14" t="n"/>
      <c r="F5" s="15" t="n"/>
      <c r="G5" s="18" t="inlineStr">
        <is>
          <t>P (%)</t>
        </is>
      </c>
      <c r="H5" s="14" t="n"/>
      <c r="I5" s="15" t="n"/>
      <c r="J5" s="18" t="inlineStr">
        <is>
          <t>K (%)</t>
        </is>
      </c>
      <c r="K5" s="14" t="n"/>
      <c r="L5" s="15" t="n"/>
      <c r="M5" s="18" t="inlineStr">
        <is>
          <t>Mg (%)</t>
        </is>
      </c>
      <c r="N5" s="14" t="n"/>
      <c r="O5" s="15" t="n"/>
      <c r="P5" s="19" t="inlineStr">
        <is>
          <t>Ca (%)</t>
        </is>
      </c>
      <c r="Q5" s="14" t="n"/>
      <c r="R5" s="15" t="n"/>
      <c r="S5" s="19" t="inlineStr">
        <is>
          <t>B (%)</t>
        </is>
      </c>
      <c r="T5" s="14" t="n"/>
      <c r="U5" s="15" t="n"/>
    </row>
    <row r="6" ht="34" customHeight="1">
      <c r="B6" s="20" t="n"/>
      <c r="C6" s="21" t="n"/>
      <c r="D6" s="22" t="inlineStr">
        <is>
          <t>Lab Actual (%)</t>
        </is>
      </c>
      <c r="E6" s="23" t="inlineStr">
        <is>
          <t>Prediction (%)</t>
        </is>
      </c>
      <c r="F6" s="24" t="inlineStr">
        <is>
          <t>Accuracy (%)</t>
        </is>
      </c>
      <c r="G6" s="22" t="inlineStr">
        <is>
          <t>Lab Actual (%)</t>
        </is>
      </c>
      <c r="H6" s="23" t="inlineStr">
        <is>
          <t>Prediction (%)</t>
        </is>
      </c>
      <c r="I6" s="24" t="inlineStr">
        <is>
          <t>Accuracy (%)</t>
        </is>
      </c>
      <c r="J6" s="22" t="inlineStr">
        <is>
          <t>Lab Actual (%)</t>
        </is>
      </c>
      <c r="K6" s="23" t="inlineStr">
        <is>
          <t>Prediction (%)</t>
        </is>
      </c>
      <c r="L6" s="24" t="inlineStr">
        <is>
          <t>Accuracy (%)</t>
        </is>
      </c>
      <c r="M6" s="22" t="inlineStr">
        <is>
          <t>Lab Actual (%)</t>
        </is>
      </c>
      <c r="N6" s="23" t="inlineStr">
        <is>
          <t>Prediction (%)</t>
        </is>
      </c>
      <c r="O6" s="24" t="inlineStr">
        <is>
          <t>Accuracy (%)</t>
        </is>
      </c>
      <c r="P6" s="13" t="inlineStr">
        <is>
          <t>Lab Actual (%)</t>
        </is>
      </c>
      <c r="Q6" s="13" t="inlineStr">
        <is>
          <t>Prediction (%)</t>
        </is>
      </c>
      <c r="R6" s="24" t="inlineStr">
        <is>
          <t>Accuracy (%)</t>
        </is>
      </c>
      <c r="S6" s="13" t="inlineStr">
        <is>
          <t>Lab Actual (%)</t>
        </is>
      </c>
      <c r="T6" s="13" t="inlineStr">
        <is>
          <t>Prediction (%)</t>
        </is>
      </c>
      <c r="U6" s="24" t="inlineStr">
        <is>
          <t>Accuracy (%)</t>
        </is>
      </c>
    </row>
    <row r="7">
      <c r="B7" s="25" t="inlineStr">
        <is>
          <t>08/08</t>
        </is>
      </c>
      <c r="C7" s="26" t="n">
        <v>3443</v>
      </c>
      <c r="D7" s="27" t="n">
        <v>2.55</v>
      </c>
      <c r="E7" s="28" t="n">
        <v>2.543</v>
      </c>
      <c r="F7" s="29">
        <f>(1-ABS(D7-E7)/D7)*100</f>
        <v/>
      </c>
      <c r="G7" s="28" t="n">
        <v>0.156</v>
      </c>
      <c r="H7" s="28" t="n">
        <v>0.166</v>
      </c>
      <c r="I7" s="29">
        <f>(1-ABS(G7-H7)/G7)*100</f>
        <v/>
      </c>
      <c r="J7" s="27" t="n">
        <v>1.07</v>
      </c>
      <c r="K7" s="28" t="n">
        <v>1.032</v>
      </c>
      <c r="L7" s="29">
        <f>(1-ABS(J7-K7)/J7)*100</f>
        <v/>
      </c>
      <c r="M7" s="27" t="n">
        <v>0.36</v>
      </c>
      <c r="N7" s="28" t="n">
        <v>0.281</v>
      </c>
      <c r="O7" s="29">
        <f>(1-ABS(M7-N7)/M7)*100</f>
        <v/>
      </c>
      <c r="P7" s="30" t="n"/>
      <c r="Q7" s="31" t="n">
        <v>0.653</v>
      </c>
      <c r="R7" s="27" t="n"/>
      <c r="S7" s="32" t="n">
        <v>12</v>
      </c>
      <c r="T7" s="30" t="n">
        <v>13.94</v>
      </c>
      <c r="U7" s="29">
        <f>(1-ABS(S7-T7)/S7)*100</f>
        <v/>
      </c>
    </row>
    <row r="8">
      <c r="B8" s="25" t="inlineStr">
        <is>
          <t>08/09</t>
        </is>
      </c>
      <c r="C8" s="26" t="n">
        <v>4325</v>
      </c>
      <c r="D8" s="27" t="n">
        <v>2.91</v>
      </c>
      <c r="E8" s="28" t="n">
        <v>2.503</v>
      </c>
      <c r="F8" s="29">
        <f>(1-ABS(D8-E8)/D8)*100</f>
        <v/>
      </c>
      <c r="G8" s="28" t="n">
        <v>0.16</v>
      </c>
      <c r="H8" s="28" t="n">
        <v>0.163</v>
      </c>
      <c r="I8" s="29">
        <f>(1-ABS(G8-H8)/G8)*100</f>
        <v/>
      </c>
      <c r="J8" s="27" t="n">
        <v>1.11</v>
      </c>
      <c r="K8" s="28" t="n">
        <v>1.011</v>
      </c>
      <c r="L8" s="29">
        <f>(1-ABS(J8-K8)/J8)*100</f>
        <v/>
      </c>
      <c r="M8" s="27" t="n">
        <v>0.37</v>
      </c>
      <c r="N8" s="28" t="n">
        <v>0.303</v>
      </c>
      <c r="O8" s="29">
        <f>(1-ABS(M8-N8)/M8)*100</f>
        <v/>
      </c>
      <c r="P8" s="30" t="n"/>
      <c r="Q8" s="31" t="n">
        <v>0.658</v>
      </c>
      <c r="R8" s="27" t="n"/>
      <c r="S8" s="32" t="n">
        <v>14</v>
      </c>
      <c r="T8" s="30" t="n">
        <v>12.03</v>
      </c>
      <c r="U8" s="29">
        <f>(1-ABS(S8-T8)/S8)*100</f>
        <v/>
      </c>
    </row>
    <row r="9">
      <c r="B9" s="25" t="inlineStr">
        <is>
          <t>08/10</t>
        </is>
      </c>
      <c r="C9" s="26" t="n">
        <v>3735</v>
      </c>
      <c r="D9" s="27" t="n">
        <v>2.75</v>
      </c>
      <c r="E9" s="28" t="n">
        <v>2.511</v>
      </c>
      <c r="F9" s="29">
        <f>(1-ABS(D9-E9)/D9)*100</f>
        <v/>
      </c>
      <c r="G9" s="28" t="n">
        <v>0.167</v>
      </c>
      <c r="H9" s="28" t="n">
        <v>0.163</v>
      </c>
      <c r="I9" s="29">
        <f>(1-ABS(G9-H9)/G9)*100</f>
        <v/>
      </c>
      <c r="J9" s="27" t="n">
        <v>1</v>
      </c>
      <c r="K9" s="28" t="n">
        <v>1.004</v>
      </c>
      <c r="L9" s="29">
        <f>(1-ABS(J9-K9)/J9)*100</f>
        <v/>
      </c>
      <c r="M9" s="27" t="n">
        <v>0.34</v>
      </c>
      <c r="N9" s="28" t="n">
        <v>0.304</v>
      </c>
      <c r="O9" s="29">
        <f>(1-ABS(M9-N9)/M9)*100</f>
        <v/>
      </c>
      <c r="P9" s="30" t="n"/>
      <c r="Q9" s="31" t="n">
        <v>0.66</v>
      </c>
      <c r="R9" s="27" t="n"/>
      <c r="S9" s="32" t="n">
        <v>13</v>
      </c>
      <c r="T9" s="30" t="n">
        <v>12.19</v>
      </c>
      <c r="U9" s="29">
        <f>(1-ABS(S9-T9)/S9)*100</f>
        <v/>
      </c>
    </row>
    <row r="10">
      <c r="B10" s="25" t="inlineStr">
        <is>
          <t>08/12</t>
        </is>
      </c>
      <c r="C10" s="26" t="n">
        <v>4879</v>
      </c>
      <c r="D10" s="27" t="n">
        <v>2.57</v>
      </c>
      <c r="E10" s="28" t="n">
        <v>2.406</v>
      </c>
      <c r="F10" s="29">
        <f>(1-ABS(D10-E10)/D10)*100</f>
        <v/>
      </c>
      <c r="G10" s="28" t="n">
        <v>0.161</v>
      </c>
      <c r="H10" s="28" t="n">
        <v>0.156</v>
      </c>
      <c r="I10" s="29">
        <f>(1-ABS(G10-H10)/G10)*100</f>
        <v/>
      </c>
      <c r="J10" s="27" t="n">
        <v>1.07</v>
      </c>
      <c r="K10" s="28" t="n">
        <v>0.977</v>
      </c>
      <c r="L10" s="29">
        <f>(1-ABS(J10-K10)/J10)*100</f>
        <v/>
      </c>
      <c r="M10" s="27" t="n">
        <v>0.33</v>
      </c>
      <c r="N10" s="28" t="n">
        <v>0.283</v>
      </c>
      <c r="O10" s="29">
        <f>(1-ABS(M10-N10)/M10)*100</f>
        <v/>
      </c>
      <c r="P10" s="30" t="n"/>
      <c r="Q10" s="31" t="n">
        <v>0.621</v>
      </c>
      <c r="R10" s="27" t="n"/>
      <c r="S10" s="32" t="n">
        <v>11</v>
      </c>
      <c r="T10" s="30" t="n">
        <v>12.48</v>
      </c>
      <c r="U10" s="29">
        <f>(1-ABS(S10-T10)/S10)*100</f>
        <v/>
      </c>
    </row>
    <row r="11">
      <c r="B11" s="25" t="inlineStr">
        <is>
          <t>08/13</t>
        </is>
      </c>
      <c r="C11" s="26" t="n">
        <v>2958</v>
      </c>
      <c r="D11" s="27" t="n">
        <v>2.67</v>
      </c>
      <c r="E11" s="28" t="n">
        <v>2.479</v>
      </c>
      <c r="F11" s="29">
        <f>(1-ABS(D11-E11)/D11)*100</f>
        <v/>
      </c>
      <c r="G11" s="28" t="n">
        <v>0.165</v>
      </c>
      <c r="H11" s="28" t="n">
        <v>0.162</v>
      </c>
      <c r="I11" s="29">
        <f>(1-ABS(G11-H11)/G11)*100</f>
        <v/>
      </c>
      <c r="J11" s="27" t="n">
        <v>1.09</v>
      </c>
      <c r="K11" s="28" t="n">
        <v>1.004</v>
      </c>
      <c r="L11" s="29">
        <f>(1-ABS(J11-K11)/J11)*100</f>
        <v/>
      </c>
      <c r="M11" s="27" t="n">
        <v>0.37</v>
      </c>
      <c r="N11" s="28" t="n">
        <v>0.303</v>
      </c>
      <c r="O11" s="29">
        <f>(1-ABS(M11-N11)/M11)*100</f>
        <v/>
      </c>
      <c r="P11" s="30" t="n"/>
      <c r="Q11" s="31" t="n">
        <v>0.658</v>
      </c>
      <c r="R11" s="27" t="n"/>
      <c r="S11" s="32" t="n">
        <v>13</v>
      </c>
      <c r="T11" s="30" t="n">
        <v>11.94</v>
      </c>
      <c r="U11" s="29">
        <f>(1-ABS(S11-T11)/S11)*100</f>
        <v/>
      </c>
    </row>
    <row r="12">
      <c r="B12" s="25" t="inlineStr">
        <is>
          <t>08/14</t>
        </is>
      </c>
      <c r="C12" s="26" t="n">
        <v>3595</v>
      </c>
      <c r="D12" s="27" t="n">
        <v>2.65</v>
      </c>
      <c r="E12" s="28" t="n">
        <v>2.554</v>
      </c>
      <c r="F12" s="29">
        <f>(1-ABS(D12-E12)/D12)*100</f>
        <v/>
      </c>
      <c r="G12" s="28" t="n">
        <v>0.158</v>
      </c>
      <c r="H12" s="28" t="n">
        <v>0.166</v>
      </c>
      <c r="I12" s="29">
        <f>(1-ABS(G12-H12)/G12)*100</f>
        <v/>
      </c>
      <c r="J12" s="27" t="n">
        <v>1.15</v>
      </c>
      <c r="K12" s="28" t="n">
        <v>1.027</v>
      </c>
      <c r="L12" s="29">
        <f>(1-ABS(J12-K12)/J12)*100</f>
        <v/>
      </c>
      <c r="M12" s="27" t="n">
        <v>0.36</v>
      </c>
      <c r="N12" s="28" t="n">
        <v>0.285</v>
      </c>
      <c r="O12" s="29">
        <f>(1-ABS(M12-N12)/M12)*100</f>
        <v/>
      </c>
      <c r="P12" s="30" t="n"/>
      <c r="Q12" s="31" t="n">
        <v>0.656</v>
      </c>
      <c r="R12" s="27" t="n"/>
      <c r="S12" s="32" t="n">
        <v>13</v>
      </c>
      <c r="T12" s="30" t="n">
        <v>14.1</v>
      </c>
      <c r="U12" s="29">
        <f>(1-ABS(S12-T12)/S12)*100</f>
        <v/>
      </c>
    </row>
    <row r="13">
      <c r="B13" s="25" t="inlineStr">
        <is>
          <t>09/01</t>
        </is>
      </c>
      <c r="C13" s="26" t="n">
        <v>6374</v>
      </c>
      <c r="D13" s="27" t="n">
        <v>2.6</v>
      </c>
      <c r="E13" s="28" t="n">
        <v>2.465</v>
      </c>
      <c r="F13" s="29">
        <f>(1-ABS(D13-E13)/D13)*100</f>
        <v/>
      </c>
      <c r="G13" s="28" t="n">
        <v>0.162</v>
      </c>
      <c r="H13" s="28" t="n">
        <v>0.16</v>
      </c>
      <c r="I13" s="29">
        <f>(1-ABS(G13-H13)/G13)*100</f>
        <v/>
      </c>
      <c r="J13" s="27" t="n">
        <v>1.14</v>
      </c>
      <c r="K13" s="28" t="n">
        <v>0.993</v>
      </c>
      <c r="L13" s="29">
        <f>(1-ABS(J13-K13)/J13)*100</f>
        <v/>
      </c>
      <c r="M13" s="27" t="n">
        <v>0.35</v>
      </c>
      <c r="N13" s="28" t="n">
        <v>0.307</v>
      </c>
      <c r="O13" s="29">
        <f>(1-ABS(M13-N13)/M13)*100</f>
        <v/>
      </c>
      <c r="P13" s="30" t="n"/>
      <c r="Q13" s="31" t="n">
        <v>0.652</v>
      </c>
      <c r="R13" s="27" t="n"/>
      <c r="S13" s="32" t="n">
        <v>16</v>
      </c>
      <c r="T13" s="30" t="n">
        <v>11.45</v>
      </c>
      <c r="U13" s="29">
        <f>(1-ABS(S13-T13)/S13)*100</f>
        <v/>
      </c>
    </row>
    <row r="14">
      <c r="B14" s="25" t="inlineStr">
        <is>
          <t>09/02</t>
        </is>
      </c>
      <c r="C14" s="26" t="n">
        <v>4156</v>
      </c>
      <c r="D14" s="27" t="n">
        <v>2.68</v>
      </c>
      <c r="E14" s="28" t="n">
        <v>2.39</v>
      </c>
      <c r="F14" s="29">
        <f>(1-ABS(D14-E14)/D14)*100</f>
        <v/>
      </c>
      <c r="G14" s="28" t="n">
        <v>0.159</v>
      </c>
      <c r="H14" s="28" t="n">
        <v>0.157</v>
      </c>
      <c r="I14" s="29">
        <f>(1-ABS(G14-H14)/G14)*100</f>
        <v/>
      </c>
      <c r="J14" s="27" t="n">
        <v>1.12</v>
      </c>
      <c r="K14" s="28" t="n">
        <v>0.964</v>
      </c>
      <c r="L14" s="29">
        <f>(1-ABS(J14-K14)/J14)*100</f>
        <v/>
      </c>
      <c r="M14" s="27" t="n">
        <v>0.36</v>
      </c>
      <c r="N14" s="28" t="n">
        <v>0.303</v>
      </c>
      <c r="O14" s="29">
        <f>(1-ABS(M14-N14)/M14)*100</f>
        <v/>
      </c>
      <c r="P14" s="30" t="n"/>
      <c r="Q14" s="31" t="n">
        <v>0.652</v>
      </c>
      <c r="R14" s="27" t="n"/>
      <c r="S14" s="32" t="n">
        <v>16</v>
      </c>
      <c r="T14" s="30" t="n">
        <v>10.69</v>
      </c>
      <c r="U14" s="29">
        <f>(1-ABS(S14-T14)/S14)*100</f>
        <v/>
      </c>
    </row>
    <row r="15">
      <c r="B15" s="25" t="inlineStr">
        <is>
          <t>09/03</t>
        </is>
      </c>
      <c r="C15" s="26" t="n">
        <v>4229</v>
      </c>
      <c r="D15" s="27" t="n">
        <v>2.61</v>
      </c>
      <c r="E15" s="28" t="n">
        <v>2.399</v>
      </c>
      <c r="F15" s="29">
        <f>(1-ABS(D15-E15)/D15)*100</f>
        <v/>
      </c>
      <c r="G15" s="28" t="n">
        <v>0.158</v>
      </c>
      <c r="H15" s="28" t="n">
        <v>0.159</v>
      </c>
      <c r="I15" s="29">
        <f>(1-ABS(G15-H15)/G15)*100</f>
        <v/>
      </c>
      <c r="J15" s="27" t="n">
        <v>1.04</v>
      </c>
      <c r="K15" s="28" t="n">
        <v>0.984</v>
      </c>
      <c r="L15" s="29">
        <f>(1-ABS(J15-K15)/J15)*100</f>
        <v/>
      </c>
      <c r="M15" s="27" t="n">
        <v>0.37</v>
      </c>
      <c r="N15" s="28" t="n">
        <v>0.305</v>
      </c>
      <c r="O15" s="29">
        <f>(1-ABS(M15-N15)/M15)*100</f>
        <v/>
      </c>
      <c r="P15" s="30" t="n"/>
      <c r="Q15" s="31" t="n">
        <v>0.653</v>
      </c>
      <c r="R15" s="27" t="n"/>
      <c r="S15" s="32" t="n">
        <v>14</v>
      </c>
      <c r="T15" s="30" t="n">
        <v>10.86</v>
      </c>
      <c r="U15" s="29">
        <f>(1-ABS(S15-T15)/S15)*100</f>
        <v/>
      </c>
    </row>
    <row r="16" ht="35" customHeight="1">
      <c r="A16" s="43" t="inlineStr">
        <is>
          <t>AVG ACCURACY</t>
        </is>
      </c>
      <c r="B16" s="44" t="n"/>
      <c r="C16" s="12" t="n"/>
      <c r="D16" s="45" t="n"/>
      <c r="E16" s="46" t="n"/>
      <c r="F16" s="35">
        <f>AVERAGE(F7:F15)</f>
        <v/>
      </c>
      <c r="G16" s="45" t="n"/>
      <c r="H16" s="46" t="n"/>
      <c r="I16" s="35">
        <f>AVERAGE(I7:I15)</f>
        <v/>
      </c>
      <c r="J16" s="12" t="n"/>
      <c r="K16" s="12" t="n"/>
      <c r="L16" s="35">
        <f>AVERAGE(L7:L15)</f>
        <v/>
      </c>
      <c r="M16" s="45" t="n"/>
      <c r="N16" s="46" t="n"/>
      <c r="O16" s="35">
        <f>AVERAGE(O7:O15)</f>
        <v/>
      </c>
      <c r="P16" s="47" t="n"/>
      <c r="Q16" s="47" t="n"/>
      <c r="R16" s="36" t="inlineStr">
        <is>
          <t>-</t>
        </is>
      </c>
      <c r="S16" s="48" t="n"/>
      <c r="T16" s="49" t="n"/>
      <c r="U16" s="35">
        <f>AVERAGE(U7:U15)</f>
        <v/>
      </c>
    </row>
    <row r="17" ht="40" customHeight="1">
      <c r="A17" s="38" t="inlineStr">
        <is>
          <t>Best result closer to 0</t>
        </is>
      </c>
      <c r="B17" s="25" t="inlineStr">
        <is>
          <t>R^2 (Coefficient of determination)</t>
        </is>
      </c>
      <c r="C17" s="39" t="n"/>
      <c r="D17" s="40">
        <f>RSQ(E7:E15, D7:D15)</f>
        <v/>
      </c>
      <c r="E17" s="41" t="n"/>
      <c r="F17" s="39" t="n"/>
      <c r="G17" s="40">
        <f>RSQ(H7:H15, G7:G15)</f>
        <v/>
      </c>
      <c r="H17" s="41" t="n"/>
      <c r="I17" s="39" t="n"/>
      <c r="J17" s="40">
        <f>RSQ(K7:K15, J7:J15)</f>
        <v/>
      </c>
      <c r="K17" s="41" t="n"/>
      <c r="L17" s="39" t="n"/>
      <c r="M17" s="40">
        <f>RSQ(N7:N15, M7:M15)</f>
        <v/>
      </c>
      <c r="N17" s="41" t="n"/>
      <c r="O17" s="39" t="n"/>
      <c r="P17" s="42" t="inlineStr">
        <is>
          <t>-</t>
        </is>
      </c>
      <c r="Q17" s="41" t="n"/>
      <c r="R17" s="39" t="n"/>
      <c r="S17" s="42">
        <f>RSQ(T7:T15, S7:S15)</f>
        <v/>
      </c>
      <c r="T17" s="41" t="n"/>
      <c r="U17" s="39" t="n"/>
    </row>
    <row r="18" ht="39" customHeight="1">
      <c r="A18" s="38" t="inlineStr">
        <is>
          <t>Best result closer to 1</t>
        </is>
      </c>
      <c r="B18" s="25" t="inlineStr">
        <is>
          <t>MAE (Average size of prediction errors)</t>
        </is>
      </c>
      <c r="C18" s="39" t="n"/>
      <c r="D18" s="40">
        <f>SUMPRODUCT(ABS(D7:D15-E7:E15))/COUNT(D7:D15)</f>
        <v/>
      </c>
      <c r="E18" s="41" t="n"/>
      <c r="F18" s="39" t="n"/>
      <c r="G18" s="40">
        <f>SUMPRODUCT(ABS(G7:G15-H7:H15))/COUNT(G7:G15)</f>
        <v/>
      </c>
      <c r="H18" s="41" t="n"/>
      <c r="I18" s="39" t="n"/>
      <c r="J18" s="40">
        <f>SUMPRODUCT(ABS(J7:J15-K7:K15))/COUNT(J7:J15)</f>
        <v/>
      </c>
      <c r="K18" s="41" t="n"/>
      <c r="L18" s="39" t="n"/>
      <c r="M18" s="40">
        <f>SUMPRODUCT(ABS(M7:M15-N7:N15))/COUNT(M7:M15)</f>
        <v/>
      </c>
      <c r="N18" s="41" t="n"/>
      <c r="O18" s="39" t="n"/>
      <c r="P18" s="42" t="inlineStr">
        <is>
          <t>-</t>
        </is>
      </c>
      <c r="Q18" s="41" t="n"/>
      <c r="R18" s="39" t="n"/>
      <c r="S18" s="42">
        <f>SUMPRODUCT(ABS(S7:S15-T7:T15))/COUNT(S7:S15)</f>
        <v/>
      </c>
      <c r="T18" s="41" t="n"/>
      <c r="U18" s="39" t="n"/>
    </row>
    <row r="19" ht="66" customHeight="1">
      <c r="A19" s="38" t="inlineStr">
        <is>
          <t>Best result closer to 1</t>
        </is>
      </c>
      <c r="B19" s="25" t="inlineStr">
        <is>
          <t>RMSE (Prediction error, with larger mistakes penalised more)</t>
        </is>
      </c>
      <c r="C19" s="39" t="n"/>
      <c r="D19" s="40">
        <f>SQRT(SUMXMY2(D7:D15, E7:E15)/COUNT(D7:D15))</f>
        <v/>
      </c>
      <c r="E19" s="41" t="n"/>
      <c r="F19" s="39" t="n"/>
      <c r="G19" s="40">
        <f>SQRT(SUMXMY2(G7:G15, H7:H15)/COUNT(G7:G15))</f>
        <v/>
      </c>
      <c r="H19" s="41" t="n"/>
      <c r="I19" s="39" t="n"/>
      <c r="J19" s="40">
        <f>SQRT(SUMXMY2(J7:J15, K7:K15)/COUNT(J7:J15))</f>
        <v/>
      </c>
      <c r="K19" s="41" t="n"/>
      <c r="L19" s="39" t="n"/>
      <c r="M19" s="40">
        <f>SQRT(SUMXMY2(M7:M15, N7:N15)/COUNT(M7:M15))</f>
        <v/>
      </c>
      <c r="N19" s="41" t="n"/>
      <c r="O19" s="39" t="n"/>
      <c r="P19" s="42" t="inlineStr">
        <is>
          <t>-</t>
        </is>
      </c>
      <c r="Q19" s="41" t="n"/>
      <c r="R19" s="39" t="n"/>
      <c r="S19" s="42">
        <f>SQRT(SUMXMY2(S7:S15, T7:T15)/COUNT(S7:S15))</f>
        <v/>
      </c>
      <c r="T19" s="41" t="n"/>
      <c r="U19" s="39" t="n"/>
    </row>
  </sheetData>
  <mergeCells count="31">
    <mergeCell ref="B4:O4"/>
    <mergeCell ref="G19:I19"/>
    <mergeCell ref="G18:I18"/>
    <mergeCell ref="D17:F17"/>
    <mergeCell ref="P17:R17"/>
    <mergeCell ref="B18:C18"/>
    <mergeCell ref="S19:U19"/>
    <mergeCell ref="G5:I5"/>
    <mergeCell ref="P19:R19"/>
    <mergeCell ref="M18:O18"/>
    <mergeCell ref="D18:F18"/>
    <mergeCell ref="M17:O17"/>
    <mergeCell ref="P18:R18"/>
    <mergeCell ref="B17:C17"/>
    <mergeCell ref="S5:U5"/>
    <mergeCell ref="M19:O19"/>
    <mergeCell ref="D5:F5"/>
    <mergeCell ref="P5:R5"/>
    <mergeCell ref="J18:L18"/>
    <mergeCell ref="B19:C19"/>
    <mergeCell ref="J17:L17"/>
    <mergeCell ref="B5:B6"/>
    <mergeCell ref="P4:U4"/>
    <mergeCell ref="J5:L5"/>
    <mergeCell ref="D19:F19"/>
    <mergeCell ref="J19:L19"/>
    <mergeCell ref="M5:O5"/>
    <mergeCell ref="S18:U18"/>
    <mergeCell ref="G17:I17"/>
    <mergeCell ref="S17:U17"/>
    <mergeCell ref="C5:C6"/>
  </mergeCells>
  <conditionalFormatting sqref="F7:F15 I7:I15 L7:L15 O7:O15 U7:U15">
    <cfRule type="cellIs" priority="1" operator="lessThanOrEqual" dxfId="1">
      <formula>80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5"/>
  <sheetViews>
    <sheetView showGridLines="1" workbookViewId="0">
      <selection activeCell="A1" sqref="A1"/>
    </sheetView>
  </sheetViews>
  <sheetFormatPr baseColWidth="8" defaultRowHeight="15"/>
  <cols>
    <col width="10.83203125" customWidth="1" min="1" max="1"/>
  </cols>
  <sheetData>
    <row r="1"/>
    <row r="2"/>
    <row r="3"/>
    <row r="4">
      <c r="B4" s="12" t="n"/>
      <c r="P4" s="13" t="inlineStr">
        <is>
          <t>On-going Research for Ca and B Models</t>
        </is>
      </c>
      <c r="Q4" s="14" t="n"/>
      <c r="R4" s="14" t="n"/>
      <c r="S4" s="14" t="n"/>
      <c r="T4" s="14" t="n"/>
      <c r="U4" s="15" t="n"/>
    </row>
    <row r="5" ht="34" customHeight="1">
      <c r="B5" s="16" t="inlineStr">
        <is>
          <t>Plot</t>
        </is>
      </c>
      <c r="C5" s="17" t="inlineStr">
        <is>
          <t>Pixels sampled</t>
        </is>
      </c>
      <c r="D5" s="18" t="inlineStr">
        <is>
          <t>N</t>
        </is>
      </c>
      <c r="E5" s="14" t="n"/>
      <c r="F5" s="15" t="n"/>
      <c r="G5" s="18" t="inlineStr">
        <is>
          <t>P (%)</t>
        </is>
      </c>
      <c r="H5" s="14" t="n"/>
      <c r="I5" s="15" t="n"/>
      <c r="J5" s="18" t="inlineStr">
        <is>
          <t>K (%)</t>
        </is>
      </c>
      <c r="K5" s="14" t="n"/>
      <c r="L5" s="15" t="n"/>
      <c r="M5" s="18" t="inlineStr">
        <is>
          <t>Mg (%)</t>
        </is>
      </c>
      <c r="N5" s="14" t="n"/>
      <c r="O5" s="15" t="n"/>
      <c r="P5" s="19" t="inlineStr">
        <is>
          <t>Ca (%)</t>
        </is>
      </c>
      <c r="Q5" s="14" t="n"/>
      <c r="R5" s="15" t="n"/>
      <c r="S5" s="19" t="inlineStr">
        <is>
          <t>B (%)</t>
        </is>
      </c>
      <c r="T5" s="14" t="n"/>
      <c r="U5" s="15" t="n"/>
    </row>
    <row r="6" ht="34" customHeight="1">
      <c r="B6" s="20" t="n"/>
      <c r="C6" s="21" t="n"/>
      <c r="D6" s="22" t="inlineStr">
        <is>
          <t>Lab Actual (%)</t>
        </is>
      </c>
      <c r="E6" s="23" t="inlineStr">
        <is>
          <t>Prediction (%)</t>
        </is>
      </c>
      <c r="F6" s="24" t="inlineStr">
        <is>
          <t>Accuracy (%)</t>
        </is>
      </c>
      <c r="G6" s="22" t="inlineStr">
        <is>
          <t>Lab Actual (%)</t>
        </is>
      </c>
      <c r="H6" s="23" t="inlineStr">
        <is>
          <t>Prediction (%)</t>
        </is>
      </c>
      <c r="I6" s="24" t="inlineStr">
        <is>
          <t>Accuracy (%)</t>
        </is>
      </c>
      <c r="J6" s="22" t="inlineStr">
        <is>
          <t>Lab Actual (%)</t>
        </is>
      </c>
      <c r="K6" s="23" t="inlineStr">
        <is>
          <t>Prediction (%)</t>
        </is>
      </c>
      <c r="L6" s="24" t="inlineStr">
        <is>
          <t>Accuracy (%)</t>
        </is>
      </c>
      <c r="M6" s="22" t="inlineStr">
        <is>
          <t>Lab Actual (%)</t>
        </is>
      </c>
      <c r="N6" s="23" t="inlineStr">
        <is>
          <t>Prediction (%)</t>
        </is>
      </c>
      <c r="O6" s="24" t="inlineStr">
        <is>
          <t>Accuracy (%)</t>
        </is>
      </c>
      <c r="P6" s="13" t="inlineStr">
        <is>
          <t>Lab Actual (%)</t>
        </is>
      </c>
      <c r="Q6" s="13" t="inlineStr">
        <is>
          <t>Prediction (%)</t>
        </is>
      </c>
      <c r="R6" s="24" t="inlineStr">
        <is>
          <t>Accuracy (%)</t>
        </is>
      </c>
      <c r="S6" s="13" t="inlineStr">
        <is>
          <t>Lab Actual (%)</t>
        </is>
      </c>
      <c r="T6" s="13" t="inlineStr">
        <is>
          <t>Prediction (%)</t>
        </is>
      </c>
      <c r="U6" s="24" t="inlineStr">
        <is>
          <t>Accuracy (%)</t>
        </is>
      </c>
    </row>
    <row r="7">
      <c r="B7" s="25" t="inlineStr">
        <is>
          <t>05/D</t>
        </is>
      </c>
      <c r="C7" s="26" t="n">
        <v>5938</v>
      </c>
      <c r="D7" s="27" t="n">
        <v>2.62</v>
      </c>
      <c r="E7" s="28" t="n">
        <v>2.532</v>
      </c>
      <c r="F7" s="29">
        <f>(1-ABS(D7-E7)/D7)*100</f>
        <v/>
      </c>
      <c r="G7" s="28" t="n">
        <v>0.15</v>
      </c>
      <c r="H7" s="28" t="n">
        <v>0.164</v>
      </c>
      <c r="I7" s="29">
        <f>(1-ABS(G7-H7)/G7)*100</f>
        <v/>
      </c>
      <c r="J7" s="27" t="n">
        <v>1.01</v>
      </c>
      <c r="K7" s="28" t="n">
        <v>1.028</v>
      </c>
      <c r="L7" s="29">
        <f>(1-ABS(J7-K7)/J7)*100</f>
        <v/>
      </c>
      <c r="M7" s="27" t="n">
        <v>0.34</v>
      </c>
      <c r="N7" s="28" t="n">
        <v>0.265</v>
      </c>
      <c r="O7" s="29">
        <f>(1-ABS(M7-N7)/M7)*100</f>
        <v/>
      </c>
      <c r="P7" s="30" t="n"/>
      <c r="Q7" s="31" t="n">
        <v>0.645</v>
      </c>
      <c r="R7" s="27" t="n"/>
      <c r="S7" s="32" t="n">
        <v>16</v>
      </c>
      <c r="T7" s="30" t="n">
        <v>14.05</v>
      </c>
      <c r="U7" s="29">
        <f>(1-ABS(S7-T7)/S7)*100</f>
        <v/>
      </c>
    </row>
    <row r="8">
      <c r="B8" s="25" t="inlineStr">
        <is>
          <t>06/G</t>
        </is>
      </c>
      <c r="C8" s="26" t="n">
        <v>6616</v>
      </c>
      <c r="D8" s="27" t="n">
        <v>2.55</v>
      </c>
      <c r="E8" s="28" t="n">
        <v>2.533</v>
      </c>
      <c r="F8" s="29">
        <f>(1-ABS(D8-E8)/D8)*100</f>
        <v/>
      </c>
      <c r="G8" s="28" t="n">
        <v>0.163</v>
      </c>
      <c r="H8" s="28" t="n">
        <v>0.163</v>
      </c>
      <c r="I8" s="29">
        <f>(1-ABS(G8-H8)/G8)*100</f>
        <v/>
      </c>
      <c r="J8" s="27" t="n">
        <v>1.11</v>
      </c>
      <c r="K8" s="28" t="n">
        <v>1.033</v>
      </c>
      <c r="L8" s="29">
        <f>(1-ABS(J8-K8)/J8)*100</f>
        <v/>
      </c>
      <c r="M8" s="27" t="n">
        <v>0.33</v>
      </c>
      <c r="N8" s="28" t="n">
        <v>0.252</v>
      </c>
      <c r="O8" s="29">
        <f>(1-ABS(M8-N8)/M8)*100</f>
        <v/>
      </c>
      <c r="P8" s="30" t="n"/>
      <c r="Q8" s="31" t="n">
        <v>0.643</v>
      </c>
      <c r="R8" s="27" t="n"/>
      <c r="S8" s="32" t="n">
        <v>14</v>
      </c>
      <c r="T8" s="30" t="n">
        <v>14.43</v>
      </c>
      <c r="U8" s="29">
        <f>(1-ABS(S8-T8)/S8)*100</f>
        <v/>
      </c>
    </row>
    <row r="9">
      <c r="B9" s="25" t="inlineStr">
        <is>
          <t>06/H</t>
        </is>
      </c>
      <c r="C9" s="26" t="n">
        <v>6884</v>
      </c>
      <c r="D9" s="27" t="n">
        <v>2.6</v>
      </c>
      <c r="E9" s="28" t="n">
        <v>2.532</v>
      </c>
      <c r="F9" s="29">
        <f>(1-ABS(D9-E9)/D9)*100</f>
        <v/>
      </c>
      <c r="G9" s="28" t="n">
        <v>0.157</v>
      </c>
      <c r="H9" s="28" t="n">
        <v>0.162</v>
      </c>
      <c r="I9" s="29">
        <f>(1-ABS(G9-H9)/G9)*100</f>
        <v/>
      </c>
      <c r="J9" s="27" t="n">
        <v>1.11</v>
      </c>
      <c r="K9" s="28" t="n">
        <v>1.059</v>
      </c>
      <c r="L9" s="29">
        <f>(1-ABS(J9-K9)/J9)*100</f>
        <v/>
      </c>
      <c r="M9" s="27" t="n">
        <v>0.28</v>
      </c>
      <c r="N9" s="28" t="n">
        <v>0.248</v>
      </c>
      <c r="O9" s="29">
        <f>(1-ABS(M9-N9)/M9)*100</f>
        <v/>
      </c>
      <c r="P9" s="30" t="n"/>
      <c r="Q9" s="31" t="n">
        <v>0.627</v>
      </c>
      <c r="R9" s="27" t="n"/>
      <c r="S9" s="32" t="n">
        <v>12</v>
      </c>
      <c r="T9" s="30" t="n">
        <v>14.29</v>
      </c>
      <c r="U9" s="29">
        <f>(1-ABS(S9-T9)/S9)*100</f>
        <v/>
      </c>
    </row>
    <row r="10">
      <c r="B10" s="25" t="inlineStr">
        <is>
          <t>07/1</t>
        </is>
      </c>
      <c r="C10" s="26" t="n">
        <v>6045</v>
      </c>
      <c r="D10" s="27" t="n">
        <v>2.55</v>
      </c>
      <c r="E10" s="28" t="n">
        <v>2.497</v>
      </c>
      <c r="F10" s="29">
        <f>(1-ABS(D10-E10)/D10)*100</f>
        <v/>
      </c>
      <c r="G10" s="28" t="n">
        <v>0.17</v>
      </c>
      <c r="H10" s="28" t="n">
        <v>0.162</v>
      </c>
      <c r="I10" s="29">
        <f>(1-ABS(G10-H10)/G10)*100</f>
        <v/>
      </c>
      <c r="J10" s="27" t="n">
        <v>1.13</v>
      </c>
      <c r="K10" s="28" t="n">
        <v>1.003</v>
      </c>
      <c r="L10" s="29">
        <f>(1-ABS(J10-K10)/J10)*100</f>
        <v/>
      </c>
      <c r="M10" s="27" t="n">
        <v>0.33</v>
      </c>
      <c r="N10" s="28" t="n">
        <v>0.276</v>
      </c>
      <c r="O10" s="29">
        <f>(1-ABS(M10-N10)/M10)*100</f>
        <v/>
      </c>
      <c r="P10" s="30" t="n"/>
      <c r="Q10" s="31" t="n">
        <v>0.652</v>
      </c>
      <c r="R10" s="27" t="n"/>
      <c r="S10" s="32" t="n">
        <v>13</v>
      </c>
      <c r="T10" s="30" t="n">
        <v>13.07</v>
      </c>
      <c r="U10" s="29">
        <f>(1-ABS(S10-T10)/S10)*100</f>
        <v/>
      </c>
    </row>
    <row r="11">
      <c r="B11" s="25" t="inlineStr">
        <is>
          <t>07/4</t>
        </is>
      </c>
      <c r="C11" s="26" t="n">
        <v>5564</v>
      </c>
      <c r="D11" s="27" t="n">
        <v>2.43</v>
      </c>
      <c r="E11" s="28" t="n">
        <v>2.39</v>
      </c>
      <c r="F11" s="29">
        <f>(1-ABS(D11-E11)/D11)*100</f>
        <v/>
      </c>
      <c r="G11" s="28" t="n">
        <v>0.162</v>
      </c>
      <c r="H11" s="28" t="n">
        <v>0.155</v>
      </c>
      <c r="I11" s="29">
        <f>(1-ABS(G11-H11)/G11)*100</f>
        <v/>
      </c>
      <c r="J11" s="27" t="n">
        <v>1.06</v>
      </c>
      <c r="K11" s="28" t="n">
        <v>0.96</v>
      </c>
      <c r="L11" s="29">
        <f>(1-ABS(J11-K11)/J11)*100</f>
        <v/>
      </c>
      <c r="M11" s="27" t="n">
        <v>0.26</v>
      </c>
      <c r="N11" s="28" t="n">
        <v>0.282</v>
      </c>
      <c r="O11" s="29">
        <f>(1-ABS(M11-N11)/M11)*100</f>
        <v/>
      </c>
      <c r="P11" s="30" t="n"/>
      <c r="Q11" s="31" t="n">
        <v>0.64</v>
      </c>
      <c r="R11" s="27" t="n"/>
      <c r="S11" s="32" t="n">
        <v>12</v>
      </c>
      <c r="T11" s="30" t="n">
        <v>11.57</v>
      </c>
      <c r="U11" s="29">
        <f>(1-ABS(S11-T11)/S11)*100</f>
        <v/>
      </c>
    </row>
    <row r="12">
      <c r="B12" s="25" t="inlineStr">
        <is>
          <t>07/5</t>
        </is>
      </c>
      <c r="C12" s="26" t="n">
        <v>6240</v>
      </c>
      <c r="D12" s="27" t="n">
        <v>2.56</v>
      </c>
      <c r="E12" s="28" t="n">
        <v>2.407</v>
      </c>
      <c r="F12" s="29">
        <f>(1-ABS(D12-E12)/D12)*100</f>
        <v/>
      </c>
      <c r="G12" s="28" t="n">
        <v>0.171</v>
      </c>
      <c r="H12" s="28" t="n">
        <v>0.156</v>
      </c>
      <c r="I12" s="29">
        <f>(1-ABS(G12-H12)/G12)*100</f>
        <v/>
      </c>
      <c r="J12" s="27" t="n">
        <v>1.06</v>
      </c>
      <c r="K12" s="28" t="n">
        <v>0.959</v>
      </c>
      <c r="L12" s="29">
        <f>(1-ABS(J12-K12)/J12)*100</f>
        <v/>
      </c>
      <c r="M12" s="27" t="n">
        <v>0.26</v>
      </c>
      <c r="N12" s="28" t="n">
        <v>0.27</v>
      </c>
      <c r="O12" s="29">
        <f>(1-ABS(M12-N12)/M12)*100</f>
        <v/>
      </c>
      <c r="P12" s="30" t="n"/>
      <c r="Q12" s="31" t="n">
        <v>0.642</v>
      </c>
      <c r="R12" s="27" t="n"/>
      <c r="S12" s="32" t="n">
        <v>12</v>
      </c>
      <c r="T12" s="30" t="n">
        <v>12.12</v>
      </c>
      <c r="U12" s="29">
        <f>(1-ABS(S12-T12)/S12)*100</f>
        <v/>
      </c>
    </row>
    <row r="13">
      <c r="B13" s="25" t="inlineStr">
        <is>
          <t>08/2</t>
        </is>
      </c>
      <c r="C13" s="26" t="n">
        <v>8862</v>
      </c>
      <c r="D13" s="27" t="n">
        <v>2.59</v>
      </c>
      <c r="E13" s="28" t="n">
        <v>2.501</v>
      </c>
      <c r="F13" s="29">
        <f>(1-ABS(D13-E13)/D13)*100</f>
        <v/>
      </c>
      <c r="G13" s="28" t="n">
        <v>0.166</v>
      </c>
      <c r="H13" s="28" t="n">
        <v>0.162</v>
      </c>
      <c r="I13" s="29">
        <f>(1-ABS(G13-H13)/G13)*100</f>
        <v/>
      </c>
      <c r="J13" s="27" t="n">
        <v>1.09</v>
      </c>
      <c r="K13" s="28" t="n">
        <v>1.01</v>
      </c>
      <c r="L13" s="29">
        <f>(1-ABS(J13-K13)/J13)*100</f>
        <v/>
      </c>
      <c r="M13" s="27" t="n">
        <v>0.31</v>
      </c>
      <c r="N13" s="28" t="n">
        <v>0.281</v>
      </c>
      <c r="O13" s="29">
        <f>(1-ABS(M13-N13)/M13)*100</f>
        <v/>
      </c>
      <c r="P13" s="30" t="n"/>
      <c r="Q13" s="31" t="n">
        <v>0.645</v>
      </c>
      <c r="R13" s="27" t="n"/>
      <c r="S13" s="32" t="n">
        <v>11</v>
      </c>
      <c r="T13" s="30" t="n">
        <v>12.89</v>
      </c>
      <c r="U13" s="29">
        <f>(1-ABS(S13-T13)/S13)*100</f>
        <v/>
      </c>
    </row>
    <row r="14">
      <c r="B14" s="25" t="inlineStr">
        <is>
          <t>12/1</t>
        </is>
      </c>
      <c r="C14" s="26" t="n">
        <v>4143</v>
      </c>
      <c r="D14" s="27" t="n">
        <v>2.6</v>
      </c>
      <c r="E14" s="28" t="n">
        <v>2.522</v>
      </c>
      <c r="F14" s="29">
        <f>(1-ABS(D14-E14)/D14)*100</f>
        <v/>
      </c>
      <c r="G14" s="28" t="n">
        <v>0.162</v>
      </c>
      <c r="H14" s="28" t="n">
        <v>0.164</v>
      </c>
      <c r="I14" s="29">
        <f>(1-ABS(G14-H14)/G14)*100</f>
        <v/>
      </c>
      <c r="J14" s="27" t="n">
        <v>1.09</v>
      </c>
      <c r="K14" s="28" t="n">
        <v>1.012</v>
      </c>
      <c r="L14" s="29">
        <f>(1-ABS(J14-K14)/J14)*100</f>
        <v/>
      </c>
      <c r="M14" s="27" t="n">
        <v>0.3</v>
      </c>
      <c r="N14" s="28" t="n">
        <v>0.27</v>
      </c>
      <c r="O14" s="29">
        <f>(1-ABS(M14-N14)/M14)*100</f>
        <v/>
      </c>
      <c r="P14" s="30" t="n"/>
      <c r="Q14" s="31" t="n">
        <v>0.639</v>
      </c>
      <c r="R14" s="27" t="n"/>
      <c r="S14" s="32" t="n">
        <v>12</v>
      </c>
      <c r="T14" s="30" t="n">
        <v>14.03</v>
      </c>
      <c r="U14" s="29">
        <f>(1-ABS(S14-T14)/S14)*100</f>
        <v/>
      </c>
    </row>
    <row r="15">
      <c r="B15" s="25" t="inlineStr">
        <is>
          <t>12/2</t>
        </is>
      </c>
      <c r="C15" s="26" t="n">
        <v>4027</v>
      </c>
      <c r="D15" s="27" t="n">
        <v>2.5</v>
      </c>
      <c r="E15" s="28" t="n">
        <v>2.518</v>
      </c>
      <c r="F15" s="29">
        <f>(1-ABS(D15-E15)/D15)*100</f>
        <v/>
      </c>
      <c r="G15" s="28" t="n">
        <v>0.142</v>
      </c>
      <c r="H15" s="28" t="n">
        <v>0.163</v>
      </c>
      <c r="I15" s="29">
        <f>(1-ABS(G15-H15)/G15)*100</f>
        <v/>
      </c>
      <c r="J15" s="27" t="n">
        <v>1.06</v>
      </c>
      <c r="K15" s="28" t="n">
        <v>1.007</v>
      </c>
      <c r="L15" s="29">
        <f>(1-ABS(J15-K15)/J15)*100</f>
        <v/>
      </c>
      <c r="M15" s="27" t="n">
        <v>0.28</v>
      </c>
      <c r="N15" s="28" t="n">
        <v>0.266</v>
      </c>
      <c r="O15" s="29">
        <f>(1-ABS(M15-N15)/M15)*100</f>
        <v/>
      </c>
      <c r="P15" s="30" t="n"/>
      <c r="Q15" s="31" t="n">
        <v>0.641</v>
      </c>
      <c r="R15" s="27" t="n"/>
      <c r="S15" s="32" t="n">
        <v>13</v>
      </c>
      <c r="T15" s="30" t="n">
        <v>13.97</v>
      </c>
      <c r="U15" s="29">
        <f>(1-ABS(S15-T15)/S15)*100</f>
        <v/>
      </c>
    </row>
    <row r="16">
      <c r="B16" s="25" t="inlineStr">
        <is>
          <t>12/3</t>
        </is>
      </c>
      <c r="C16" s="26" t="n">
        <v>3851</v>
      </c>
      <c r="D16" s="27" t="n">
        <v>2.54</v>
      </c>
      <c r="E16" s="28" t="n">
        <v>2.512</v>
      </c>
      <c r="F16" s="29">
        <f>(1-ABS(D16-E16)/D16)*100</f>
        <v/>
      </c>
      <c r="G16" s="28" t="n">
        <v>0.153</v>
      </c>
      <c r="H16" s="28" t="n">
        <v>0.164</v>
      </c>
      <c r="I16" s="29">
        <f>(1-ABS(G16-H16)/G16)*100</f>
        <v/>
      </c>
      <c r="J16" s="27" t="n">
        <v>1.11</v>
      </c>
      <c r="K16" s="28" t="n">
        <v>1.012</v>
      </c>
      <c r="L16" s="29">
        <f>(1-ABS(J16-K16)/J16)*100</f>
        <v/>
      </c>
      <c r="M16" s="27" t="n">
        <v>0.34</v>
      </c>
      <c r="N16" s="28" t="n">
        <v>0.271</v>
      </c>
      <c r="O16" s="29">
        <f>(1-ABS(M16-N16)/M16)*100</f>
        <v/>
      </c>
      <c r="P16" s="30" t="n"/>
      <c r="Q16" s="31" t="n">
        <v>0.64</v>
      </c>
      <c r="R16" s="27" t="n"/>
      <c r="S16" s="32" t="n">
        <v>12</v>
      </c>
      <c r="T16" s="30" t="n">
        <v>13.94</v>
      </c>
      <c r="U16" s="29">
        <f>(1-ABS(S16-T16)/S16)*100</f>
        <v/>
      </c>
    </row>
    <row r="17" ht="40" customHeight="1">
      <c r="A17" s="33" t="inlineStr">
        <is>
          <t>Best result closer to 1</t>
        </is>
      </c>
      <c r="B17" s="25" t="inlineStr">
        <is>
          <t>12/J</t>
        </is>
      </c>
      <c r="C17" s="26" t="n">
        <v>3576</v>
      </c>
      <c r="D17" s="27" t="n">
        <v>2.44</v>
      </c>
      <c r="E17" s="28" t="n">
        <v>2.274</v>
      </c>
      <c r="F17" s="29">
        <f>(1-ABS(D17-E17)/D17)*100</f>
        <v/>
      </c>
      <c r="G17" s="28" t="n">
        <v>0.158</v>
      </c>
      <c r="H17" s="28" t="n">
        <v>0.145</v>
      </c>
      <c r="I17" s="29">
        <f>(1-ABS(G17-H17)/G17)*100</f>
        <v/>
      </c>
      <c r="J17" s="27" t="n">
        <v>1.1</v>
      </c>
      <c r="K17" s="28" t="n">
        <v>0.893</v>
      </c>
      <c r="L17" s="29">
        <f>(1-ABS(J17-K17)/J17)*100</f>
        <v/>
      </c>
      <c r="M17" s="27" t="n">
        <v>0.3</v>
      </c>
      <c r="N17" s="28" t="n">
        <v>0.26</v>
      </c>
      <c r="O17" s="29">
        <f>(1-ABS(M17-N17)/M17)*100</f>
        <v/>
      </c>
      <c r="P17" s="30" t="n"/>
      <c r="Q17" s="31" t="n">
        <v>0.598</v>
      </c>
      <c r="R17" s="27" t="n"/>
      <c r="S17" s="32" t="n">
        <v>11</v>
      </c>
      <c r="T17" s="30" t="n">
        <v>11.01</v>
      </c>
      <c r="U17" s="29">
        <f>(1-ABS(S17-T17)/S17)*100</f>
        <v/>
      </c>
    </row>
    <row r="18" ht="39" customHeight="1">
      <c r="A18" s="33" t="inlineStr">
        <is>
          <t>Best result closer to 0</t>
        </is>
      </c>
      <c r="B18" s="25" t="inlineStr">
        <is>
          <t>13/D</t>
        </is>
      </c>
      <c r="C18" s="26" t="n">
        <v>3709</v>
      </c>
      <c r="D18" s="27" t="n">
        <v>2.46</v>
      </c>
      <c r="E18" s="28" t="n">
        <v>2.534</v>
      </c>
      <c r="F18" s="29">
        <f>(1-ABS(D18-E18)/D18)*100</f>
        <v/>
      </c>
      <c r="G18" s="28" t="n">
        <v>0.161</v>
      </c>
      <c r="H18" s="28" t="n">
        <v>0.163</v>
      </c>
      <c r="I18" s="29">
        <f>(1-ABS(G18-H18)/G18)*100</f>
        <v/>
      </c>
      <c r="J18" s="27" t="n">
        <v>1.06</v>
      </c>
      <c r="K18" s="28" t="n">
        <v>1.013</v>
      </c>
      <c r="L18" s="29">
        <f>(1-ABS(J18-K18)/J18)*100</f>
        <v/>
      </c>
      <c r="M18" s="27" t="n">
        <v>0.3</v>
      </c>
      <c r="N18" s="28" t="n">
        <v>0.273</v>
      </c>
      <c r="O18" s="29">
        <f>(1-ABS(M18-N18)/M18)*100</f>
        <v/>
      </c>
      <c r="P18" s="30" t="n"/>
      <c r="Q18" s="31" t="n">
        <v>0.646</v>
      </c>
      <c r="R18" s="27" t="n"/>
      <c r="S18" s="32" t="n">
        <v>12</v>
      </c>
      <c r="T18" s="30" t="n">
        <v>13.77</v>
      </c>
      <c r="U18" s="29">
        <f>(1-ABS(S18-T18)/S18)*100</f>
        <v/>
      </c>
    </row>
    <row r="19" ht="66" customHeight="1">
      <c r="A19" s="33" t="inlineStr">
        <is>
          <t>Best result closer to 1</t>
        </is>
      </c>
      <c r="B19" s="25" t="inlineStr">
        <is>
          <t>13/G</t>
        </is>
      </c>
      <c r="C19" s="26" t="n">
        <v>3549</v>
      </c>
      <c r="D19" s="27" t="n">
        <v>2.49</v>
      </c>
      <c r="E19" s="28" t="n">
        <v>2.584</v>
      </c>
      <c r="F19" s="29">
        <f>(1-ABS(D19-E19)/D19)*100</f>
        <v/>
      </c>
      <c r="G19" s="28" t="n">
        <v>0.15</v>
      </c>
      <c r="H19" s="28" t="n">
        <v>0.166</v>
      </c>
      <c r="I19" s="29">
        <f>(1-ABS(G19-H19)/G19)*100</f>
        <v/>
      </c>
      <c r="J19" s="27" t="n">
        <v>1.12</v>
      </c>
      <c r="K19" s="28" t="n">
        <v>1.034</v>
      </c>
      <c r="L19" s="29">
        <f>(1-ABS(J19-K19)/J19)*100</f>
        <v/>
      </c>
      <c r="M19" s="27" t="n">
        <v>0.37</v>
      </c>
      <c r="N19" s="28" t="n">
        <v>0.275</v>
      </c>
      <c r="O19" s="29">
        <f>(1-ABS(M19-N19)/M19)*100</f>
        <v/>
      </c>
      <c r="P19" s="30" t="n"/>
      <c r="Q19" s="31" t="n">
        <v>0.655</v>
      </c>
      <c r="R19" s="27" t="n"/>
      <c r="S19" s="32" t="n">
        <v>11</v>
      </c>
      <c r="T19" s="30" t="n">
        <v>14.2</v>
      </c>
      <c r="U19" s="29">
        <f>(1-ABS(S19-T19)/S19)*100</f>
        <v/>
      </c>
    </row>
    <row r="20">
      <c r="B20" s="25" t="inlineStr">
        <is>
          <t>13/J</t>
        </is>
      </c>
      <c r="C20" s="26" t="n">
        <v>4702</v>
      </c>
      <c r="D20" s="27" t="n">
        <v>2.54</v>
      </c>
      <c r="E20" s="28" t="n">
        <v>2.528</v>
      </c>
      <c r="F20" s="29">
        <f>(1-ABS(D20-E20)/D20)*100</f>
        <v/>
      </c>
      <c r="G20" s="28" t="n">
        <v>0.152</v>
      </c>
      <c r="H20" s="28" t="n">
        <v>0.163</v>
      </c>
      <c r="I20" s="29">
        <f>(1-ABS(G20-H20)/G20)*100</f>
        <v/>
      </c>
      <c r="J20" s="27" t="n">
        <v>1.15</v>
      </c>
      <c r="K20" s="28" t="n">
        <v>1.027</v>
      </c>
      <c r="L20" s="29">
        <f>(1-ABS(J20-K20)/J20)*100</f>
        <v/>
      </c>
      <c r="M20" s="27" t="n">
        <v>0.38</v>
      </c>
      <c r="N20" s="28" t="n">
        <v>0.285</v>
      </c>
      <c r="O20" s="29">
        <f>(1-ABS(M20-N20)/M20)*100</f>
        <v/>
      </c>
      <c r="P20" s="30" t="n"/>
      <c r="Q20" s="31" t="n">
        <v>0.645</v>
      </c>
      <c r="R20" s="27" t="n"/>
      <c r="S20" s="32" t="n">
        <v>11</v>
      </c>
      <c r="T20" s="30" t="n">
        <v>13.68</v>
      </c>
      <c r="U20" s="29">
        <f>(1-ABS(S20-T20)/S20)*100</f>
        <v/>
      </c>
    </row>
    <row r="21">
      <c r="B21" s="25" t="inlineStr">
        <is>
          <t>13/K</t>
        </is>
      </c>
      <c r="C21" s="26" t="n">
        <v>5408</v>
      </c>
      <c r="D21" s="27" t="n">
        <v>2.48</v>
      </c>
      <c r="E21" s="28" t="n">
        <v>2.445</v>
      </c>
      <c r="F21" s="29">
        <f>(1-ABS(D21-E21)/D21)*100</f>
        <v/>
      </c>
      <c r="G21" s="28" t="n">
        <v>0.15</v>
      </c>
      <c r="H21" s="28" t="n">
        <v>0.159</v>
      </c>
      <c r="I21" s="29">
        <f>(1-ABS(G21-H21)/G21)*100</f>
        <v/>
      </c>
      <c r="J21" s="27" t="n">
        <v>1.11</v>
      </c>
      <c r="K21" s="28" t="n">
        <v>0.992</v>
      </c>
      <c r="L21" s="29">
        <f>(1-ABS(J21-K21)/J21)*100</f>
        <v/>
      </c>
      <c r="M21" s="27" t="n">
        <v>0.33</v>
      </c>
      <c r="N21" s="28" t="n">
        <v>0.284</v>
      </c>
      <c r="O21" s="29">
        <f>(1-ABS(M21-N21)/M21)*100</f>
        <v/>
      </c>
      <c r="P21" s="30" t="n"/>
      <c r="Q21" s="31" t="n">
        <v>0.642</v>
      </c>
      <c r="R21" s="27" t="n"/>
      <c r="S21" s="32" t="n">
        <v>11</v>
      </c>
      <c r="T21" s="30" t="n">
        <v>12.49</v>
      </c>
      <c r="U21" s="29">
        <f>(1-ABS(S21-T21)/S21)*100</f>
        <v/>
      </c>
    </row>
    <row r="22" ht="35" customHeight="1">
      <c r="A22" s="43" t="inlineStr">
        <is>
          <t>AVG ACCURACY</t>
        </is>
      </c>
      <c r="F22" s="35">
        <f>AVERAGE(F7:F21)</f>
        <v/>
      </c>
      <c r="I22" s="35">
        <f>AVERAGE(I7:I21)</f>
        <v/>
      </c>
      <c r="L22" s="35">
        <f>AVERAGE(L7:L21)</f>
        <v/>
      </c>
      <c r="O22" s="35">
        <f>AVERAGE(O7:O21)</f>
        <v/>
      </c>
      <c r="R22" s="36" t="inlineStr">
        <is>
          <t>-</t>
        </is>
      </c>
      <c r="U22" s="35">
        <f>AVERAGE(U7:U21)</f>
        <v/>
      </c>
    </row>
    <row r="23" ht="40" customHeight="1">
      <c r="A23" s="38" t="inlineStr">
        <is>
          <t>Best result closer to 0</t>
        </is>
      </c>
      <c r="B23" s="25" t="inlineStr">
        <is>
          <t>R^2 (Coefficient of determination)</t>
        </is>
      </c>
      <c r="C23" s="39" t="n"/>
      <c r="D23" s="40">
        <f>RSQ(E7:E21, D7:D21)</f>
        <v/>
      </c>
      <c r="E23" s="41" t="n"/>
      <c r="F23" s="39" t="n"/>
      <c r="G23" s="40">
        <f>RSQ(H7:H21, G7:G21)</f>
        <v/>
      </c>
      <c r="H23" s="41" t="n"/>
      <c r="I23" s="39" t="n"/>
      <c r="J23" s="40">
        <f>RSQ(K7:K21, J7:J21)</f>
        <v/>
      </c>
      <c r="K23" s="41" t="n"/>
      <c r="L23" s="39" t="n"/>
      <c r="M23" s="40">
        <f>RSQ(N7:N21, M7:M21)</f>
        <v/>
      </c>
      <c r="N23" s="41" t="n"/>
      <c r="O23" s="39" t="n"/>
      <c r="P23" s="42" t="inlineStr">
        <is>
          <t>-</t>
        </is>
      </c>
      <c r="Q23" s="41" t="n"/>
      <c r="R23" s="39" t="n"/>
      <c r="S23" s="42">
        <f>RSQ(T7:T21, S7:S21)</f>
        <v/>
      </c>
      <c r="T23" s="41" t="n"/>
      <c r="U23" s="39" t="n"/>
    </row>
    <row r="24" ht="39" customHeight="1">
      <c r="A24" s="38" t="inlineStr">
        <is>
          <t>Best result closer to 1</t>
        </is>
      </c>
      <c r="B24" s="25" t="inlineStr">
        <is>
          <t>MAE (Average size of prediction errors)</t>
        </is>
      </c>
      <c r="C24" s="39" t="n"/>
      <c r="D24" s="40">
        <f>SUMPRODUCT(ABS(D7:D21-E7:E21))/COUNT(D7:D21)</f>
        <v/>
      </c>
      <c r="E24" s="41" t="n"/>
      <c r="F24" s="39" t="n"/>
      <c r="G24" s="40">
        <f>SUMPRODUCT(ABS(G7:G21-H7:H21))/COUNT(G7:G21)</f>
        <v/>
      </c>
      <c r="H24" s="41" t="n"/>
      <c r="I24" s="39" t="n"/>
      <c r="J24" s="40">
        <f>SUMPRODUCT(ABS(J7:J21-K7:K21))/COUNT(J7:J21)</f>
        <v/>
      </c>
      <c r="K24" s="41" t="n"/>
      <c r="L24" s="39" t="n"/>
      <c r="M24" s="40">
        <f>SUMPRODUCT(ABS(M7:M21-N7:N21))/COUNT(M7:M21)</f>
        <v/>
      </c>
      <c r="N24" s="41" t="n"/>
      <c r="O24" s="39" t="n"/>
      <c r="P24" s="42" t="inlineStr">
        <is>
          <t>-</t>
        </is>
      </c>
      <c r="Q24" s="41" t="n"/>
      <c r="R24" s="39" t="n"/>
      <c r="S24" s="42">
        <f>SUMPRODUCT(ABS(S7:S21-T7:T21))/COUNT(S7:S21)</f>
        <v/>
      </c>
      <c r="T24" s="41" t="n"/>
      <c r="U24" s="39" t="n"/>
    </row>
    <row r="25" ht="66" customHeight="1">
      <c r="A25" s="38" t="inlineStr">
        <is>
          <t>Best result closer to 1</t>
        </is>
      </c>
      <c r="B25" s="25" t="inlineStr">
        <is>
          <t>RMSE (Prediction error, with larger mistakes penalised more)</t>
        </is>
      </c>
      <c r="C25" s="39" t="n"/>
      <c r="D25" s="40">
        <f>SQRT(SUMXMY2(D7:D21, E7:E21)/COUNT(D7:D21))</f>
        <v/>
      </c>
      <c r="E25" s="41" t="n"/>
      <c r="F25" s="39" t="n"/>
      <c r="G25" s="40">
        <f>SQRT(SUMXMY2(G7:G21, H7:H21)/COUNT(G7:G21))</f>
        <v/>
      </c>
      <c r="H25" s="41" t="n"/>
      <c r="I25" s="39" t="n"/>
      <c r="J25" s="40">
        <f>SQRT(SUMXMY2(J7:J21, K7:K21)/COUNT(J7:J21))</f>
        <v/>
      </c>
      <c r="K25" s="41" t="n"/>
      <c r="L25" s="39" t="n"/>
      <c r="M25" s="40">
        <f>SQRT(SUMXMY2(M7:M21, N7:N21)/COUNT(M7:M21))</f>
        <v/>
      </c>
      <c r="N25" s="41" t="n"/>
      <c r="O25" s="39" t="n"/>
      <c r="P25" s="42" t="inlineStr">
        <is>
          <t>-</t>
        </is>
      </c>
      <c r="Q25" s="41" t="n"/>
      <c r="R25" s="39" t="n"/>
      <c r="S25" s="42">
        <f>SQRT(SUMXMY2(S7:S21, T7:T21)/COUNT(S7:S21))</f>
        <v/>
      </c>
      <c r="T25" s="41" t="n"/>
      <c r="U25" s="39" t="n"/>
    </row>
  </sheetData>
  <mergeCells count="31">
    <mergeCell ref="J24:L24"/>
    <mergeCell ref="B4:O4"/>
    <mergeCell ref="B25:C25"/>
    <mergeCell ref="S23:U23"/>
    <mergeCell ref="P23:R23"/>
    <mergeCell ref="M25:O25"/>
    <mergeCell ref="G24:I24"/>
    <mergeCell ref="J25:L25"/>
    <mergeCell ref="G5:I5"/>
    <mergeCell ref="S24:U24"/>
    <mergeCell ref="B23:C23"/>
    <mergeCell ref="D25:F25"/>
    <mergeCell ref="M24:O24"/>
    <mergeCell ref="G25:I25"/>
    <mergeCell ref="D24:F24"/>
    <mergeCell ref="S5:U5"/>
    <mergeCell ref="M23:O23"/>
    <mergeCell ref="D5:F5"/>
    <mergeCell ref="D23:F23"/>
    <mergeCell ref="P5:R5"/>
    <mergeCell ref="P24:R24"/>
    <mergeCell ref="J23:L23"/>
    <mergeCell ref="S25:U25"/>
    <mergeCell ref="B5:B6"/>
    <mergeCell ref="P4:U4"/>
    <mergeCell ref="J5:L5"/>
    <mergeCell ref="B24:C24"/>
    <mergeCell ref="P25:R25"/>
    <mergeCell ref="M5:O5"/>
    <mergeCell ref="G23:I23"/>
    <mergeCell ref="C5:C6"/>
  </mergeCells>
  <conditionalFormatting sqref="F7:F21 I7:I21 L7:L21 O7:O21 U7:U21">
    <cfRule type="cellIs" priority="1" operator="lessThanOrEqual" dxfId="1">
      <formula>80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9"/>
  <sheetViews>
    <sheetView showGridLines="1" workbookViewId="0">
      <selection activeCell="A1" sqref="A1"/>
    </sheetView>
  </sheetViews>
  <sheetFormatPr baseColWidth="8" defaultRowHeight="15"/>
  <cols>
    <col width="10.83203125" customWidth="1" min="1" max="1"/>
  </cols>
  <sheetData>
    <row r="1"/>
    <row r="2"/>
    <row r="3"/>
    <row r="4">
      <c r="B4" s="12" t="n"/>
      <c r="P4" s="13" t="inlineStr">
        <is>
          <t>On-going Research for Ca and B Models</t>
        </is>
      </c>
      <c r="Q4" s="14" t="n"/>
      <c r="R4" s="14" t="n"/>
      <c r="S4" s="14" t="n"/>
      <c r="T4" s="14" t="n"/>
      <c r="U4" s="15" t="n"/>
    </row>
    <row r="5" ht="34" customHeight="1">
      <c r="B5" s="16" t="inlineStr">
        <is>
          <t>Plot</t>
        </is>
      </c>
      <c r="C5" s="17" t="inlineStr">
        <is>
          <t>Pixels sampled</t>
        </is>
      </c>
      <c r="D5" s="18" t="inlineStr">
        <is>
          <t>N</t>
        </is>
      </c>
      <c r="E5" s="14" t="n"/>
      <c r="F5" s="15" t="n"/>
      <c r="G5" s="18" t="inlineStr">
        <is>
          <t>P (%)</t>
        </is>
      </c>
      <c r="H5" s="14" t="n"/>
      <c r="I5" s="15" t="n"/>
      <c r="J5" s="18" t="inlineStr">
        <is>
          <t>K (%)</t>
        </is>
      </c>
      <c r="K5" s="14" t="n"/>
      <c r="L5" s="15" t="n"/>
      <c r="M5" s="18" t="inlineStr">
        <is>
          <t>Mg (%)</t>
        </is>
      </c>
      <c r="N5" s="14" t="n"/>
      <c r="O5" s="15" t="n"/>
      <c r="P5" s="19" t="inlineStr">
        <is>
          <t>Ca (%)</t>
        </is>
      </c>
      <c r="Q5" s="14" t="n"/>
      <c r="R5" s="15" t="n"/>
      <c r="S5" s="19" t="inlineStr">
        <is>
          <t>B (%)</t>
        </is>
      </c>
      <c r="T5" s="14" t="n"/>
      <c r="U5" s="15" t="n"/>
    </row>
    <row r="6" ht="34" customHeight="1">
      <c r="B6" s="20" t="n"/>
      <c r="C6" s="21" t="n"/>
      <c r="D6" s="22" t="inlineStr">
        <is>
          <t>Lab Actual (%)</t>
        </is>
      </c>
      <c r="E6" s="23" t="inlineStr">
        <is>
          <t>Prediction (%)</t>
        </is>
      </c>
      <c r="F6" s="24" t="inlineStr">
        <is>
          <t>Accuracy (%)</t>
        </is>
      </c>
      <c r="G6" s="22" t="inlineStr">
        <is>
          <t>Lab Actual (%)</t>
        </is>
      </c>
      <c r="H6" s="23" t="inlineStr">
        <is>
          <t>Prediction (%)</t>
        </is>
      </c>
      <c r="I6" s="24" t="inlineStr">
        <is>
          <t>Accuracy (%)</t>
        </is>
      </c>
      <c r="J6" s="22" t="inlineStr">
        <is>
          <t>Lab Actual (%)</t>
        </is>
      </c>
      <c r="K6" s="23" t="inlineStr">
        <is>
          <t>Prediction (%)</t>
        </is>
      </c>
      <c r="L6" s="24" t="inlineStr">
        <is>
          <t>Accuracy (%)</t>
        </is>
      </c>
      <c r="M6" s="22" t="inlineStr">
        <is>
          <t>Lab Actual (%)</t>
        </is>
      </c>
      <c r="N6" s="23" t="inlineStr">
        <is>
          <t>Prediction (%)</t>
        </is>
      </c>
      <c r="O6" s="24" t="inlineStr">
        <is>
          <t>Accuracy (%)</t>
        </is>
      </c>
      <c r="P6" s="13" t="inlineStr">
        <is>
          <t>Lab Actual (%)</t>
        </is>
      </c>
      <c r="Q6" s="13" t="inlineStr">
        <is>
          <t>Prediction (%)</t>
        </is>
      </c>
      <c r="R6" s="24" t="inlineStr">
        <is>
          <t>Accuracy (%)</t>
        </is>
      </c>
      <c r="S6" s="13" t="inlineStr">
        <is>
          <t>Lab Actual (%)</t>
        </is>
      </c>
      <c r="T6" s="13" t="inlineStr">
        <is>
          <t>Prediction (%)</t>
        </is>
      </c>
      <c r="U6" s="24" t="inlineStr">
        <is>
          <t>Accuracy (%)</t>
        </is>
      </c>
    </row>
    <row r="7">
      <c r="B7" s="25" t="inlineStr">
        <is>
          <t>06/04</t>
        </is>
      </c>
      <c r="C7" s="26" t="n">
        <v>6103</v>
      </c>
      <c r="D7" s="27" t="n">
        <v>2.59</v>
      </c>
      <c r="E7" s="28" t="n">
        <v>2.529</v>
      </c>
      <c r="F7" s="29">
        <f>(1-ABS(D7-E7)/D7)*100</f>
        <v/>
      </c>
      <c r="G7" s="28" t="n">
        <v>0.159</v>
      </c>
      <c r="H7" s="28" t="n">
        <v>0.162</v>
      </c>
      <c r="I7" s="29">
        <f>(1-ABS(G7-H7)/G7)*100</f>
        <v/>
      </c>
      <c r="J7" s="27" t="n">
        <v>0.99</v>
      </c>
      <c r="K7" s="28" t="n">
        <v>1.025</v>
      </c>
      <c r="L7" s="29">
        <f>(1-ABS(J7-K7)/J7)*100</f>
        <v/>
      </c>
      <c r="M7" s="27" t="n">
        <v>0.34</v>
      </c>
      <c r="N7" s="28" t="n">
        <v>0.25</v>
      </c>
      <c r="O7" s="29">
        <f>(1-ABS(M7-N7)/M7)*100</f>
        <v/>
      </c>
      <c r="P7" s="30" t="n"/>
      <c r="Q7" s="31" t="n">
        <v>0.635</v>
      </c>
      <c r="R7" s="27" t="n"/>
      <c r="S7" s="32" t="n">
        <v>12</v>
      </c>
      <c r="T7" s="30" t="n">
        <v>14.31</v>
      </c>
      <c r="U7" s="29">
        <f>(1-ABS(S7-T7)/S7)*100</f>
        <v/>
      </c>
    </row>
    <row r="8">
      <c r="B8" s="25" t="inlineStr">
        <is>
          <t>07/01</t>
        </is>
      </c>
      <c r="C8" s="26" t="n">
        <v>6029</v>
      </c>
      <c r="D8" s="27" t="n">
        <v>2.48</v>
      </c>
      <c r="E8" s="28" t="n">
        <v>2.531</v>
      </c>
      <c r="F8" s="29">
        <f>(1-ABS(D8-E8)/D8)*100</f>
        <v/>
      </c>
      <c r="G8" s="28" t="n">
        <v>0.164</v>
      </c>
      <c r="H8" s="28" t="n">
        <v>0.163</v>
      </c>
      <c r="I8" s="29">
        <f>(1-ABS(G8-H8)/G8)*100</f>
        <v/>
      </c>
      <c r="J8" s="27" t="n">
        <v>1.12</v>
      </c>
      <c r="K8" s="28" t="n">
        <v>1.023</v>
      </c>
      <c r="L8" s="29">
        <f>(1-ABS(J8-K8)/J8)*100</f>
        <v/>
      </c>
      <c r="M8" s="27" t="n">
        <v>0.36</v>
      </c>
      <c r="N8" s="28" t="n">
        <v>0.267</v>
      </c>
      <c r="O8" s="29">
        <f>(1-ABS(M8-N8)/M8)*100</f>
        <v/>
      </c>
      <c r="P8" s="30" t="n"/>
      <c r="Q8" s="31" t="n">
        <v>0.651</v>
      </c>
      <c r="R8" s="27" t="n"/>
      <c r="S8" s="32" t="n">
        <v>16</v>
      </c>
      <c r="T8" s="30" t="n">
        <v>13.57</v>
      </c>
      <c r="U8" s="29">
        <f>(1-ABS(S8-T8)/S8)*100</f>
        <v/>
      </c>
    </row>
    <row r="9">
      <c r="B9" s="25" t="inlineStr">
        <is>
          <t>07/09A</t>
        </is>
      </c>
      <c r="C9" s="26" t="n">
        <v>8467</v>
      </c>
      <c r="D9" s="27" t="n">
        <v>2.48</v>
      </c>
      <c r="E9" s="28" t="n">
        <v>2.501</v>
      </c>
      <c r="F9" s="29">
        <f>(1-ABS(D9-E9)/D9)*100</f>
        <v/>
      </c>
      <c r="G9" s="28" t="n">
        <v>0.147</v>
      </c>
      <c r="H9" s="28" t="n">
        <v>0.162</v>
      </c>
      <c r="I9" s="29">
        <f>(1-ABS(G9-H9)/G9)*100</f>
        <v/>
      </c>
      <c r="J9" s="27" t="n">
        <v>1.1</v>
      </c>
      <c r="K9" s="28" t="n">
        <v>1.012</v>
      </c>
      <c r="L9" s="29">
        <f>(1-ABS(J9-K9)/J9)*100</f>
        <v/>
      </c>
      <c r="M9" s="27" t="n">
        <v>0.32</v>
      </c>
      <c r="N9" s="28" t="n">
        <v>0.279</v>
      </c>
      <c r="O9" s="29">
        <f>(1-ABS(M9-N9)/M9)*100</f>
        <v/>
      </c>
      <c r="P9" s="30" t="n"/>
      <c r="Q9" s="31" t="n">
        <v>0.652</v>
      </c>
      <c r="R9" s="27" t="n"/>
      <c r="S9" s="32" t="n">
        <v>12</v>
      </c>
      <c r="T9" s="30" t="n">
        <v>12.76</v>
      </c>
      <c r="U9" s="29">
        <f>(1-ABS(S9-T9)/S9)*100</f>
        <v/>
      </c>
    </row>
    <row r="10">
      <c r="B10" s="25" t="inlineStr">
        <is>
          <t>09/12</t>
        </is>
      </c>
      <c r="C10" s="26" t="n">
        <v>2836</v>
      </c>
      <c r="D10" s="27" t="n">
        <v>2.47</v>
      </c>
      <c r="E10" s="28" t="n">
        <v>2.524</v>
      </c>
      <c r="F10" s="29">
        <f>(1-ABS(D10-E10)/D10)*100</f>
        <v/>
      </c>
      <c r="G10" s="28" t="n">
        <v>0.153</v>
      </c>
      <c r="H10" s="28" t="n">
        <v>0.166</v>
      </c>
      <c r="I10" s="29">
        <f>(1-ABS(G10-H10)/G10)*100</f>
        <v/>
      </c>
      <c r="J10" s="27" t="n">
        <v>1.1</v>
      </c>
      <c r="K10" s="28" t="n">
        <v>1.023</v>
      </c>
      <c r="L10" s="29">
        <f>(1-ABS(J10-K10)/J10)*100</f>
        <v/>
      </c>
      <c r="M10" s="27" t="n">
        <v>0.36</v>
      </c>
      <c r="N10" s="28" t="n">
        <v>0.294</v>
      </c>
      <c r="O10" s="29">
        <f>(1-ABS(M10-N10)/M10)*100</f>
        <v/>
      </c>
      <c r="P10" s="30" t="n"/>
      <c r="Q10" s="31" t="n">
        <v>0.659</v>
      </c>
      <c r="R10" s="27" t="n"/>
      <c r="S10" s="32" t="n">
        <v>11</v>
      </c>
      <c r="T10" s="30" t="n">
        <v>12.17</v>
      </c>
      <c r="U10" s="29">
        <f>(1-ABS(S10-T10)/S10)*100</f>
        <v/>
      </c>
    </row>
    <row r="11">
      <c r="B11" s="25" t="inlineStr">
        <is>
          <t>09/13</t>
        </is>
      </c>
      <c r="C11" s="26" t="n">
        <v>4273</v>
      </c>
      <c r="D11" s="27" t="n">
        <v>2.57</v>
      </c>
      <c r="E11" s="28" t="n">
        <v>2.496</v>
      </c>
      <c r="F11" s="29">
        <f>(1-ABS(D11-E11)/D11)*100</f>
        <v/>
      </c>
      <c r="G11" s="28" t="n">
        <v>0.147</v>
      </c>
      <c r="H11" s="28" t="n">
        <v>0.163</v>
      </c>
      <c r="I11" s="29">
        <f>(1-ABS(G11-H11)/G11)*100</f>
        <v/>
      </c>
      <c r="J11" s="27" t="n">
        <v>1.09</v>
      </c>
      <c r="K11" s="28" t="n">
        <v>1.011</v>
      </c>
      <c r="L11" s="29">
        <f>(1-ABS(J11-K11)/J11)*100</f>
        <v/>
      </c>
      <c r="M11" s="27" t="n">
        <v>0.37</v>
      </c>
      <c r="N11" s="28" t="n">
        <v>0.281</v>
      </c>
      <c r="O11" s="29">
        <f>(1-ABS(M11-N11)/M11)*100</f>
        <v/>
      </c>
      <c r="P11" s="30" t="n"/>
      <c r="Q11" s="31" t="n">
        <v>0.651</v>
      </c>
      <c r="R11" s="27" t="n"/>
      <c r="S11" s="32" t="n">
        <v>13</v>
      </c>
      <c r="T11" s="30" t="n">
        <v>12.77</v>
      </c>
      <c r="U11" s="29">
        <f>(1-ABS(S11-T11)/S11)*100</f>
        <v/>
      </c>
    </row>
    <row r="12">
      <c r="B12" s="25" t="inlineStr">
        <is>
          <t>11/15</t>
        </is>
      </c>
      <c r="C12" s="26" t="n">
        <v>2638</v>
      </c>
      <c r="D12" s="27" t="n">
        <v>2.74</v>
      </c>
      <c r="E12" s="28" t="n">
        <v>2.502</v>
      </c>
      <c r="F12" s="29">
        <f>(1-ABS(D12-E12)/D12)*100</f>
        <v/>
      </c>
      <c r="G12" s="28" t="n">
        <v>0.17</v>
      </c>
      <c r="H12" s="28" t="n">
        <v>0.162</v>
      </c>
      <c r="I12" s="29">
        <f>(1-ABS(G12-H12)/G12)*100</f>
        <v/>
      </c>
      <c r="J12" s="27" t="n">
        <v>1.14</v>
      </c>
      <c r="K12" s="28" t="n">
        <v>1.002</v>
      </c>
      <c r="L12" s="29">
        <f>(1-ABS(J12-K12)/J12)*100</f>
        <v/>
      </c>
      <c r="M12" s="27" t="n">
        <v>0.36</v>
      </c>
      <c r="N12" s="28" t="n">
        <v>0.266</v>
      </c>
      <c r="O12" s="29">
        <f>(1-ABS(M12-N12)/M12)*100</f>
        <v/>
      </c>
      <c r="P12" s="30" t="n"/>
      <c r="Q12" s="31" t="n">
        <v>0.647</v>
      </c>
      <c r="R12" s="27" t="n"/>
      <c r="S12" s="32" t="n">
        <v>12</v>
      </c>
      <c r="T12" s="30" t="n">
        <v>13.78</v>
      </c>
      <c r="U12" s="29">
        <f>(1-ABS(S12-T12)/S12)*100</f>
        <v/>
      </c>
    </row>
    <row r="13">
      <c r="B13" s="25" t="inlineStr">
        <is>
          <t>11/16</t>
        </is>
      </c>
      <c r="C13" s="26" t="n">
        <v>6510</v>
      </c>
      <c r="D13" s="27" t="n">
        <v>2.88</v>
      </c>
      <c r="E13" s="28" t="n">
        <v>2.543</v>
      </c>
      <c r="F13" s="29">
        <f>(1-ABS(D13-E13)/D13)*100</f>
        <v/>
      </c>
      <c r="G13" s="28" t="n">
        <v>0.175</v>
      </c>
      <c r="H13" s="28" t="n">
        <v>0.164</v>
      </c>
      <c r="I13" s="29">
        <f>(1-ABS(G13-H13)/G13)*100</f>
        <v/>
      </c>
      <c r="J13" s="27" t="n">
        <v>1.09</v>
      </c>
      <c r="K13" s="28" t="n">
        <v>1.045</v>
      </c>
      <c r="L13" s="29">
        <f>(1-ABS(J13-K13)/J13)*100</f>
        <v/>
      </c>
      <c r="M13" s="27" t="n">
        <v>0.37</v>
      </c>
      <c r="N13" s="28" t="n">
        <v>0.263</v>
      </c>
      <c r="O13" s="29">
        <f>(1-ABS(M13-N13)/M13)*100</f>
        <v/>
      </c>
      <c r="P13" s="30" t="n"/>
      <c r="Q13" s="31" t="n">
        <v>0.638</v>
      </c>
      <c r="R13" s="27" t="n"/>
      <c r="S13" s="32" t="n">
        <v>14</v>
      </c>
      <c r="T13" s="30" t="n">
        <v>13.63</v>
      </c>
      <c r="U13" s="29">
        <f>(1-ABS(S13-T13)/S13)*100</f>
        <v/>
      </c>
    </row>
    <row r="14">
      <c r="B14" s="25" t="inlineStr">
        <is>
          <t>11/17</t>
        </is>
      </c>
      <c r="C14" s="26" t="n">
        <v>5009</v>
      </c>
      <c r="D14" s="27" t="n">
        <v>2.73</v>
      </c>
      <c r="E14" s="28" t="n">
        <v>2.526</v>
      </c>
      <c r="F14" s="29">
        <f>(1-ABS(D14-E14)/D14)*100</f>
        <v/>
      </c>
      <c r="G14" s="28" t="n">
        <v>0.177</v>
      </c>
      <c r="H14" s="28" t="n">
        <v>0.165</v>
      </c>
      <c r="I14" s="29">
        <f>(1-ABS(G14-H14)/G14)*100</f>
        <v/>
      </c>
      <c r="J14" s="27" t="n">
        <v>1.07</v>
      </c>
      <c r="K14" s="28" t="n">
        <v>1.023</v>
      </c>
      <c r="L14" s="29">
        <f>(1-ABS(J14-K14)/J14)*100</f>
        <v/>
      </c>
      <c r="M14" s="27" t="n">
        <v>0.33</v>
      </c>
      <c r="N14" s="28" t="n">
        <v>0.279</v>
      </c>
      <c r="O14" s="29">
        <f>(1-ABS(M14-N14)/M14)*100</f>
        <v/>
      </c>
      <c r="P14" s="30" t="n"/>
      <c r="Q14" s="31" t="n">
        <v>0.652</v>
      </c>
      <c r="R14" s="27" t="n"/>
      <c r="S14" s="32" t="n">
        <v>13</v>
      </c>
      <c r="T14" s="30" t="n">
        <v>13.2</v>
      </c>
      <c r="U14" s="29">
        <f>(1-ABS(S14-T14)/S14)*100</f>
        <v/>
      </c>
    </row>
    <row r="15">
      <c r="B15" s="25" t="inlineStr">
        <is>
          <t>11/18</t>
        </is>
      </c>
      <c r="C15" s="26" t="n">
        <v>3457</v>
      </c>
      <c r="D15" s="27" t="n">
        <v>2.83</v>
      </c>
      <c r="E15" s="28" t="n">
        <v>2.554</v>
      </c>
      <c r="F15" s="29">
        <f>(1-ABS(D15-E15)/D15)*100</f>
        <v/>
      </c>
      <c r="G15" s="28" t="n">
        <v>0.169</v>
      </c>
      <c r="H15" s="28" t="n">
        <v>0.165</v>
      </c>
      <c r="I15" s="29">
        <f>(1-ABS(G15-H15)/G15)*100</f>
        <v/>
      </c>
      <c r="J15" s="27" t="n">
        <v>1.14</v>
      </c>
      <c r="K15" s="28" t="n">
        <v>1.033</v>
      </c>
      <c r="L15" s="29">
        <f>(1-ABS(J15-K15)/J15)*100</f>
        <v/>
      </c>
      <c r="M15" s="27" t="n">
        <v>0.36</v>
      </c>
      <c r="N15" s="28" t="n">
        <v>0.27</v>
      </c>
      <c r="O15" s="29">
        <f>(1-ABS(M15-N15)/M15)*100</f>
        <v/>
      </c>
      <c r="P15" s="30" t="n"/>
      <c r="Q15" s="31" t="n">
        <v>0.65</v>
      </c>
      <c r="R15" s="27" t="n"/>
      <c r="S15" s="32" t="n">
        <v>14</v>
      </c>
      <c r="T15" s="30" t="n">
        <v>14.22</v>
      </c>
      <c r="U15" s="29">
        <f>(1-ABS(S15-T15)/S15)*100</f>
        <v/>
      </c>
    </row>
    <row r="16" ht="35" customHeight="1">
      <c r="A16" s="43" t="inlineStr">
        <is>
          <t>AVG ACCURACY</t>
        </is>
      </c>
      <c r="B16" s="44" t="n"/>
      <c r="C16" s="12" t="n"/>
      <c r="D16" s="45" t="n"/>
      <c r="E16" s="46" t="n"/>
      <c r="F16" s="35">
        <f>AVERAGE(F7:F15)</f>
        <v/>
      </c>
      <c r="G16" s="45" t="n"/>
      <c r="H16" s="46" t="n"/>
      <c r="I16" s="35">
        <f>AVERAGE(I7:I15)</f>
        <v/>
      </c>
      <c r="J16" s="12" t="n"/>
      <c r="K16" s="12" t="n"/>
      <c r="L16" s="35">
        <f>AVERAGE(L7:L15)</f>
        <v/>
      </c>
      <c r="M16" s="45" t="n"/>
      <c r="N16" s="46" t="n"/>
      <c r="O16" s="37">
        <f>AVERAGE(O7:O15)</f>
        <v/>
      </c>
      <c r="P16" s="47" t="n"/>
      <c r="Q16" s="47" t="n"/>
      <c r="R16" s="36" t="inlineStr">
        <is>
          <t>-</t>
        </is>
      </c>
      <c r="S16" s="48" t="n"/>
      <c r="T16" s="49" t="n"/>
      <c r="U16" s="35">
        <f>AVERAGE(U7:U15)</f>
        <v/>
      </c>
    </row>
    <row r="17" ht="40" customHeight="1">
      <c r="A17" s="38" t="inlineStr">
        <is>
          <t>Best result closer to 0</t>
        </is>
      </c>
      <c r="B17" s="25" t="inlineStr">
        <is>
          <t>R^2 (Coefficient of determination)</t>
        </is>
      </c>
      <c r="C17" s="39" t="n"/>
      <c r="D17" s="40">
        <f>RSQ(E7:E15, D7:D15)</f>
        <v/>
      </c>
      <c r="E17" s="41" t="n"/>
      <c r="F17" s="39" t="n"/>
      <c r="G17" s="40">
        <f>RSQ(H7:H15, G7:G15)</f>
        <v/>
      </c>
      <c r="H17" s="41" t="n"/>
      <c r="I17" s="39" t="n"/>
      <c r="J17" s="40">
        <f>RSQ(K7:K15, J7:J15)</f>
        <v/>
      </c>
      <c r="K17" s="41" t="n"/>
      <c r="L17" s="39" t="n"/>
      <c r="M17" s="40">
        <f>RSQ(N7:N15, M7:M15)</f>
        <v/>
      </c>
      <c r="N17" s="41" t="n"/>
      <c r="O17" s="39" t="n"/>
      <c r="P17" s="42" t="inlineStr">
        <is>
          <t>-</t>
        </is>
      </c>
      <c r="Q17" s="41" t="n"/>
      <c r="R17" s="39" t="n"/>
      <c r="S17" s="42">
        <f>RSQ(T7:T15, S7:S15)</f>
        <v/>
      </c>
      <c r="T17" s="41" t="n"/>
      <c r="U17" s="39" t="n"/>
    </row>
    <row r="18" ht="39" customHeight="1">
      <c r="A18" s="38" t="inlineStr">
        <is>
          <t>Best result closer to 1</t>
        </is>
      </c>
      <c r="B18" s="25" t="inlineStr">
        <is>
          <t>MAE (Average size of prediction errors)</t>
        </is>
      </c>
      <c r="C18" s="39" t="n"/>
      <c r="D18" s="40">
        <f>SUMPRODUCT(ABS(D7:D15-E7:E15))/COUNT(D7:D15)</f>
        <v/>
      </c>
      <c r="E18" s="41" t="n"/>
      <c r="F18" s="39" t="n"/>
      <c r="G18" s="40">
        <f>SUMPRODUCT(ABS(G7:G15-H7:H15))/COUNT(G7:G15)</f>
        <v/>
      </c>
      <c r="H18" s="41" t="n"/>
      <c r="I18" s="39" t="n"/>
      <c r="J18" s="40">
        <f>SUMPRODUCT(ABS(J7:J15-K7:K15))/COUNT(J7:J15)</f>
        <v/>
      </c>
      <c r="K18" s="41" t="n"/>
      <c r="L18" s="39" t="n"/>
      <c r="M18" s="40">
        <f>SUMPRODUCT(ABS(M7:M15-N7:N15))/COUNT(M7:M15)</f>
        <v/>
      </c>
      <c r="N18" s="41" t="n"/>
      <c r="O18" s="39" t="n"/>
      <c r="P18" s="42" t="inlineStr">
        <is>
          <t>-</t>
        </is>
      </c>
      <c r="Q18" s="41" t="n"/>
      <c r="R18" s="39" t="n"/>
      <c r="S18" s="42">
        <f>SUMPRODUCT(ABS(S7:S15-T7:T15))/COUNT(S7:S15)</f>
        <v/>
      </c>
      <c r="T18" s="41" t="n"/>
      <c r="U18" s="39" t="n"/>
    </row>
    <row r="19" ht="66" customHeight="1">
      <c r="A19" s="38" t="inlineStr">
        <is>
          <t>Best result closer to 1</t>
        </is>
      </c>
      <c r="B19" s="25" t="inlineStr">
        <is>
          <t>RMSE (Prediction error, with larger mistakes penalised more)</t>
        </is>
      </c>
      <c r="C19" s="39" t="n"/>
      <c r="D19" s="40">
        <f>SQRT(SUMXMY2(D7:D15, E7:E15)/COUNT(D7:D15))</f>
        <v/>
      </c>
      <c r="E19" s="41" t="n"/>
      <c r="F19" s="39" t="n"/>
      <c r="G19" s="40">
        <f>SQRT(SUMXMY2(G7:G15, H7:H15)/COUNT(G7:G15))</f>
        <v/>
      </c>
      <c r="H19" s="41" t="n"/>
      <c r="I19" s="39" t="n"/>
      <c r="J19" s="40">
        <f>SQRT(SUMXMY2(J7:J15, K7:K15)/COUNT(J7:J15))</f>
        <v/>
      </c>
      <c r="K19" s="41" t="n"/>
      <c r="L19" s="39" t="n"/>
      <c r="M19" s="40">
        <f>SQRT(SUMXMY2(M7:M15, N7:N15)/COUNT(M7:M15))</f>
        <v/>
      </c>
      <c r="N19" s="41" t="n"/>
      <c r="O19" s="39" t="n"/>
      <c r="P19" s="42" t="inlineStr">
        <is>
          <t>-</t>
        </is>
      </c>
      <c r="Q19" s="41" t="n"/>
      <c r="R19" s="39" t="n"/>
      <c r="S19" s="42">
        <f>SQRT(SUMXMY2(S7:S15, T7:T15)/COUNT(S7:S15))</f>
        <v/>
      </c>
      <c r="T19" s="41" t="n"/>
      <c r="U19" s="39" t="n"/>
    </row>
  </sheetData>
  <mergeCells count="31">
    <mergeCell ref="B4:O4"/>
    <mergeCell ref="G19:I19"/>
    <mergeCell ref="G18:I18"/>
    <mergeCell ref="D17:F17"/>
    <mergeCell ref="P17:R17"/>
    <mergeCell ref="B18:C18"/>
    <mergeCell ref="S19:U19"/>
    <mergeCell ref="G5:I5"/>
    <mergeCell ref="P19:R19"/>
    <mergeCell ref="M18:O18"/>
    <mergeCell ref="D18:F18"/>
    <mergeCell ref="M17:O17"/>
    <mergeCell ref="P18:R18"/>
    <mergeCell ref="B17:C17"/>
    <mergeCell ref="S5:U5"/>
    <mergeCell ref="M19:O19"/>
    <mergeCell ref="D5:F5"/>
    <mergeCell ref="P5:R5"/>
    <mergeCell ref="J18:L18"/>
    <mergeCell ref="B19:C19"/>
    <mergeCell ref="J17:L17"/>
    <mergeCell ref="B5:B6"/>
    <mergeCell ref="P4:U4"/>
    <mergeCell ref="J5:L5"/>
    <mergeCell ref="D19:F19"/>
    <mergeCell ref="J19:L19"/>
    <mergeCell ref="M5:O5"/>
    <mergeCell ref="S18:U18"/>
    <mergeCell ref="G17:I17"/>
    <mergeCell ref="S17:U17"/>
    <mergeCell ref="C5:C6"/>
  </mergeCells>
  <conditionalFormatting sqref="F7:F15 I7:I15 L7:L15 O7:O15 U7:U15">
    <cfRule type="cellIs" priority="1" operator="lessThanOrEqual" dxfId="1">
      <formula>80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9"/>
  <sheetViews>
    <sheetView showGridLines="1" workbookViewId="0">
      <selection activeCell="A1" sqref="A1"/>
    </sheetView>
  </sheetViews>
  <sheetFormatPr baseColWidth="8" defaultRowHeight="15"/>
  <cols>
    <col width="10.83203125" customWidth="1" min="1" max="1"/>
  </cols>
  <sheetData>
    <row r="1"/>
    <row r="2"/>
    <row r="3"/>
    <row r="4">
      <c r="B4" s="12" t="n"/>
      <c r="P4" s="13" t="inlineStr">
        <is>
          <t>On-going Research for Ca and B Models</t>
        </is>
      </c>
      <c r="Q4" s="14" t="n"/>
      <c r="R4" s="14" t="n"/>
      <c r="S4" s="14" t="n"/>
      <c r="T4" s="14" t="n"/>
      <c r="U4" s="15" t="n"/>
    </row>
    <row r="5" ht="34" customHeight="1">
      <c r="B5" s="16" t="inlineStr">
        <is>
          <t>Plot</t>
        </is>
      </c>
      <c r="C5" s="17" t="inlineStr">
        <is>
          <t>Pixels sampled</t>
        </is>
      </c>
      <c r="D5" s="18" t="inlineStr">
        <is>
          <t>N</t>
        </is>
      </c>
      <c r="E5" s="14" t="n"/>
      <c r="F5" s="15" t="n"/>
      <c r="G5" s="18" t="inlineStr">
        <is>
          <t>P (%)</t>
        </is>
      </c>
      <c r="H5" s="14" t="n"/>
      <c r="I5" s="15" t="n"/>
      <c r="J5" s="18" t="inlineStr">
        <is>
          <t>K (%)</t>
        </is>
      </c>
      <c r="K5" s="14" t="n"/>
      <c r="L5" s="15" t="n"/>
      <c r="M5" s="18" t="inlineStr">
        <is>
          <t>Mg (%)</t>
        </is>
      </c>
      <c r="N5" s="14" t="n"/>
      <c r="O5" s="15" t="n"/>
      <c r="P5" s="19" t="inlineStr">
        <is>
          <t>Ca (%)</t>
        </is>
      </c>
      <c r="Q5" s="14" t="n"/>
      <c r="R5" s="15" t="n"/>
      <c r="S5" s="19" t="inlineStr">
        <is>
          <t>B (%)</t>
        </is>
      </c>
      <c r="T5" s="14" t="n"/>
      <c r="U5" s="15" t="n"/>
    </row>
    <row r="6" ht="34" customHeight="1">
      <c r="B6" s="20" t="n"/>
      <c r="C6" s="21" t="n"/>
      <c r="D6" s="22" t="inlineStr">
        <is>
          <t>Lab Actual (%)</t>
        </is>
      </c>
      <c r="E6" s="23" t="inlineStr">
        <is>
          <t>Prediction (%)</t>
        </is>
      </c>
      <c r="F6" s="24" t="inlineStr">
        <is>
          <t>Accuracy (%)</t>
        </is>
      </c>
      <c r="G6" s="22" t="inlineStr">
        <is>
          <t>Lab Actual (%)</t>
        </is>
      </c>
      <c r="H6" s="23" t="inlineStr">
        <is>
          <t>Prediction (%)</t>
        </is>
      </c>
      <c r="I6" s="24" t="inlineStr">
        <is>
          <t>Accuracy (%)</t>
        </is>
      </c>
      <c r="J6" s="22" t="inlineStr">
        <is>
          <t>Lab Actual (%)</t>
        </is>
      </c>
      <c r="K6" s="23" t="inlineStr">
        <is>
          <t>Prediction (%)</t>
        </is>
      </c>
      <c r="L6" s="24" t="inlineStr">
        <is>
          <t>Accuracy (%)</t>
        </is>
      </c>
      <c r="M6" s="22" t="inlineStr">
        <is>
          <t>Lab Actual (%)</t>
        </is>
      </c>
      <c r="N6" s="23" t="inlineStr">
        <is>
          <t>Prediction (%)</t>
        </is>
      </c>
      <c r="O6" s="24" t="inlineStr">
        <is>
          <t>Accuracy (%)</t>
        </is>
      </c>
      <c r="P6" s="13" t="inlineStr">
        <is>
          <t>Lab Actual (%)</t>
        </is>
      </c>
      <c r="Q6" s="13" t="inlineStr">
        <is>
          <t>Prediction (%)</t>
        </is>
      </c>
      <c r="R6" s="24" t="inlineStr">
        <is>
          <t>Accuracy (%)</t>
        </is>
      </c>
      <c r="S6" s="13" t="inlineStr">
        <is>
          <t>Lab Actual (%)</t>
        </is>
      </c>
      <c r="T6" s="13" t="inlineStr">
        <is>
          <t>Prediction (%)</t>
        </is>
      </c>
      <c r="U6" s="24" t="inlineStr">
        <is>
          <t>Accuracy (%)</t>
        </is>
      </c>
    </row>
    <row r="7">
      <c r="B7" s="25" t="inlineStr">
        <is>
          <t>09/11</t>
        </is>
      </c>
      <c r="C7" s="26" t="n">
        <v>4396</v>
      </c>
      <c r="D7" s="27" t="n">
        <v>2.61</v>
      </c>
      <c r="E7" s="28" t="n">
        <v>2.547</v>
      </c>
      <c r="F7" s="29">
        <f>(1-ABS(D7-E7)/D7)*100</f>
        <v/>
      </c>
      <c r="G7" s="28" t="n">
        <v>0.156</v>
      </c>
      <c r="H7" s="28" t="n">
        <v>0.164</v>
      </c>
      <c r="I7" s="29">
        <f>(1-ABS(G7-H7)/G7)*100</f>
        <v/>
      </c>
      <c r="J7" s="27" t="n">
        <v>1.14</v>
      </c>
      <c r="K7" s="28" t="n">
        <v>1.016</v>
      </c>
      <c r="L7" s="29">
        <f>(1-ABS(J7-K7)/J7)*100</f>
        <v/>
      </c>
      <c r="M7" s="27" t="n">
        <v>0.3</v>
      </c>
      <c r="N7" s="28" t="n">
        <v>0.258</v>
      </c>
      <c r="O7" s="29">
        <f>(1-ABS(M7-N7)/M7)*100</f>
        <v/>
      </c>
      <c r="P7" s="30" t="n"/>
      <c r="Q7" s="31" t="n">
        <v>0.64</v>
      </c>
      <c r="R7" s="27" t="n"/>
      <c r="S7" s="32" t="n">
        <v>14</v>
      </c>
      <c r="T7" s="30" t="n">
        <v>13.94</v>
      </c>
      <c r="U7" s="29">
        <f>(1-ABS(S7-T7)/S7)*100</f>
        <v/>
      </c>
    </row>
    <row r="8">
      <c r="B8" s="25" t="inlineStr">
        <is>
          <t>09/12</t>
        </is>
      </c>
      <c r="C8" s="26" t="n">
        <v>4068</v>
      </c>
      <c r="D8" s="27" t="n">
        <v>2.38</v>
      </c>
      <c r="E8" s="28" t="n">
        <v>2.393</v>
      </c>
      <c r="F8" s="29">
        <f>(1-ABS(D8-E8)/D8)*100</f>
        <v/>
      </c>
      <c r="G8" s="28" t="n">
        <v>0.159</v>
      </c>
      <c r="H8" s="28" t="n">
        <v>0.154</v>
      </c>
      <c r="I8" s="29">
        <f>(1-ABS(G8-H8)/G8)*100</f>
        <v/>
      </c>
      <c r="J8" s="27" t="n">
        <v>1.14</v>
      </c>
      <c r="K8" s="28" t="n">
        <v>0.948</v>
      </c>
      <c r="L8" s="29">
        <f>(1-ABS(J8-K8)/J8)*100</f>
        <v/>
      </c>
      <c r="M8" s="27" t="n">
        <v>0.36</v>
      </c>
      <c r="N8" s="28" t="n">
        <v>0.274</v>
      </c>
      <c r="O8" s="29">
        <f>(1-ABS(M8-N8)/M8)*100</f>
        <v/>
      </c>
      <c r="P8" s="30" t="n"/>
      <c r="Q8" s="31" t="n">
        <v>0.644</v>
      </c>
      <c r="R8" s="27" t="n"/>
      <c r="S8" s="32" t="n">
        <v>14</v>
      </c>
      <c r="T8" s="30" t="n">
        <v>11.61</v>
      </c>
      <c r="U8" s="29">
        <f>(1-ABS(S8-T8)/S8)*100</f>
        <v/>
      </c>
    </row>
    <row r="9">
      <c r="B9" s="25" t="inlineStr">
        <is>
          <t>09/13</t>
        </is>
      </c>
      <c r="C9" s="26" t="n">
        <v>3272</v>
      </c>
      <c r="D9" s="27" t="n">
        <v>2.62</v>
      </c>
      <c r="E9" s="28" t="n">
        <v>2.44</v>
      </c>
      <c r="F9" s="29">
        <f>(1-ABS(D9-E9)/D9)*100</f>
        <v/>
      </c>
      <c r="G9" s="28" t="n">
        <v>0.169</v>
      </c>
      <c r="H9" s="28" t="n">
        <v>0.156</v>
      </c>
      <c r="I9" s="29">
        <f>(1-ABS(G9-H9)/G9)*100</f>
        <v/>
      </c>
      <c r="J9" s="27" t="n">
        <v>1.09</v>
      </c>
      <c r="K9" s="28" t="n">
        <v>0.967</v>
      </c>
      <c r="L9" s="29">
        <f>(1-ABS(J9-K9)/J9)*100</f>
        <v/>
      </c>
      <c r="M9" s="27" t="n">
        <v>0.36</v>
      </c>
      <c r="N9" s="28" t="n">
        <v>0.264</v>
      </c>
      <c r="O9" s="29">
        <f>(1-ABS(M9-N9)/M9)*100</f>
        <v/>
      </c>
      <c r="P9" s="30" t="n"/>
      <c r="Q9" s="31" t="n">
        <v>0.641</v>
      </c>
      <c r="R9" s="27" t="n"/>
      <c r="S9" s="32" t="n">
        <v>16</v>
      </c>
      <c r="T9" s="30" t="n">
        <v>12.46</v>
      </c>
      <c r="U9" s="29">
        <f>(1-ABS(S9-T9)/S9)*100</f>
        <v/>
      </c>
    </row>
    <row r="10">
      <c r="B10" s="25" t="inlineStr">
        <is>
          <t>09/15</t>
        </is>
      </c>
      <c r="C10" s="26" t="n">
        <v>5283</v>
      </c>
      <c r="D10" s="27" t="n">
        <v>2.78</v>
      </c>
      <c r="E10" s="28" t="n">
        <v>2.433</v>
      </c>
      <c r="F10" s="29">
        <f>(1-ABS(D10-E10)/D10)*100</f>
        <v/>
      </c>
      <c r="G10" s="28" t="n">
        <v>0.165</v>
      </c>
      <c r="H10" s="28" t="n">
        <v>0.155</v>
      </c>
      <c r="I10" s="29">
        <f>(1-ABS(G10-H10)/G10)*100</f>
        <v/>
      </c>
      <c r="J10" s="27" t="n">
        <v>1.1</v>
      </c>
      <c r="K10" s="28" t="n">
        <v>0.982</v>
      </c>
      <c r="L10" s="29">
        <f>(1-ABS(J10-K10)/J10)*100</f>
        <v/>
      </c>
      <c r="M10" s="27" t="n">
        <v>0.27</v>
      </c>
      <c r="N10" s="28" t="n">
        <v>0.267</v>
      </c>
      <c r="O10" s="29">
        <f>(1-ABS(M10-N10)/M10)*100</f>
        <v/>
      </c>
      <c r="P10" s="30" t="n"/>
      <c r="Q10" s="31" t="n">
        <v>0.635</v>
      </c>
      <c r="R10" s="27" t="n"/>
      <c r="S10" s="32" t="n">
        <v>13</v>
      </c>
      <c r="T10" s="30" t="n">
        <v>12.21</v>
      </c>
      <c r="U10" s="29">
        <f>(1-ABS(S10-T10)/S10)*100</f>
        <v/>
      </c>
    </row>
    <row r="11">
      <c r="B11" s="25" t="inlineStr">
        <is>
          <t>10/16</t>
        </is>
      </c>
      <c r="C11" s="26" t="n">
        <v>5627</v>
      </c>
      <c r="D11" s="27" t="n">
        <v>2.56</v>
      </c>
      <c r="E11" s="28" t="n">
        <v>2.382</v>
      </c>
      <c r="F11" s="29">
        <f>(1-ABS(D11-E11)/D11)*100</f>
        <v/>
      </c>
      <c r="G11" s="28" t="n">
        <v>0.169</v>
      </c>
      <c r="H11" s="28" t="n">
        <v>0.152</v>
      </c>
      <c r="I11" s="29">
        <f>(1-ABS(G11-H11)/G11)*100</f>
        <v/>
      </c>
      <c r="J11" s="27" t="n">
        <v>1.14</v>
      </c>
      <c r="K11" s="28" t="n">
        <v>0.951</v>
      </c>
      <c r="L11" s="29">
        <f>(1-ABS(J11-K11)/J11)*100</f>
        <v/>
      </c>
      <c r="M11" s="27" t="n">
        <v>0.31</v>
      </c>
      <c r="N11" s="28" t="n">
        <v>0.266</v>
      </c>
      <c r="O11" s="29">
        <f>(1-ABS(M11-N11)/M11)*100</f>
        <v/>
      </c>
      <c r="P11" s="30" t="n"/>
      <c r="Q11" s="31" t="n">
        <v>0.628</v>
      </c>
      <c r="R11" s="27" t="n"/>
      <c r="S11" s="32" t="n">
        <v>14</v>
      </c>
      <c r="T11" s="30" t="n">
        <v>11.89</v>
      </c>
      <c r="U11" s="29">
        <f>(1-ABS(S11-T11)/S11)*100</f>
        <v/>
      </c>
    </row>
    <row r="12">
      <c r="B12" s="25" t="inlineStr">
        <is>
          <t>10/17</t>
        </is>
      </c>
      <c r="C12" s="26" t="n">
        <v>5347</v>
      </c>
      <c r="D12" s="27" t="n">
        <v>2.64</v>
      </c>
      <c r="E12" s="28" t="n">
        <v>2.315</v>
      </c>
      <c r="F12" s="29">
        <f>(1-ABS(D12-E12)/D12)*100</f>
        <v/>
      </c>
      <c r="G12" s="28" t="n">
        <v>0.16</v>
      </c>
      <c r="H12" s="28" t="n">
        <v>0.147</v>
      </c>
      <c r="I12" s="29">
        <f>(1-ABS(G12-H12)/G12)*100</f>
        <v/>
      </c>
      <c r="J12" s="27" t="n">
        <v>1.08</v>
      </c>
      <c r="K12" s="28" t="n">
        <v>0.926</v>
      </c>
      <c r="L12" s="29">
        <f>(1-ABS(J12-K12)/J12)*100</f>
        <v/>
      </c>
      <c r="M12" s="27" t="n">
        <v>0.33</v>
      </c>
      <c r="N12" s="28" t="n">
        <v>0.271</v>
      </c>
      <c r="O12" s="29">
        <f>(1-ABS(M12-N12)/M12)*100</f>
        <v/>
      </c>
      <c r="P12" s="30" t="n"/>
      <c r="Q12" s="31" t="n">
        <v>0.605</v>
      </c>
      <c r="R12" s="27" t="n"/>
      <c r="S12" s="32" t="n">
        <v>15</v>
      </c>
      <c r="T12" s="30" t="n">
        <v>11.4</v>
      </c>
      <c r="U12" s="29">
        <f>(1-ABS(S12-T12)/S12)*100</f>
        <v/>
      </c>
    </row>
    <row r="13">
      <c r="B13" s="25" t="inlineStr">
        <is>
          <t>10/18</t>
        </is>
      </c>
      <c r="C13" s="26" t="n">
        <v>5798</v>
      </c>
      <c r="D13" s="27" t="n">
        <v>2.7</v>
      </c>
      <c r="E13" s="28" t="n">
        <v>2.166</v>
      </c>
      <c r="F13" s="29">
        <f>(1-ABS(D13-E13)/D13)*100</f>
        <v/>
      </c>
      <c r="G13" s="28" t="n">
        <v>0.166</v>
      </c>
      <c r="H13" s="28" t="n">
        <v>0.14</v>
      </c>
      <c r="I13" s="29">
        <f>(1-ABS(G13-H13)/G13)*100</f>
        <v/>
      </c>
      <c r="J13" s="27" t="n">
        <v>1.06</v>
      </c>
      <c r="K13" s="28" t="n">
        <v>0.851</v>
      </c>
      <c r="L13" s="29">
        <f>(1-ABS(J13-K13)/J13)*100</f>
        <v/>
      </c>
      <c r="M13" s="27" t="n">
        <v>0.3</v>
      </c>
      <c r="N13" s="28" t="n">
        <v>0.252</v>
      </c>
      <c r="O13" s="29">
        <f>(1-ABS(M13-N13)/M13)*100</f>
        <v/>
      </c>
      <c r="P13" s="30" t="n"/>
      <c r="Q13" s="31" t="n">
        <v>0.595</v>
      </c>
      <c r="R13" s="27" t="n"/>
      <c r="S13" s="32" t="n">
        <v>14</v>
      </c>
      <c r="T13" s="30" t="n">
        <v>9.66</v>
      </c>
      <c r="U13" s="29">
        <f>(1-ABS(S13-T13)/S13)*100</f>
        <v/>
      </c>
    </row>
    <row r="14">
      <c r="B14" s="25" t="inlineStr">
        <is>
          <t>10/19</t>
        </is>
      </c>
      <c r="C14" s="26" t="n">
        <v>5936</v>
      </c>
      <c r="D14" s="27" t="n">
        <v>2.53</v>
      </c>
      <c r="E14" s="28" t="n">
        <v>2.462</v>
      </c>
      <c r="F14" s="29">
        <f>(1-ABS(D14-E14)/D14)*100</f>
        <v/>
      </c>
      <c r="G14" s="28" t="n">
        <v>0.159</v>
      </c>
      <c r="H14" s="28" t="n">
        <v>0.157</v>
      </c>
      <c r="I14" s="29">
        <f>(1-ABS(G14-H14)/G14)*100</f>
        <v/>
      </c>
      <c r="J14" s="27" t="n">
        <v>1.08</v>
      </c>
      <c r="K14" s="28" t="n">
        <v>0.969</v>
      </c>
      <c r="L14" s="29">
        <f>(1-ABS(J14-K14)/J14)*100</f>
        <v/>
      </c>
      <c r="M14" s="27" t="n">
        <v>0.33</v>
      </c>
      <c r="N14" s="28" t="n">
        <v>0.253</v>
      </c>
      <c r="O14" s="29">
        <f>(1-ABS(M14-N14)/M14)*100</f>
        <v/>
      </c>
      <c r="P14" s="30" t="n"/>
      <c r="Q14" s="31" t="n">
        <v>0.638</v>
      </c>
      <c r="R14" s="27" t="n"/>
      <c r="S14" s="32" t="n">
        <v>15</v>
      </c>
      <c r="T14" s="30" t="n">
        <v>12.74</v>
      </c>
      <c r="U14" s="29">
        <f>(1-ABS(S14-T14)/S14)*100</f>
        <v/>
      </c>
    </row>
    <row r="15">
      <c r="B15" s="25" t="inlineStr">
        <is>
          <t>10/20</t>
        </is>
      </c>
      <c r="C15" s="26" t="n">
        <v>6264</v>
      </c>
      <c r="D15" s="27" t="n">
        <v>2.48</v>
      </c>
      <c r="E15" s="28" t="n">
        <v>2.211</v>
      </c>
      <c r="F15" s="29">
        <f>(1-ABS(D15-E15)/D15)*100</f>
        <v/>
      </c>
      <c r="G15" s="28" t="n">
        <v>0.158</v>
      </c>
      <c r="H15" s="28" t="n">
        <v>0.142</v>
      </c>
      <c r="I15" s="29">
        <f>(1-ABS(G15-H15)/G15)*100</f>
        <v/>
      </c>
      <c r="J15" s="27" t="n">
        <v>1.05</v>
      </c>
      <c r="K15" s="28" t="n">
        <v>0.872</v>
      </c>
      <c r="L15" s="29">
        <f>(1-ABS(J15-K15)/J15)*100</f>
        <v/>
      </c>
      <c r="M15" s="27" t="n">
        <v>0.37</v>
      </c>
      <c r="N15" s="28" t="n">
        <v>0.266</v>
      </c>
      <c r="O15" s="29">
        <f>(1-ABS(M15-N15)/M15)*100</f>
        <v/>
      </c>
      <c r="P15" s="30" t="n"/>
      <c r="Q15" s="31" t="n">
        <v>0.618</v>
      </c>
      <c r="R15" s="27" t="n"/>
      <c r="S15" s="32" t="n">
        <v>18</v>
      </c>
      <c r="T15" s="30" t="n">
        <v>9.58</v>
      </c>
      <c r="U15" s="29">
        <f>(1-ABS(S15-T15)/S15)*100</f>
        <v/>
      </c>
    </row>
    <row r="16" ht="35" customHeight="1">
      <c r="A16" s="43" t="inlineStr">
        <is>
          <t>AVG ACCURACY</t>
        </is>
      </c>
      <c r="B16" s="44" t="n"/>
      <c r="C16" s="12" t="n"/>
      <c r="D16" s="45" t="n"/>
      <c r="E16" s="46" t="n"/>
      <c r="F16" s="35">
        <f>AVERAGE(F7:F15)</f>
        <v/>
      </c>
      <c r="G16" s="45" t="n"/>
      <c r="H16" s="46" t="n"/>
      <c r="I16" s="35">
        <f>AVERAGE(I7:I15)</f>
        <v/>
      </c>
      <c r="J16" s="12" t="n"/>
      <c r="K16" s="12" t="n"/>
      <c r="L16" s="35">
        <f>AVERAGE(L7:L15)</f>
        <v/>
      </c>
      <c r="M16" s="45" t="n"/>
      <c r="N16" s="46" t="n"/>
      <c r="O16" s="35">
        <f>AVERAGE(O7:O15)</f>
        <v/>
      </c>
      <c r="P16" s="47" t="n"/>
      <c r="Q16" s="47" t="n"/>
      <c r="R16" s="36" t="inlineStr">
        <is>
          <t>-</t>
        </is>
      </c>
      <c r="S16" s="48" t="n"/>
      <c r="T16" s="49" t="n"/>
      <c r="U16" s="35">
        <f>AVERAGE(U7:U15)</f>
        <v/>
      </c>
    </row>
    <row r="17" ht="40" customHeight="1">
      <c r="A17" s="38" t="inlineStr">
        <is>
          <t>Best result closer to 0</t>
        </is>
      </c>
      <c r="B17" s="25" t="inlineStr">
        <is>
          <t>R^2 (Coefficient of determination)</t>
        </is>
      </c>
      <c r="C17" s="39" t="n"/>
      <c r="D17" s="40">
        <f>RSQ(E7:E15, D7:D15)</f>
        <v/>
      </c>
      <c r="E17" s="41" t="n"/>
      <c r="F17" s="39" t="n"/>
      <c r="G17" s="40">
        <f>RSQ(H7:H15, G7:G15)</f>
        <v/>
      </c>
      <c r="H17" s="41" t="n"/>
      <c r="I17" s="39" t="n"/>
      <c r="J17" s="40">
        <f>RSQ(K7:K15, J7:J15)</f>
        <v/>
      </c>
      <c r="K17" s="41" t="n"/>
      <c r="L17" s="39" t="n"/>
      <c r="M17" s="40">
        <f>RSQ(N7:N15, M7:M15)</f>
        <v/>
      </c>
      <c r="N17" s="41" t="n"/>
      <c r="O17" s="39" t="n"/>
      <c r="P17" s="42" t="inlineStr">
        <is>
          <t>-</t>
        </is>
      </c>
      <c r="Q17" s="41" t="n"/>
      <c r="R17" s="39" t="n"/>
      <c r="S17" s="42">
        <f>RSQ(T7:T15, S7:S15)</f>
        <v/>
      </c>
      <c r="T17" s="41" t="n"/>
      <c r="U17" s="39" t="n"/>
    </row>
    <row r="18" ht="39" customHeight="1">
      <c r="A18" s="38" t="inlineStr">
        <is>
          <t>Best result closer to 1</t>
        </is>
      </c>
      <c r="B18" s="25" t="inlineStr">
        <is>
          <t>MAE (Average size of prediction errors)</t>
        </is>
      </c>
      <c r="C18" s="39" t="n"/>
      <c r="D18" s="40">
        <f>SUMPRODUCT(ABS(D7:D15-E7:E15))/COUNT(D7:D15)</f>
        <v/>
      </c>
      <c r="E18" s="41" t="n"/>
      <c r="F18" s="39" t="n"/>
      <c r="G18" s="40">
        <f>SUMPRODUCT(ABS(G7:G15-H7:H15))/COUNT(G7:G15)</f>
        <v/>
      </c>
      <c r="H18" s="41" t="n"/>
      <c r="I18" s="39" t="n"/>
      <c r="J18" s="40">
        <f>SUMPRODUCT(ABS(J7:J15-K7:K15))/COUNT(J7:J15)</f>
        <v/>
      </c>
      <c r="K18" s="41" t="n"/>
      <c r="L18" s="39" t="n"/>
      <c r="M18" s="40">
        <f>SUMPRODUCT(ABS(M7:M15-N7:N15))/COUNT(M7:M15)</f>
        <v/>
      </c>
      <c r="N18" s="41" t="n"/>
      <c r="O18" s="39" t="n"/>
      <c r="P18" s="42" t="inlineStr">
        <is>
          <t>-</t>
        </is>
      </c>
      <c r="Q18" s="41" t="n"/>
      <c r="R18" s="39" t="n"/>
      <c r="S18" s="42">
        <f>SUMPRODUCT(ABS(S7:S15-T7:T15))/COUNT(S7:S15)</f>
        <v/>
      </c>
      <c r="T18" s="41" t="n"/>
      <c r="U18" s="39" t="n"/>
    </row>
    <row r="19" ht="66" customHeight="1">
      <c r="A19" s="38" t="inlineStr">
        <is>
          <t>Best result closer to 1</t>
        </is>
      </c>
      <c r="B19" s="25" t="inlineStr">
        <is>
          <t>RMSE (Prediction error, with larger mistakes penalised more)</t>
        </is>
      </c>
      <c r="C19" s="39" t="n"/>
      <c r="D19" s="40">
        <f>SQRT(SUMXMY2(D7:D15, E7:E15)/COUNT(D7:D15))</f>
        <v/>
      </c>
      <c r="E19" s="41" t="n"/>
      <c r="F19" s="39" t="n"/>
      <c r="G19" s="40">
        <f>SQRT(SUMXMY2(G7:G15, H7:H15)/COUNT(G7:G15))</f>
        <v/>
      </c>
      <c r="H19" s="41" t="n"/>
      <c r="I19" s="39" t="n"/>
      <c r="J19" s="40">
        <f>SQRT(SUMXMY2(J7:J15, K7:K15)/COUNT(J7:J15))</f>
        <v/>
      </c>
      <c r="K19" s="41" t="n"/>
      <c r="L19" s="39" t="n"/>
      <c r="M19" s="40">
        <f>SQRT(SUMXMY2(M7:M15, N7:N15)/COUNT(M7:M15))</f>
        <v/>
      </c>
      <c r="N19" s="41" t="n"/>
      <c r="O19" s="39" t="n"/>
      <c r="P19" s="42" t="inlineStr">
        <is>
          <t>-</t>
        </is>
      </c>
      <c r="Q19" s="41" t="n"/>
      <c r="R19" s="39" t="n"/>
      <c r="S19" s="42">
        <f>SQRT(SUMXMY2(S7:S15, T7:T15)/COUNT(S7:S15))</f>
        <v/>
      </c>
      <c r="T19" s="41" t="n"/>
      <c r="U19" s="39" t="n"/>
    </row>
  </sheetData>
  <mergeCells count="31">
    <mergeCell ref="B4:O4"/>
    <mergeCell ref="G19:I19"/>
    <mergeCell ref="G18:I18"/>
    <mergeCell ref="D17:F17"/>
    <mergeCell ref="P17:R17"/>
    <mergeCell ref="B18:C18"/>
    <mergeCell ref="S19:U19"/>
    <mergeCell ref="G5:I5"/>
    <mergeCell ref="P19:R19"/>
    <mergeCell ref="M18:O18"/>
    <mergeCell ref="D18:F18"/>
    <mergeCell ref="M17:O17"/>
    <mergeCell ref="P18:R18"/>
    <mergeCell ref="B17:C17"/>
    <mergeCell ref="S5:U5"/>
    <mergeCell ref="M19:O19"/>
    <mergeCell ref="D5:F5"/>
    <mergeCell ref="P5:R5"/>
    <mergeCell ref="J18:L18"/>
    <mergeCell ref="B19:C19"/>
    <mergeCell ref="J17:L17"/>
    <mergeCell ref="B5:B6"/>
    <mergeCell ref="P4:U4"/>
    <mergeCell ref="J5:L5"/>
    <mergeCell ref="D19:F19"/>
    <mergeCell ref="J19:L19"/>
    <mergeCell ref="M5:O5"/>
    <mergeCell ref="S18:U18"/>
    <mergeCell ref="G17:I17"/>
    <mergeCell ref="S17:U17"/>
    <mergeCell ref="C5:C6"/>
  </mergeCells>
  <conditionalFormatting sqref="F7:F15 I7:I15 L7:L15 O7:O15 U7:U15">
    <cfRule type="cellIs" priority="1" operator="lessThanOrEqual" dxfId="1">
      <formula>80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9"/>
  <sheetViews>
    <sheetView showGridLines="1" workbookViewId="0">
      <selection activeCell="A1" sqref="A1"/>
    </sheetView>
  </sheetViews>
  <sheetFormatPr baseColWidth="8" defaultRowHeight="15"/>
  <cols>
    <col width="10.83203125" customWidth="1" min="1" max="1"/>
  </cols>
  <sheetData>
    <row r="1"/>
    <row r="2"/>
    <row r="3"/>
    <row r="4">
      <c r="B4" s="12" t="n"/>
      <c r="P4" s="13" t="inlineStr">
        <is>
          <t>On-going Research for Ca and B Models</t>
        </is>
      </c>
      <c r="Q4" s="14" t="n"/>
      <c r="R4" s="14" t="n"/>
      <c r="S4" s="14" t="n"/>
      <c r="T4" s="14" t="n"/>
      <c r="U4" s="15" t="n"/>
    </row>
    <row r="5" ht="34" customHeight="1">
      <c r="B5" s="16" t="inlineStr">
        <is>
          <t>Plot</t>
        </is>
      </c>
      <c r="C5" s="17" t="inlineStr">
        <is>
          <t>Pixels sampled</t>
        </is>
      </c>
      <c r="D5" s="18" t="inlineStr">
        <is>
          <t>N</t>
        </is>
      </c>
      <c r="E5" s="14" t="n"/>
      <c r="F5" s="15" t="n"/>
      <c r="G5" s="18" t="inlineStr">
        <is>
          <t>P (%)</t>
        </is>
      </c>
      <c r="H5" s="14" t="n"/>
      <c r="I5" s="15" t="n"/>
      <c r="J5" s="18" t="inlineStr">
        <is>
          <t>K (%)</t>
        </is>
      </c>
      <c r="K5" s="14" t="n"/>
      <c r="L5" s="15" t="n"/>
      <c r="M5" s="18" t="inlineStr">
        <is>
          <t>Mg (%)</t>
        </is>
      </c>
      <c r="N5" s="14" t="n"/>
      <c r="O5" s="15" t="n"/>
      <c r="P5" s="19" t="inlineStr">
        <is>
          <t>Ca (%)</t>
        </is>
      </c>
      <c r="Q5" s="14" t="n"/>
      <c r="R5" s="15" t="n"/>
      <c r="S5" s="19" t="inlineStr">
        <is>
          <t>B (%)</t>
        </is>
      </c>
      <c r="T5" s="14" t="n"/>
      <c r="U5" s="15" t="n"/>
    </row>
    <row r="6" ht="34" customHeight="1">
      <c r="B6" s="20" t="n"/>
      <c r="C6" s="21" t="n"/>
      <c r="D6" s="22" t="inlineStr">
        <is>
          <t>Lab Actual (%)</t>
        </is>
      </c>
      <c r="E6" s="23" t="inlineStr">
        <is>
          <t>Prediction (%)</t>
        </is>
      </c>
      <c r="F6" s="24" t="inlineStr">
        <is>
          <t>Accuracy (%)</t>
        </is>
      </c>
      <c r="G6" s="22" t="inlineStr">
        <is>
          <t>Lab Actual (%)</t>
        </is>
      </c>
      <c r="H6" s="23" t="inlineStr">
        <is>
          <t>Prediction (%)</t>
        </is>
      </c>
      <c r="I6" s="24" t="inlineStr">
        <is>
          <t>Accuracy (%)</t>
        </is>
      </c>
      <c r="J6" s="22" t="inlineStr">
        <is>
          <t>Lab Actual (%)</t>
        </is>
      </c>
      <c r="K6" s="23" t="inlineStr">
        <is>
          <t>Prediction (%)</t>
        </is>
      </c>
      <c r="L6" s="24" t="inlineStr">
        <is>
          <t>Accuracy (%)</t>
        </is>
      </c>
      <c r="M6" s="22" t="inlineStr">
        <is>
          <t>Lab Actual (%)</t>
        </is>
      </c>
      <c r="N6" s="23" t="inlineStr">
        <is>
          <t>Prediction (%)</t>
        </is>
      </c>
      <c r="O6" s="24" t="inlineStr">
        <is>
          <t>Accuracy (%)</t>
        </is>
      </c>
      <c r="P6" s="13" t="inlineStr">
        <is>
          <t>Lab Actual (%)</t>
        </is>
      </c>
      <c r="Q6" s="13" t="inlineStr">
        <is>
          <t>Prediction (%)</t>
        </is>
      </c>
      <c r="R6" s="24" t="inlineStr">
        <is>
          <t>Accuracy (%)</t>
        </is>
      </c>
      <c r="S6" s="13" t="inlineStr">
        <is>
          <t>Lab Actual (%)</t>
        </is>
      </c>
      <c r="T6" s="13" t="inlineStr">
        <is>
          <t>Prediction (%)</t>
        </is>
      </c>
      <c r="U6" s="24" t="inlineStr">
        <is>
          <t>Accuracy (%)</t>
        </is>
      </c>
    </row>
    <row r="7" ht="25" customHeight="1">
      <c r="B7" s="50" t="inlineStr">
        <is>
          <t>No matching LSU samples within boundary</t>
        </is>
      </c>
      <c r="C7" s="12" t="n"/>
      <c r="D7" s="51" t="n"/>
      <c r="E7" s="52" t="n"/>
      <c r="F7" s="53" t="n"/>
      <c r="G7" s="51" t="n"/>
      <c r="H7" s="52" t="n"/>
      <c r="I7" s="53" t="n"/>
      <c r="J7" s="12" t="n"/>
      <c r="K7" s="12" t="n"/>
      <c r="L7" s="54" t="n"/>
      <c r="M7" s="51" t="n"/>
      <c r="N7" s="52" t="n"/>
      <c r="O7" s="53" t="n"/>
      <c r="P7" s="47" t="n"/>
      <c r="Q7" s="47" t="n"/>
      <c r="R7" s="54" t="n"/>
      <c r="S7" s="55" t="n"/>
      <c r="T7" s="56" t="n"/>
      <c r="U7" s="53" t="n"/>
    </row>
    <row r="8">
      <c r="B8" s="57" t="n"/>
      <c r="C8" s="12" t="n"/>
      <c r="D8" s="58" t="n"/>
      <c r="E8" s="12" t="n"/>
      <c r="F8" s="59" t="n"/>
      <c r="G8" s="58" t="n"/>
      <c r="H8" s="12" t="n"/>
      <c r="I8" s="59" t="n"/>
      <c r="J8" s="12" t="n"/>
      <c r="K8" s="12" t="n"/>
      <c r="L8" s="54" t="n"/>
      <c r="M8" s="58" t="n"/>
      <c r="N8" s="12" t="n"/>
      <c r="O8" s="59" t="n"/>
      <c r="P8" s="47" t="n"/>
      <c r="Q8" s="47" t="n"/>
      <c r="R8" s="54" t="n"/>
      <c r="S8" s="60" t="n"/>
      <c r="T8" s="47" t="n"/>
      <c r="U8" s="59" t="n"/>
    </row>
    <row r="9">
      <c r="B9" s="57" t="n"/>
      <c r="C9" s="12" t="n"/>
      <c r="D9" s="58" t="n"/>
      <c r="E9" s="12" t="n"/>
      <c r="F9" s="59" t="n"/>
      <c r="G9" s="58" t="n"/>
      <c r="H9" s="12" t="n"/>
      <c r="I9" s="59" t="n"/>
      <c r="J9" s="12" t="n"/>
      <c r="K9" s="12" t="n"/>
      <c r="L9" s="54" t="n"/>
      <c r="M9" s="58" t="n"/>
      <c r="N9" s="12" t="n"/>
      <c r="O9" s="59" t="n"/>
      <c r="P9" s="47" t="n"/>
      <c r="Q9" s="47" t="n"/>
      <c r="R9" s="54" t="n"/>
      <c r="S9" s="60" t="n"/>
      <c r="T9" s="47" t="n"/>
      <c r="U9" s="59" t="n"/>
    </row>
    <row r="10">
      <c r="B10" s="57" t="n"/>
      <c r="C10" s="12" t="n"/>
      <c r="D10" s="58" t="n"/>
      <c r="E10" s="12" t="n"/>
      <c r="F10" s="59" t="n"/>
      <c r="G10" s="58" t="n"/>
      <c r="H10" s="12" t="n"/>
      <c r="I10" s="59" t="n"/>
      <c r="J10" s="12" t="n"/>
      <c r="K10" s="12" t="n"/>
      <c r="L10" s="54" t="n"/>
      <c r="M10" s="58" t="n"/>
      <c r="N10" s="12" t="n"/>
      <c r="O10" s="59" t="n"/>
      <c r="P10" s="47" t="n"/>
      <c r="Q10" s="47" t="n"/>
      <c r="R10" s="54" t="n"/>
      <c r="S10" s="60" t="n"/>
      <c r="T10" s="47" t="n"/>
      <c r="U10" s="59" t="n"/>
    </row>
    <row r="11">
      <c r="B11" s="57" t="n"/>
      <c r="C11" s="12" t="n"/>
      <c r="D11" s="58" t="n"/>
      <c r="E11" s="12" t="n"/>
      <c r="F11" s="59" t="n"/>
      <c r="G11" s="58" t="n"/>
      <c r="H11" s="12" t="n"/>
      <c r="I11" s="59" t="n"/>
      <c r="J11" s="12" t="n"/>
      <c r="K11" s="12" t="n"/>
      <c r="L11" s="54" t="n"/>
      <c r="M11" s="58" t="n"/>
      <c r="N11" s="12" t="n"/>
      <c r="O11" s="59" t="n"/>
      <c r="P11" s="47" t="n"/>
      <c r="Q11" s="47" t="n"/>
      <c r="R11" s="54" t="n"/>
      <c r="S11" s="60" t="n"/>
      <c r="T11" s="47" t="n"/>
      <c r="U11" s="59" t="n"/>
    </row>
    <row r="12">
      <c r="B12" s="57" t="n"/>
      <c r="C12" s="12" t="n"/>
      <c r="D12" s="58" t="n"/>
      <c r="E12" s="12" t="n"/>
      <c r="F12" s="59" t="n"/>
      <c r="G12" s="58" t="n"/>
      <c r="H12" s="12" t="n"/>
      <c r="I12" s="59" t="n"/>
      <c r="J12" s="12" t="n"/>
      <c r="K12" s="12" t="n"/>
      <c r="L12" s="54" t="n"/>
      <c r="M12" s="58" t="n"/>
      <c r="N12" s="12" t="n"/>
      <c r="O12" s="59" t="n"/>
      <c r="P12" s="47" t="n"/>
      <c r="Q12" s="47" t="n"/>
      <c r="R12" s="54" t="n"/>
      <c r="S12" s="60" t="n"/>
      <c r="T12" s="47" t="n"/>
      <c r="U12" s="59" t="n"/>
    </row>
    <row r="13">
      <c r="B13" s="57" t="n"/>
      <c r="C13" s="12" t="n"/>
      <c r="D13" s="58" t="n"/>
      <c r="E13" s="12" t="n"/>
      <c r="F13" s="59" t="n"/>
      <c r="G13" s="58" t="n"/>
      <c r="H13" s="12" t="n"/>
      <c r="I13" s="59" t="n"/>
      <c r="J13" s="12" t="n"/>
      <c r="K13" s="12" t="n"/>
      <c r="L13" s="54" t="n"/>
      <c r="M13" s="58" t="n"/>
      <c r="N13" s="12" t="n"/>
      <c r="O13" s="59" t="n"/>
      <c r="P13" s="47" t="n"/>
      <c r="Q13" s="47" t="n"/>
      <c r="R13" s="54" t="n"/>
      <c r="S13" s="60" t="n"/>
      <c r="T13" s="47" t="n"/>
      <c r="U13" s="59" t="n"/>
    </row>
    <row r="14">
      <c r="B14" s="57" t="n"/>
      <c r="C14" s="12" t="n"/>
      <c r="D14" s="58" t="n"/>
      <c r="E14" s="12" t="n"/>
      <c r="F14" s="59" t="n"/>
      <c r="G14" s="58" t="n"/>
      <c r="H14" s="12" t="n"/>
      <c r="I14" s="59" t="n"/>
      <c r="J14" s="12" t="n"/>
      <c r="K14" s="12" t="n"/>
      <c r="L14" s="54" t="n"/>
      <c r="M14" s="58" t="n"/>
      <c r="N14" s="12" t="n"/>
      <c r="O14" s="59" t="n"/>
      <c r="P14" s="47" t="n"/>
      <c r="Q14" s="47" t="n"/>
      <c r="R14" s="54" t="n"/>
      <c r="S14" s="60" t="n"/>
      <c r="T14" s="47" t="n"/>
      <c r="U14" s="59" t="n"/>
    </row>
    <row r="15">
      <c r="B15" s="57" t="n"/>
      <c r="C15" s="12" t="n"/>
      <c r="D15" s="58" t="n"/>
      <c r="E15" s="12" t="n"/>
      <c r="F15" s="59" t="n"/>
      <c r="G15" s="58" t="n"/>
      <c r="H15" s="12" t="n"/>
      <c r="I15" s="59" t="n"/>
      <c r="J15" s="12" t="n"/>
      <c r="K15" s="12" t="n"/>
      <c r="L15" s="54" t="n"/>
      <c r="M15" s="58" t="n"/>
      <c r="N15" s="12" t="n"/>
      <c r="O15" s="59" t="n"/>
      <c r="P15" s="47" t="n"/>
      <c r="Q15" s="47" t="n"/>
      <c r="R15" s="54" t="n"/>
      <c r="S15" s="60" t="n"/>
      <c r="T15" s="47" t="n"/>
      <c r="U15" s="59" t="n"/>
    </row>
    <row r="16">
      <c r="B16" s="44" t="n"/>
      <c r="C16" s="12" t="n"/>
      <c r="D16" s="45" t="n"/>
      <c r="E16" s="46" t="n"/>
      <c r="F16" s="61" t="n"/>
      <c r="G16" s="45" t="n"/>
      <c r="H16" s="46" t="n"/>
      <c r="I16" s="61" t="n"/>
      <c r="J16" s="12" t="n"/>
      <c r="K16" s="12" t="n"/>
      <c r="L16" s="54" t="n"/>
      <c r="M16" s="45" t="n"/>
      <c r="N16" s="46" t="n"/>
      <c r="O16" s="61" t="n"/>
      <c r="P16" s="47" t="n"/>
      <c r="Q16" s="47" t="n"/>
      <c r="R16" s="54" t="n"/>
      <c r="S16" s="48" t="n"/>
      <c r="T16" s="49" t="n"/>
      <c r="U16" s="61" t="n"/>
    </row>
    <row r="17" ht="40" customHeight="1">
      <c r="A17" s="33" t="n"/>
      <c r="B17" s="22" t="n"/>
      <c r="D17" s="22" t="n"/>
      <c r="G17" s="22" t="n"/>
      <c r="J17" s="22" t="n"/>
      <c r="M17" s="22" t="n"/>
      <c r="P17" s="13" t="n"/>
      <c r="S17" s="13" t="n"/>
    </row>
    <row r="18" ht="39" customHeight="1">
      <c r="A18" s="33" t="n"/>
      <c r="B18" s="22" t="n"/>
      <c r="D18" s="22" t="n"/>
      <c r="G18" s="22" t="n"/>
      <c r="J18" s="22" t="n"/>
      <c r="M18" s="22" t="n"/>
      <c r="P18" s="13" t="n"/>
      <c r="S18" s="13" t="n"/>
    </row>
    <row r="19" ht="66" customHeight="1">
      <c r="A19" s="33" t="n"/>
      <c r="B19" s="22" t="n"/>
      <c r="D19" s="22" t="n"/>
      <c r="G19" s="22" t="n"/>
      <c r="J19" s="22" t="n"/>
      <c r="M19" s="22" t="n"/>
      <c r="P19" s="13" t="n"/>
      <c r="S19" s="13" t="n"/>
    </row>
  </sheetData>
  <mergeCells count="10">
    <mergeCell ref="J5:L5"/>
    <mergeCell ref="S5:U5"/>
    <mergeCell ref="B4:O4"/>
    <mergeCell ref="D5:F5"/>
    <mergeCell ref="P5:R5"/>
    <mergeCell ref="G5:I5"/>
    <mergeCell ref="M5:O5"/>
    <mergeCell ref="B5:B6"/>
    <mergeCell ref="P4:U4"/>
    <mergeCell ref="C5:C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9"/>
  <sheetViews>
    <sheetView showGridLines="1" workbookViewId="0">
      <selection activeCell="A1" sqref="A1"/>
    </sheetView>
  </sheetViews>
  <sheetFormatPr baseColWidth="8" defaultRowHeight="15"/>
  <cols>
    <col width="10.83203125" customWidth="1" min="1" max="1"/>
  </cols>
  <sheetData>
    <row r="1"/>
    <row r="2"/>
    <row r="3"/>
    <row r="4">
      <c r="B4" s="12" t="n"/>
      <c r="P4" s="13" t="inlineStr">
        <is>
          <t>On-going Research for Ca and B Models</t>
        </is>
      </c>
      <c r="Q4" s="14" t="n"/>
      <c r="R4" s="14" t="n"/>
      <c r="S4" s="14" t="n"/>
      <c r="T4" s="14" t="n"/>
      <c r="U4" s="15" t="n"/>
    </row>
    <row r="5" ht="34" customHeight="1">
      <c r="B5" s="16" t="inlineStr">
        <is>
          <t>Plot</t>
        </is>
      </c>
      <c r="C5" s="17" t="inlineStr">
        <is>
          <t>Pixels sampled</t>
        </is>
      </c>
      <c r="D5" s="18" t="inlineStr">
        <is>
          <t>N</t>
        </is>
      </c>
      <c r="E5" s="14" t="n"/>
      <c r="F5" s="15" t="n"/>
      <c r="G5" s="18" t="inlineStr">
        <is>
          <t>P (%)</t>
        </is>
      </c>
      <c r="H5" s="14" t="n"/>
      <c r="I5" s="15" t="n"/>
      <c r="J5" s="18" t="inlineStr">
        <is>
          <t>K (%)</t>
        </is>
      </c>
      <c r="K5" s="14" t="n"/>
      <c r="L5" s="15" t="n"/>
      <c r="M5" s="18" t="inlineStr">
        <is>
          <t>Mg (%)</t>
        </is>
      </c>
      <c r="N5" s="14" t="n"/>
      <c r="O5" s="15" t="n"/>
      <c r="P5" s="19" t="inlineStr">
        <is>
          <t>Ca (%)</t>
        </is>
      </c>
      <c r="Q5" s="14" t="n"/>
      <c r="R5" s="15" t="n"/>
      <c r="S5" s="19" t="inlineStr">
        <is>
          <t>B (%)</t>
        </is>
      </c>
      <c r="T5" s="14" t="n"/>
      <c r="U5" s="15" t="n"/>
    </row>
    <row r="6" ht="34" customHeight="1">
      <c r="B6" s="20" t="n"/>
      <c r="C6" s="21" t="n"/>
      <c r="D6" s="22" t="inlineStr">
        <is>
          <t>Lab Actual (%)</t>
        </is>
      </c>
      <c r="E6" s="23" t="inlineStr">
        <is>
          <t>Prediction (%)</t>
        </is>
      </c>
      <c r="F6" s="24" t="inlineStr">
        <is>
          <t>Accuracy (%)</t>
        </is>
      </c>
      <c r="G6" s="22" t="inlineStr">
        <is>
          <t>Lab Actual (%)</t>
        </is>
      </c>
      <c r="H6" s="23" t="inlineStr">
        <is>
          <t>Prediction (%)</t>
        </is>
      </c>
      <c r="I6" s="24" t="inlineStr">
        <is>
          <t>Accuracy (%)</t>
        </is>
      </c>
      <c r="J6" s="22" t="inlineStr">
        <is>
          <t>Lab Actual (%)</t>
        </is>
      </c>
      <c r="K6" s="23" t="inlineStr">
        <is>
          <t>Prediction (%)</t>
        </is>
      </c>
      <c r="L6" s="24" t="inlineStr">
        <is>
          <t>Accuracy (%)</t>
        </is>
      </c>
      <c r="M6" s="22" t="inlineStr">
        <is>
          <t>Lab Actual (%)</t>
        </is>
      </c>
      <c r="N6" s="23" t="inlineStr">
        <is>
          <t>Prediction (%)</t>
        </is>
      </c>
      <c r="O6" s="24" t="inlineStr">
        <is>
          <t>Accuracy (%)</t>
        </is>
      </c>
      <c r="P6" s="13" t="inlineStr">
        <is>
          <t>Lab Actual (%)</t>
        </is>
      </c>
      <c r="Q6" s="13" t="inlineStr">
        <is>
          <t>Prediction (%)</t>
        </is>
      </c>
      <c r="R6" s="24" t="inlineStr">
        <is>
          <t>Accuracy (%)</t>
        </is>
      </c>
      <c r="S6" s="13" t="inlineStr">
        <is>
          <t>Lab Actual (%)</t>
        </is>
      </c>
      <c r="T6" s="13" t="inlineStr">
        <is>
          <t>Prediction (%)</t>
        </is>
      </c>
      <c r="U6" s="24" t="inlineStr">
        <is>
          <t>Accuracy (%)</t>
        </is>
      </c>
    </row>
    <row r="7">
      <c r="B7" s="25" t="inlineStr">
        <is>
          <t>07/8</t>
        </is>
      </c>
      <c r="C7" s="26" t="n">
        <v>2956</v>
      </c>
      <c r="D7" s="27" t="n">
        <v>2.6</v>
      </c>
      <c r="E7" s="28" t="n">
        <v>2.541</v>
      </c>
      <c r="F7" s="29">
        <f>(1-ABS(D7-E7)/D7)*100</f>
        <v/>
      </c>
      <c r="G7" s="28" t="n">
        <v>0.164</v>
      </c>
      <c r="H7" s="28" t="n">
        <v>0.165</v>
      </c>
      <c r="I7" s="29">
        <f>(1-ABS(G7-H7)/G7)*100</f>
        <v/>
      </c>
      <c r="J7" s="27" t="n">
        <v>0.85</v>
      </c>
      <c r="K7" s="28" t="n">
        <v>1.015</v>
      </c>
      <c r="L7" s="29">
        <f>(1-ABS(J7-K7)/J7)*100</f>
        <v/>
      </c>
      <c r="M7" s="27" t="n">
        <v>0.31</v>
      </c>
      <c r="N7" s="28" t="n">
        <v>0.262</v>
      </c>
      <c r="O7" s="29">
        <f>(1-ABS(M7-N7)/M7)*100</f>
        <v/>
      </c>
      <c r="P7" s="30" t="n"/>
      <c r="Q7" s="31" t="n">
        <v>0.65</v>
      </c>
      <c r="R7" s="27" t="n"/>
      <c r="S7" s="32" t="n">
        <v>19</v>
      </c>
      <c r="T7" s="30" t="n">
        <v>14.21</v>
      </c>
      <c r="U7" s="29">
        <f>(1-ABS(S7-T7)/S7)*100</f>
        <v/>
      </c>
    </row>
    <row r="8">
      <c r="B8" s="25" t="inlineStr">
        <is>
          <t>07/9</t>
        </is>
      </c>
      <c r="C8" s="26" t="n">
        <v>4069</v>
      </c>
      <c r="D8" s="27" t="n">
        <v>2.71</v>
      </c>
      <c r="E8" s="28" t="n">
        <v>2.522</v>
      </c>
      <c r="F8" s="29">
        <f>(1-ABS(D8-E8)/D8)*100</f>
        <v/>
      </c>
      <c r="G8" s="28" t="n">
        <v>0.173</v>
      </c>
      <c r="H8" s="28" t="n">
        <v>0.164</v>
      </c>
      <c r="I8" s="29">
        <f>(1-ABS(G8-H8)/G8)*100</f>
        <v/>
      </c>
      <c r="J8" s="27" t="n">
        <v>1</v>
      </c>
      <c r="K8" s="28" t="n">
        <v>1.016</v>
      </c>
      <c r="L8" s="29">
        <f>(1-ABS(J8-K8)/J8)*100</f>
        <v/>
      </c>
      <c r="M8" s="27" t="n">
        <v>0.28</v>
      </c>
      <c r="N8" s="28" t="n">
        <v>0.265</v>
      </c>
      <c r="O8" s="29">
        <f>(1-ABS(M8-N8)/M8)*100</f>
        <v/>
      </c>
      <c r="P8" s="30" t="n"/>
      <c r="Q8" s="31" t="n">
        <v>0.651</v>
      </c>
      <c r="R8" s="27" t="n"/>
      <c r="S8" s="32" t="n">
        <v>16</v>
      </c>
      <c r="T8" s="30" t="n">
        <v>13.59</v>
      </c>
      <c r="U8" s="29">
        <f>(1-ABS(S8-T8)/S8)*100</f>
        <v/>
      </c>
    </row>
    <row r="9">
      <c r="B9" s="25" t="inlineStr">
        <is>
          <t>08/33</t>
        </is>
      </c>
      <c r="C9" s="26" t="n">
        <v>4963</v>
      </c>
      <c r="D9" s="27" t="n">
        <v>2.57</v>
      </c>
      <c r="E9" s="28" t="n">
        <v>2.522</v>
      </c>
      <c r="F9" s="29">
        <f>(1-ABS(D9-E9)/D9)*100</f>
        <v/>
      </c>
      <c r="G9" s="28" t="n">
        <v>0.165</v>
      </c>
      <c r="H9" s="28" t="n">
        <v>0.163</v>
      </c>
      <c r="I9" s="29">
        <f>(1-ABS(G9-H9)/G9)*100</f>
        <v/>
      </c>
      <c r="J9" s="27" t="n">
        <v>0.8100000000000001</v>
      </c>
      <c r="K9" s="28" t="n">
        <v>1.024</v>
      </c>
      <c r="L9" s="29">
        <f>(1-ABS(J9-K9)/J9)*100</f>
        <v/>
      </c>
      <c r="M9" s="27" t="n">
        <v>0.3</v>
      </c>
      <c r="N9" s="28" t="n">
        <v>0.306</v>
      </c>
      <c r="O9" s="29">
        <f>(1-ABS(M9-N9)/M9)*100</f>
        <v/>
      </c>
      <c r="P9" s="30" t="n"/>
      <c r="Q9" s="31" t="n">
        <v>0.66</v>
      </c>
      <c r="R9" s="27" t="n"/>
      <c r="S9" s="32" t="n">
        <v>19</v>
      </c>
      <c r="T9" s="30" t="n">
        <v>11.33</v>
      </c>
      <c r="U9" s="29">
        <f>(1-ABS(S9-T9)/S9)*100</f>
        <v/>
      </c>
    </row>
    <row r="10">
      <c r="B10" s="25" t="inlineStr">
        <is>
          <t>08/34</t>
        </is>
      </c>
      <c r="C10" s="26" t="n">
        <v>4999</v>
      </c>
      <c r="D10" s="27" t="n">
        <v>2.62</v>
      </c>
      <c r="E10" s="28" t="n">
        <v>2.542</v>
      </c>
      <c r="F10" s="29">
        <f>(1-ABS(D10-E10)/D10)*100</f>
        <v/>
      </c>
      <c r="G10" s="28" t="n">
        <v>0.166</v>
      </c>
      <c r="H10" s="28" t="n">
        <v>0.165</v>
      </c>
      <c r="I10" s="29">
        <f>(1-ABS(G10-H10)/G10)*100</f>
        <v/>
      </c>
      <c r="J10" s="27" t="n">
        <v>0.86</v>
      </c>
      <c r="K10" s="28" t="n">
        <v>1.037</v>
      </c>
      <c r="L10" s="29">
        <f>(1-ABS(J10-K10)/J10)*100</f>
        <v/>
      </c>
      <c r="M10" s="27" t="n">
        <v>0.29</v>
      </c>
      <c r="N10" s="28" t="n">
        <v>0.284</v>
      </c>
      <c r="O10" s="29">
        <f>(1-ABS(M10-N10)/M10)*100</f>
        <v/>
      </c>
      <c r="P10" s="30" t="n"/>
      <c r="Q10" s="31" t="n">
        <v>0.653</v>
      </c>
      <c r="R10" s="27" t="n"/>
      <c r="S10" s="32" t="n">
        <v>18</v>
      </c>
      <c r="T10" s="30" t="n">
        <v>13.23</v>
      </c>
      <c r="U10" s="29">
        <f>(1-ABS(S10-T10)/S10)*100</f>
        <v/>
      </c>
    </row>
    <row r="11">
      <c r="B11" s="25" t="inlineStr">
        <is>
          <t>08/35</t>
        </is>
      </c>
      <c r="C11" s="26" t="n">
        <v>4274</v>
      </c>
      <c r="D11" s="27" t="n">
        <v>2.55</v>
      </c>
      <c r="E11" s="28" t="n">
        <v>2.515</v>
      </c>
      <c r="F11" s="29">
        <f>(1-ABS(D11-E11)/D11)*100</f>
        <v/>
      </c>
      <c r="G11" s="28" t="n">
        <v>0.171</v>
      </c>
      <c r="H11" s="28" t="n">
        <v>0.164</v>
      </c>
      <c r="I11" s="29">
        <f>(1-ABS(G11-H11)/G11)*100</f>
        <v/>
      </c>
      <c r="J11" s="27" t="n">
        <v>0.88</v>
      </c>
      <c r="K11" s="28" t="n">
        <v>1.018</v>
      </c>
      <c r="L11" s="29">
        <f>(1-ABS(J11-K11)/J11)*100</f>
        <v/>
      </c>
      <c r="M11" s="27" t="n">
        <v>0.3</v>
      </c>
      <c r="N11" s="28" t="n">
        <v>0.274</v>
      </c>
      <c r="O11" s="29">
        <f>(1-ABS(M11-N11)/M11)*100</f>
        <v/>
      </c>
      <c r="P11" s="30" t="n"/>
      <c r="Q11" s="31" t="n">
        <v>0.65</v>
      </c>
      <c r="R11" s="27" t="n"/>
      <c r="S11" s="32" t="n">
        <v>19</v>
      </c>
      <c r="T11" s="30" t="n">
        <v>13.83</v>
      </c>
      <c r="U11" s="29">
        <f>(1-ABS(S11-T11)/S11)*100</f>
        <v/>
      </c>
    </row>
    <row r="12">
      <c r="B12" s="25" t="inlineStr">
        <is>
          <t>08/36</t>
        </is>
      </c>
      <c r="C12" s="26" t="n">
        <v>4770</v>
      </c>
      <c r="D12" s="27" t="n">
        <v>2.66</v>
      </c>
      <c r="E12" s="28" t="n">
        <v>2.505</v>
      </c>
      <c r="F12" s="29">
        <f>(1-ABS(D12-E12)/D12)*100</f>
        <v/>
      </c>
      <c r="G12" s="28" t="n">
        <v>0.16</v>
      </c>
      <c r="H12" s="28" t="n">
        <v>0.164</v>
      </c>
      <c r="I12" s="29">
        <f>(1-ABS(G12-H12)/G12)*100</f>
        <v/>
      </c>
      <c r="J12" s="27" t="n">
        <v>0.8100000000000001</v>
      </c>
      <c r="K12" s="28" t="n">
        <v>1.014</v>
      </c>
      <c r="L12" s="29">
        <f>(1-ABS(J12-K12)/J12)*100</f>
        <v/>
      </c>
      <c r="M12" s="27" t="n">
        <v>0.3</v>
      </c>
      <c r="N12" s="28" t="n">
        <v>0.272</v>
      </c>
      <c r="O12" s="29">
        <f>(1-ABS(M12-N12)/M12)*100</f>
        <v/>
      </c>
      <c r="P12" s="30" t="n"/>
      <c r="Q12" s="31" t="n">
        <v>0.653</v>
      </c>
      <c r="R12" s="27" t="n"/>
      <c r="S12" s="32" t="n">
        <v>19</v>
      </c>
      <c r="T12" s="30" t="n">
        <v>13.69</v>
      </c>
      <c r="U12" s="29">
        <f>(1-ABS(S12-T12)/S12)*100</f>
        <v/>
      </c>
    </row>
    <row r="13">
      <c r="B13" s="25" t="inlineStr">
        <is>
          <t>08/37</t>
        </is>
      </c>
      <c r="C13" s="26" t="n">
        <v>4449</v>
      </c>
      <c r="D13" s="27" t="n">
        <v>2.64</v>
      </c>
      <c r="E13" s="28" t="n">
        <v>2.495</v>
      </c>
      <c r="F13" s="29">
        <f>(1-ABS(D13-E13)/D13)*100</f>
        <v/>
      </c>
      <c r="G13" s="28" t="n">
        <v>0.173</v>
      </c>
      <c r="H13" s="28" t="n">
        <v>0.163</v>
      </c>
      <c r="I13" s="29">
        <f>(1-ABS(G13-H13)/G13)*100</f>
        <v/>
      </c>
      <c r="J13" s="27" t="n">
        <v>0.9399999999999999</v>
      </c>
      <c r="K13" s="28" t="n">
        <v>1.006</v>
      </c>
      <c r="L13" s="29">
        <f>(1-ABS(J13-K13)/J13)*100</f>
        <v/>
      </c>
      <c r="M13" s="27" t="n">
        <v>0.3</v>
      </c>
      <c r="N13" s="28" t="n">
        <v>0.268</v>
      </c>
      <c r="O13" s="29">
        <f>(1-ABS(M13-N13)/M13)*100</f>
        <v/>
      </c>
      <c r="P13" s="30" t="n"/>
      <c r="Q13" s="31" t="n">
        <v>0.651</v>
      </c>
      <c r="R13" s="27" t="n"/>
      <c r="S13" s="32" t="n">
        <v>18</v>
      </c>
      <c r="T13" s="30" t="n">
        <v>14.05</v>
      </c>
      <c r="U13" s="29">
        <f>(1-ABS(S13-T13)/S13)*100</f>
        <v/>
      </c>
    </row>
    <row r="14">
      <c r="B14" s="25" t="inlineStr">
        <is>
          <t>08/38</t>
        </is>
      </c>
      <c r="C14" s="26" t="n">
        <v>3712</v>
      </c>
      <c r="D14" s="27" t="n">
        <v>2.64</v>
      </c>
      <c r="E14" s="28" t="n">
        <v>2.41</v>
      </c>
      <c r="F14" s="29">
        <f>(1-ABS(D14-E14)/D14)*100</f>
        <v/>
      </c>
      <c r="G14" s="28" t="n">
        <v>0.172</v>
      </c>
      <c r="H14" s="28" t="n">
        <v>0.157</v>
      </c>
      <c r="I14" s="29">
        <f>(1-ABS(G14-H14)/G14)*100</f>
        <v/>
      </c>
      <c r="J14" s="27" t="n">
        <v>0.9399999999999999</v>
      </c>
      <c r="K14" s="28" t="n">
        <v>0.973</v>
      </c>
      <c r="L14" s="29">
        <f>(1-ABS(J14-K14)/J14)*100</f>
        <v/>
      </c>
      <c r="M14" s="27" t="n">
        <v>0.31</v>
      </c>
      <c r="N14" s="28" t="n">
        <v>0.276</v>
      </c>
      <c r="O14" s="29">
        <f>(1-ABS(M14-N14)/M14)*100</f>
        <v/>
      </c>
      <c r="P14" s="30" t="n"/>
      <c r="Q14" s="31" t="n">
        <v>0.633</v>
      </c>
      <c r="R14" s="27" t="n"/>
      <c r="S14" s="32" t="n">
        <v>18</v>
      </c>
      <c r="T14" s="30" t="n">
        <v>12.35</v>
      </c>
      <c r="U14" s="29">
        <f>(1-ABS(S14-T14)/S14)*100</f>
        <v/>
      </c>
    </row>
    <row r="15" ht="35" customHeight="1">
      <c r="A15" s="43" t="inlineStr">
        <is>
          <t>AVG ACCURACY</t>
        </is>
      </c>
      <c r="B15" s="57" t="n"/>
      <c r="C15" s="12" t="n"/>
      <c r="D15" s="58" t="n"/>
      <c r="E15" s="12" t="n"/>
      <c r="F15" s="35">
        <f>AVERAGE(F7:F14)</f>
        <v/>
      </c>
      <c r="G15" s="58" t="n"/>
      <c r="H15" s="12" t="n"/>
      <c r="I15" s="35">
        <f>AVERAGE(I7:I14)</f>
        <v/>
      </c>
      <c r="J15" s="12" t="n"/>
      <c r="K15" s="12" t="n"/>
      <c r="L15" s="35">
        <f>AVERAGE(L7:L14)</f>
        <v/>
      </c>
      <c r="M15" s="58" t="n"/>
      <c r="N15" s="12" t="n"/>
      <c r="O15" s="35">
        <f>AVERAGE(O7:O14)</f>
        <v/>
      </c>
      <c r="P15" s="47" t="n"/>
      <c r="Q15" s="47" t="n"/>
      <c r="R15" s="36" t="inlineStr">
        <is>
          <t>-</t>
        </is>
      </c>
      <c r="S15" s="60" t="n"/>
      <c r="T15" s="47" t="n"/>
      <c r="U15" s="37">
        <f>AVERAGE(U7:U14)</f>
        <v/>
      </c>
    </row>
    <row r="16" ht="40" customHeight="1">
      <c r="A16" s="38" t="inlineStr">
        <is>
          <t>Best result closer to 0</t>
        </is>
      </c>
      <c r="B16" s="25" t="inlineStr">
        <is>
          <t>R^2 (Coefficient of determination)</t>
        </is>
      </c>
      <c r="C16" s="39" t="n"/>
      <c r="D16" s="40">
        <f>RSQ(E7:E14, D7:D14)</f>
        <v/>
      </c>
      <c r="E16" s="41" t="n"/>
      <c r="F16" s="39" t="n"/>
      <c r="G16" s="40">
        <f>RSQ(H7:H14, G7:G14)</f>
        <v/>
      </c>
      <c r="H16" s="41" t="n"/>
      <c r="I16" s="39" t="n"/>
      <c r="J16" s="40">
        <f>RSQ(K7:K14, J7:J14)</f>
        <v/>
      </c>
      <c r="K16" s="41" t="n"/>
      <c r="L16" s="39" t="n"/>
      <c r="M16" s="40">
        <f>RSQ(N7:N14, M7:M14)</f>
        <v/>
      </c>
      <c r="N16" s="41" t="n"/>
      <c r="O16" s="39" t="n"/>
      <c r="P16" s="42" t="inlineStr">
        <is>
          <t>-</t>
        </is>
      </c>
      <c r="Q16" s="41" t="n"/>
      <c r="R16" s="39" t="n"/>
      <c r="S16" s="42">
        <f>RSQ(T7:T14, S7:S14)</f>
        <v/>
      </c>
      <c r="T16" s="41" t="n"/>
      <c r="U16" s="39" t="n"/>
    </row>
    <row r="17" ht="39" customHeight="1">
      <c r="A17" s="38" t="inlineStr">
        <is>
          <t>Best result closer to 1</t>
        </is>
      </c>
      <c r="B17" s="25" t="inlineStr">
        <is>
          <t>MAE (Average size of prediction errors)</t>
        </is>
      </c>
      <c r="C17" s="39" t="n"/>
      <c r="D17" s="40">
        <f>SUMPRODUCT(ABS(D7:D14-E7:E14))/COUNT(D7:D14)</f>
        <v/>
      </c>
      <c r="E17" s="41" t="n"/>
      <c r="F17" s="39" t="n"/>
      <c r="G17" s="40">
        <f>SUMPRODUCT(ABS(G7:G14-H7:H14))/COUNT(G7:G14)</f>
        <v/>
      </c>
      <c r="H17" s="41" t="n"/>
      <c r="I17" s="39" t="n"/>
      <c r="J17" s="40">
        <f>SUMPRODUCT(ABS(J7:J14-K7:K14))/COUNT(J7:J14)</f>
        <v/>
      </c>
      <c r="K17" s="41" t="n"/>
      <c r="L17" s="39" t="n"/>
      <c r="M17" s="40">
        <f>SUMPRODUCT(ABS(M7:M14-N7:N14))/COUNT(M7:M14)</f>
        <v/>
      </c>
      <c r="N17" s="41" t="n"/>
      <c r="O17" s="39" t="n"/>
      <c r="P17" s="42" t="inlineStr">
        <is>
          <t>-</t>
        </is>
      </c>
      <c r="Q17" s="41" t="n"/>
      <c r="R17" s="39" t="n"/>
      <c r="S17" s="42">
        <f>SUMPRODUCT(ABS(S7:S14-T7:T14))/COUNT(S7:S14)</f>
        <v/>
      </c>
      <c r="T17" s="41" t="n"/>
      <c r="U17" s="39" t="n"/>
    </row>
    <row r="18" ht="66" customHeight="1">
      <c r="A18" s="38" t="inlineStr">
        <is>
          <t>Best result closer to 1</t>
        </is>
      </c>
      <c r="B18" s="25" t="inlineStr">
        <is>
          <t>RMSE (Prediction error, with larger mistakes penalised more)</t>
        </is>
      </c>
      <c r="C18" s="39" t="n"/>
      <c r="D18" s="40">
        <f>SQRT(SUMXMY2(D7:D14, E7:E14)/COUNT(D7:D14))</f>
        <v/>
      </c>
      <c r="E18" s="41" t="n"/>
      <c r="F18" s="39" t="n"/>
      <c r="G18" s="40">
        <f>SQRT(SUMXMY2(G7:G14, H7:H14)/COUNT(G7:G14))</f>
        <v/>
      </c>
      <c r="H18" s="41" t="n"/>
      <c r="I18" s="39" t="n"/>
      <c r="J18" s="40">
        <f>SQRT(SUMXMY2(J7:J14, K7:K14)/COUNT(J7:J14))</f>
        <v/>
      </c>
      <c r="K18" s="41" t="n"/>
      <c r="L18" s="39" t="n"/>
      <c r="M18" s="40">
        <f>SQRT(SUMXMY2(M7:M14, N7:N14)/COUNT(M7:M14))</f>
        <v/>
      </c>
      <c r="N18" s="41" t="n"/>
      <c r="O18" s="39" t="n"/>
      <c r="P18" s="42" t="inlineStr">
        <is>
          <t>-</t>
        </is>
      </c>
      <c r="Q18" s="41" t="n"/>
      <c r="R18" s="39" t="n"/>
      <c r="S18" s="42">
        <f>SQRT(SUMXMY2(S7:S14, T7:T14)/COUNT(S7:S14))</f>
        <v/>
      </c>
      <c r="T18" s="41" t="n"/>
      <c r="U18" s="39" t="n"/>
    </row>
    <row r="19" ht="66" customHeight="1">
      <c r="A19" s="33" t="inlineStr">
        <is>
          <t>Best result closer to 1</t>
        </is>
      </c>
      <c r="B19" s="22" t="inlineStr">
        <is>
          <t>RMSE (Prediction error, with larger mistakes penalised more)</t>
        </is>
      </c>
      <c r="D19" s="22" t="n"/>
      <c r="G19" s="22" t="n"/>
      <c r="J19" s="22" t="n"/>
      <c r="M19" s="22" t="n"/>
      <c r="P19" s="13" t="n"/>
      <c r="S19" s="13" t="n"/>
    </row>
  </sheetData>
  <mergeCells count="31">
    <mergeCell ref="B16:C16"/>
    <mergeCell ref="B4:O4"/>
    <mergeCell ref="G18:I18"/>
    <mergeCell ref="D17:F17"/>
    <mergeCell ref="P17:R17"/>
    <mergeCell ref="M16:O16"/>
    <mergeCell ref="B18:C18"/>
    <mergeCell ref="D16:F16"/>
    <mergeCell ref="P16:R16"/>
    <mergeCell ref="J16:L16"/>
    <mergeCell ref="G5:I5"/>
    <mergeCell ref="M18:O18"/>
    <mergeCell ref="D18:F18"/>
    <mergeCell ref="M17:O17"/>
    <mergeCell ref="P18:R18"/>
    <mergeCell ref="B17:C17"/>
    <mergeCell ref="G16:I16"/>
    <mergeCell ref="S5:U5"/>
    <mergeCell ref="D5:F5"/>
    <mergeCell ref="P5:R5"/>
    <mergeCell ref="J18:L18"/>
    <mergeCell ref="J17:L17"/>
    <mergeCell ref="B5:B6"/>
    <mergeCell ref="S16:U16"/>
    <mergeCell ref="P4:U4"/>
    <mergeCell ref="J5:L5"/>
    <mergeCell ref="M5:O5"/>
    <mergeCell ref="S18:U18"/>
    <mergeCell ref="G17:I17"/>
    <mergeCell ref="S17:U17"/>
    <mergeCell ref="C5:C6"/>
  </mergeCells>
  <conditionalFormatting sqref="F7:F14 I7:I14 L7:L14 O7:O14 U7:U14">
    <cfRule type="cellIs" priority="1" operator="lessThanOrEqual" dxfId="1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2026-10-15T08:13:53Z</dcterms:created>
  <dcterms:modified xmlns:dcterms="http://purl.org/dc/terms/" xmlns:xsi="http://www.w3.org/2001/XMLSchema-instance" xsi:type="dcterms:W3CDTF">2026-10-15T08:13:54Z</dcterms:modified>
</cp:coreProperties>
</file>