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19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06/04</t>
        </is>
      </c>
      <c r="C7" s="42" t="n">
        <v>6103</v>
      </c>
      <c r="D7" s="43" t="n">
        <v>2.59</v>
      </c>
      <c r="E7" s="44" t="n">
        <v>2.529</v>
      </c>
      <c r="F7" s="45">
        <f>(1-ABS(D7-E7)/D7)*100</f>
        <v/>
      </c>
      <c r="G7" s="44" t="n">
        <v>0.159</v>
      </c>
      <c r="H7" s="44" t="n">
        <v>0.162</v>
      </c>
      <c r="I7" s="45">
        <f>(1-ABS(G7-H7)/G7)*100</f>
        <v/>
      </c>
      <c r="J7" s="43" t="n">
        <v>0.99</v>
      </c>
      <c r="K7" s="44" t="n">
        <v>1.025</v>
      </c>
      <c r="L7" s="45">
        <f>(1-ABS(J7-K7)/J7)*100</f>
        <v/>
      </c>
      <c r="M7" s="43" t="n">
        <v>0.34</v>
      </c>
      <c r="N7" s="44" t="n">
        <v>0.25</v>
      </c>
      <c r="O7" s="45">
        <f>(1-ABS(M7-N7)/M7)*100</f>
        <v/>
      </c>
      <c r="P7" s="46" t="n"/>
      <c r="Q7" s="47" t="n">
        <v>0.635</v>
      </c>
      <c r="R7" s="43" t="n"/>
      <c r="S7" s="48" t="n">
        <v>12</v>
      </c>
      <c r="T7" s="46" t="n">
        <v>14.31</v>
      </c>
      <c r="U7" s="45">
        <f>(1-ABS(S7-T7)/S7)*100</f>
        <v/>
      </c>
    </row>
    <row r="8">
      <c r="B8" s="41" t="inlineStr">
        <is>
          <t>07/01</t>
        </is>
      </c>
      <c r="C8" s="42" t="n">
        <v>6029</v>
      </c>
      <c r="D8" s="43" t="n">
        <v>2.48</v>
      </c>
      <c r="E8" s="44" t="n">
        <v>2.531</v>
      </c>
      <c r="F8" s="45">
        <f>(1-ABS(D8-E8)/D8)*100</f>
        <v/>
      </c>
      <c r="G8" s="44" t="n">
        <v>0.164</v>
      </c>
      <c r="H8" s="44" t="n">
        <v>0.163</v>
      </c>
      <c r="I8" s="45">
        <f>(1-ABS(G8-H8)/G8)*100</f>
        <v/>
      </c>
      <c r="J8" s="43" t="n">
        <v>1.12</v>
      </c>
      <c r="K8" s="44" t="n">
        <v>1.023</v>
      </c>
      <c r="L8" s="45">
        <f>(1-ABS(J8-K8)/J8)*100</f>
        <v/>
      </c>
      <c r="M8" s="43" t="n">
        <v>0.36</v>
      </c>
      <c r="N8" s="44" t="n">
        <v>0.267</v>
      </c>
      <c r="O8" s="45">
        <f>(1-ABS(M8-N8)/M8)*100</f>
        <v/>
      </c>
      <c r="P8" s="46" t="n"/>
      <c r="Q8" s="47" t="n">
        <v>0.651</v>
      </c>
      <c r="R8" s="43" t="n"/>
      <c r="S8" s="48" t="n">
        <v>16</v>
      </c>
      <c r="T8" s="46" t="n">
        <v>13.57</v>
      </c>
      <c r="U8" s="45">
        <f>(1-ABS(S8-T8)/S8)*100</f>
        <v/>
      </c>
    </row>
    <row r="9">
      <c r="B9" s="41" t="inlineStr">
        <is>
          <t>07/09A</t>
        </is>
      </c>
      <c r="C9" s="42" t="n">
        <v>8467</v>
      </c>
      <c r="D9" s="43" t="n">
        <v>2.48</v>
      </c>
      <c r="E9" s="44" t="n">
        <v>2.501</v>
      </c>
      <c r="F9" s="45">
        <f>(1-ABS(D9-E9)/D9)*100</f>
        <v/>
      </c>
      <c r="G9" s="44" t="n">
        <v>0.147</v>
      </c>
      <c r="H9" s="44" t="n">
        <v>0.162</v>
      </c>
      <c r="I9" s="45">
        <f>(1-ABS(G9-H9)/G9)*100</f>
        <v/>
      </c>
      <c r="J9" s="43" t="n">
        <v>1.1</v>
      </c>
      <c r="K9" s="44" t="n">
        <v>1.012</v>
      </c>
      <c r="L9" s="45">
        <f>(1-ABS(J9-K9)/J9)*100</f>
        <v/>
      </c>
      <c r="M9" s="43" t="n">
        <v>0.32</v>
      </c>
      <c r="N9" s="44" t="n">
        <v>0.279</v>
      </c>
      <c r="O9" s="45">
        <f>(1-ABS(M9-N9)/M9)*100</f>
        <v/>
      </c>
      <c r="P9" s="46" t="n"/>
      <c r="Q9" s="47" t="n">
        <v>0.652</v>
      </c>
      <c r="R9" s="43" t="n"/>
      <c r="S9" s="48" t="n">
        <v>12</v>
      </c>
      <c r="T9" s="46" t="n">
        <v>12.76</v>
      </c>
      <c r="U9" s="45">
        <f>(1-ABS(S9-T9)/S9)*100</f>
        <v/>
      </c>
    </row>
    <row r="10">
      <c r="B10" s="41" t="inlineStr">
        <is>
          <t>09/12</t>
        </is>
      </c>
      <c r="C10" s="42" t="n">
        <v>2836</v>
      </c>
      <c r="D10" s="43" t="n">
        <v>2.47</v>
      </c>
      <c r="E10" s="44" t="n">
        <v>2.524</v>
      </c>
      <c r="F10" s="45">
        <f>(1-ABS(D10-E10)/D10)*100</f>
        <v/>
      </c>
      <c r="G10" s="44" t="n">
        <v>0.153</v>
      </c>
      <c r="H10" s="44" t="n">
        <v>0.166</v>
      </c>
      <c r="I10" s="45">
        <f>(1-ABS(G10-H10)/G10)*100</f>
        <v/>
      </c>
      <c r="J10" s="43" t="n">
        <v>1.1</v>
      </c>
      <c r="K10" s="44" t="n">
        <v>1.023</v>
      </c>
      <c r="L10" s="45">
        <f>(1-ABS(J10-K10)/J10)*100</f>
        <v/>
      </c>
      <c r="M10" s="43" t="n">
        <v>0.36</v>
      </c>
      <c r="N10" s="44" t="n">
        <v>0.294</v>
      </c>
      <c r="O10" s="45">
        <f>(1-ABS(M10-N10)/M10)*100</f>
        <v/>
      </c>
      <c r="P10" s="46" t="n"/>
      <c r="Q10" s="47" t="n">
        <v>0.659</v>
      </c>
      <c r="R10" s="43" t="n"/>
      <c r="S10" s="48" t="n">
        <v>11</v>
      </c>
      <c r="T10" s="46" t="n">
        <v>12.17</v>
      </c>
      <c r="U10" s="45">
        <f>(1-ABS(S10-T10)/S10)*100</f>
        <v/>
      </c>
    </row>
    <row r="11">
      <c r="B11" s="41" t="inlineStr">
        <is>
          <t>09/13</t>
        </is>
      </c>
      <c r="C11" s="42" t="n">
        <v>4273</v>
      </c>
      <c r="D11" s="43" t="n">
        <v>2.57</v>
      </c>
      <c r="E11" s="44" t="n">
        <v>2.496</v>
      </c>
      <c r="F11" s="45">
        <f>(1-ABS(D11-E11)/D11)*100</f>
        <v/>
      </c>
      <c r="G11" s="44" t="n">
        <v>0.147</v>
      </c>
      <c r="H11" s="44" t="n">
        <v>0.163</v>
      </c>
      <c r="I11" s="45">
        <f>(1-ABS(G11-H11)/G11)*100</f>
        <v/>
      </c>
      <c r="J11" s="43" t="n">
        <v>1.09</v>
      </c>
      <c r="K11" s="44" t="n">
        <v>1.011</v>
      </c>
      <c r="L11" s="45">
        <f>(1-ABS(J11-K11)/J11)*100</f>
        <v/>
      </c>
      <c r="M11" s="43" t="n">
        <v>0.37</v>
      </c>
      <c r="N11" s="44" t="n">
        <v>0.281</v>
      </c>
      <c r="O11" s="45">
        <f>(1-ABS(M11-N11)/M11)*100</f>
        <v/>
      </c>
      <c r="P11" s="46" t="n"/>
      <c r="Q11" s="47" t="n">
        <v>0.651</v>
      </c>
      <c r="R11" s="43" t="n"/>
      <c r="S11" s="48" t="n">
        <v>13</v>
      </c>
      <c r="T11" s="46" t="n">
        <v>12.77</v>
      </c>
      <c r="U11" s="45">
        <f>(1-ABS(S11-T11)/S11)*100</f>
        <v/>
      </c>
    </row>
    <row r="12">
      <c r="B12" s="41" t="inlineStr">
        <is>
          <t>11/15</t>
        </is>
      </c>
      <c r="C12" s="42" t="n">
        <v>2638</v>
      </c>
      <c r="D12" s="43" t="n">
        <v>2.74</v>
      </c>
      <c r="E12" s="44" t="n">
        <v>2.502</v>
      </c>
      <c r="F12" s="45">
        <f>(1-ABS(D12-E12)/D12)*100</f>
        <v/>
      </c>
      <c r="G12" s="44" t="n">
        <v>0.17</v>
      </c>
      <c r="H12" s="44" t="n">
        <v>0.162</v>
      </c>
      <c r="I12" s="45">
        <f>(1-ABS(G12-H12)/G12)*100</f>
        <v/>
      </c>
      <c r="J12" s="43" t="n">
        <v>1.14</v>
      </c>
      <c r="K12" s="44" t="n">
        <v>1.002</v>
      </c>
      <c r="L12" s="45">
        <f>(1-ABS(J12-K12)/J12)*100</f>
        <v/>
      </c>
      <c r="M12" s="43" t="n">
        <v>0.36</v>
      </c>
      <c r="N12" s="44" t="n">
        <v>0.266</v>
      </c>
      <c r="O12" s="45">
        <f>(1-ABS(M12-N12)/M12)*100</f>
        <v/>
      </c>
      <c r="P12" s="46" t="n"/>
      <c r="Q12" s="47" t="n">
        <v>0.647</v>
      </c>
      <c r="R12" s="43" t="n"/>
      <c r="S12" s="48" t="n">
        <v>12</v>
      </c>
      <c r="T12" s="46" t="n">
        <v>13.78</v>
      </c>
      <c r="U12" s="45">
        <f>(1-ABS(S12-T12)/S12)*100</f>
        <v/>
      </c>
    </row>
    <row r="13">
      <c r="B13" s="41" t="inlineStr">
        <is>
          <t>11/16</t>
        </is>
      </c>
      <c r="C13" s="42" t="n">
        <v>6510</v>
      </c>
      <c r="D13" s="43" t="n">
        <v>2.88</v>
      </c>
      <c r="E13" s="44" t="n">
        <v>2.543</v>
      </c>
      <c r="F13" s="45">
        <f>(1-ABS(D13-E13)/D13)*100</f>
        <v/>
      </c>
      <c r="G13" s="44" t="n">
        <v>0.175</v>
      </c>
      <c r="H13" s="44" t="n">
        <v>0.164</v>
      </c>
      <c r="I13" s="45">
        <f>(1-ABS(G13-H13)/G13)*100</f>
        <v/>
      </c>
      <c r="J13" s="43" t="n">
        <v>1.09</v>
      </c>
      <c r="K13" s="44" t="n">
        <v>1.045</v>
      </c>
      <c r="L13" s="45">
        <f>(1-ABS(J13-K13)/J13)*100</f>
        <v/>
      </c>
      <c r="M13" s="43" t="n">
        <v>0.37</v>
      </c>
      <c r="N13" s="44" t="n">
        <v>0.263</v>
      </c>
      <c r="O13" s="45">
        <f>(1-ABS(M13-N13)/M13)*100</f>
        <v/>
      </c>
      <c r="P13" s="46" t="n"/>
      <c r="Q13" s="47" t="n">
        <v>0.638</v>
      </c>
      <c r="R13" s="43" t="n"/>
      <c r="S13" s="48" t="n">
        <v>14</v>
      </c>
      <c r="T13" s="46" t="n">
        <v>13.63</v>
      </c>
      <c r="U13" s="45">
        <f>(1-ABS(S13-T13)/S13)*100</f>
        <v/>
      </c>
    </row>
    <row r="14">
      <c r="B14" s="41" t="inlineStr">
        <is>
          <t>11/17</t>
        </is>
      </c>
      <c r="C14" s="42" t="n">
        <v>5009</v>
      </c>
      <c r="D14" s="43" t="n">
        <v>2.73</v>
      </c>
      <c r="E14" s="44" t="n">
        <v>2.526</v>
      </c>
      <c r="F14" s="45">
        <f>(1-ABS(D14-E14)/D14)*100</f>
        <v/>
      </c>
      <c r="G14" s="44" t="n">
        <v>0.177</v>
      </c>
      <c r="H14" s="44" t="n">
        <v>0.165</v>
      </c>
      <c r="I14" s="45">
        <f>(1-ABS(G14-H14)/G14)*100</f>
        <v/>
      </c>
      <c r="J14" s="43" t="n">
        <v>1.07</v>
      </c>
      <c r="K14" s="44" t="n">
        <v>1.023</v>
      </c>
      <c r="L14" s="45">
        <f>(1-ABS(J14-K14)/J14)*100</f>
        <v/>
      </c>
      <c r="M14" s="43" t="n">
        <v>0.33</v>
      </c>
      <c r="N14" s="44" t="n">
        <v>0.279</v>
      </c>
      <c r="O14" s="45">
        <f>(1-ABS(M14-N14)/M14)*100</f>
        <v/>
      </c>
      <c r="P14" s="46" t="n"/>
      <c r="Q14" s="47" t="n">
        <v>0.652</v>
      </c>
      <c r="R14" s="43" t="n"/>
      <c r="S14" s="48" t="n">
        <v>13</v>
      </c>
      <c r="T14" s="46" t="n">
        <v>13.2</v>
      </c>
      <c r="U14" s="45">
        <f>(1-ABS(S14-T14)/S14)*100</f>
        <v/>
      </c>
    </row>
    <row r="15">
      <c r="B15" s="41" t="inlineStr">
        <is>
          <t>11/18</t>
        </is>
      </c>
      <c r="C15" s="42" t="n">
        <v>3457</v>
      </c>
      <c r="D15" s="43" t="n">
        <v>2.83</v>
      </c>
      <c r="E15" s="44" t="n">
        <v>2.554</v>
      </c>
      <c r="F15" s="45">
        <f>(1-ABS(D15-E15)/D15)*100</f>
        <v/>
      </c>
      <c r="G15" s="44" t="n">
        <v>0.169</v>
      </c>
      <c r="H15" s="44" t="n">
        <v>0.165</v>
      </c>
      <c r="I15" s="45">
        <f>(1-ABS(G15-H15)/G15)*100</f>
        <v/>
      </c>
      <c r="J15" s="43" t="n">
        <v>1.14</v>
      </c>
      <c r="K15" s="44" t="n">
        <v>1.033</v>
      </c>
      <c r="L15" s="45">
        <f>(1-ABS(J15-K15)/J15)*100</f>
        <v/>
      </c>
      <c r="M15" s="43" t="n">
        <v>0.36</v>
      </c>
      <c r="N15" s="44" t="n">
        <v>0.27</v>
      </c>
      <c r="O15" s="45">
        <f>(1-ABS(M15-N15)/M15)*100</f>
        <v/>
      </c>
      <c r="P15" s="46" t="n"/>
      <c r="Q15" s="47" t="n">
        <v>0.65</v>
      </c>
      <c r="R15" s="43" t="n"/>
      <c r="S15" s="48" t="n">
        <v>14</v>
      </c>
      <c r="T15" s="46" t="n">
        <v>14.22</v>
      </c>
      <c r="U15" s="45">
        <f>(1-ABS(S15-T15)/S15)*100</f>
        <v/>
      </c>
    </row>
    <row r="16" ht="35" customHeight="1">
      <c r="A16" s="49" t="inlineStr">
        <is>
          <t>AVG ACCURACY</t>
        </is>
      </c>
      <c r="B16" s="13" t="n"/>
      <c r="C16" s="3" t="n"/>
      <c r="D16" s="5" t="n"/>
      <c r="E16" s="6" t="n"/>
      <c r="F16" s="50">
        <f>AVERAGE(F7:F15)</f>
        <v/>
      </c>
      <c r="G16" s="5" t="n"/>
      <c r="H16" s="6" t="n"/>
      <c r="I16" s="50">
        <f>AVERAGE(I7:I15)</f>
        <v/>
      </c>
      <c r="J16" s="3" t="n"/>
      <c r="K16" s="3" t="n"/>
      <c r="L16" s="50">
        <f>AVERAGE(L7:L15)</f>
        <v/>
      </c>
      <c r="M16" s="5" t="n"/>
      <c r="N16" s="6" t="n"/>
      <c r="O16" s="51">
        <f>AVERAGE(O7:O15)</f>
        <v/>
      </c>
      <c r="P16" s="29" t="n"/>
      <c r="Q16" s="29" t="n"/>
      <c r="R16" s="52" t="inlineStr">
        <is>
          <t>-</t>
        </is>
      </c>
      <c r="S16" s="33" t="n"/>
      <c r="T16" s="34" t="n"/>
      <c r="U16" s="50">
        <f>AVERAGE(U7:U15)</f>
        <v/>
      </c>
    </row>
    <row r="17" ht="40" customHeight="1">
      <c r="A17" s="53" t="inlineStr">
        <is>
          <t>Best result closer to 0</t>
        </is>
      </c>
      <c r="B17" s="41" t="inlineStr">
        <is>
          <t>R^2 (Coefficient of determination)</t>
        </is>
      </c>
      <c r="C17" s="54" t="n"/>
      <c r="D17" s="55">
        <f>RSQ(E7:E15, D7:D15)</f>
        <v/>
      </c>
      <c r="E17" s="56" t="n"/>
      <c r="F17" s="54" t="n"/>
      <c r="G17" s="55">
        <f>RSQ(H7:H15, G7:G15)</f>
        <v/>
      </c>
      <c r="H17" s="56" t="n"/>
      <c r="I17" s="54" t="n"/>
      <c r="J17" s="55">
        <f>RSQ(K7:K15, J7:J15)</f>
        <v/>
      </c>
      <c r="K17" s="56" t="n"/>
      <c r="L17" s="54" t="n"/>
      <c r="M17" s="55">
        <f>RSQ(N7:N15, M7:M15)</f>
        <v/>
      </c>
      <c r="N17" s="56" t="n"/>
      <c r="O17" s="54" t="n"/>
      <c r="P17" s="57" t="inlineStr">
        <is>
          <t>-</t>
        </is>
      </c>
      <c r="Q17" s="56" t="n"/>
      <c r="R17" s="54" t="n"/>
      <c r="S17" s="57">
        <f>RSQ(T7:T15, S7:S15)</f>
        <v/>
      </c>
      <c r="T17" s="56" t="n"/>
      <c r="U17" s="54" t="n"/>
    </row>
    <row r="18" ht="39" customHeight="1">
      <c r="A18" s="53" t="inlineStr">
        <is>
          <t>Best result closer to 1</t>
        </is>
      </c>
      <c r="B18" s="41" t="inlineStr">
        <is>
          <t>MAE (Average size of prediction errors)</t>
        </is>
      </c>
      <c r="C18" s="54" t="n"/>
      <c r="D18" s="55">
        <f>SUMPRODUCT(ABS(D7:D15-E7:E15))/COUNT(D7:D15)</f>
        <v/>
      </c>
      <c r="E18" s="56" t="n"/>
      <c r="F18" s="54" t="n"/>
      <c r="G18" s="55">
        <f>SUMPRODUCT(ABS(G7:G15-H7:H15))/COUNT(G7:G15)</f>
        <v/>
      </c>
      <c r="H18" s="56" t="n"/>
      <c r="I18" s="54" t="n"/>
      <c r="J18" s="55">
        <f>SUMPRODUCT(ABS(J7:J15-K7:K15))/COUNT(J7:J15)</f>
        <v/>
      </c>
      <c r="K18" s="56" t="n"/>
      <c r="L18" s="54" t="n"/>
      <c r="M18" s="55">
        <f>SUMPRODUCT(ABS(M7:M15-N7:N15))/COUNT(M7:M15)</f>
        <v/>
      </c>
      <c r="N18" s="56" t="n"/>
      <c r="O18" s="54" t="n"/>
      <c r="P18" s="57" t="inlineStr">
        <is>
          <t>-</t>
        </is>
      </c>
      <c r="Q18" s="56" t="n"/>
      <c r="R18" s="54" t="n"/>
      <c r="S18" s="57">
        <f>SUMPRODUCT(ABS(S7:S15-T7:T15))/COUNT(S7:S15)</f>
        <v/>
      </c>
      <c r="T18" s="56" t="n"/>
      <c r="U18" s="54" t="n"/>
    </row>
    <row r="19" ht="66" customHeight="1">
      <c r="A19" s="53" t="inlineStr">
        <is>
          <t>Best result closer to 1</t>
        </is>
      </c>
      <c r="B19" s="41" t="inlineStr">
        <is>
          <t>RMSE (Prediction error, with larger mistakes penalised more)</t>
        </is>
      </c>
      <c r="C19" s="54" t="n"/>
      <c r="D19" s="55">
        <f>SQRT(SUMXMY2(D7:D15, E7:E15)/COUNT(D7:D15))</f>
        <v/>
      </c>
      <c r="E19" s="56" t="n"/>
      <c r="F19" s="54" t="n"/>
      <c r="G19" s="55">
        <f>SQRT(SUMXMY2(G7:G15, H7:H15)/COUNT(G7:G15))</f>
        <v/>
      </c>
      <c r="H19" s="56" t="n"/>
      <c r="I19" s="54" t="n"/>
      <c r="J19" s="55">
        <f>SQRT(SUMXMY2(J7:J15, K7:K15)/COUNT(J7:J15))</f>
        <v/>
      </c>
      <c r="K19" s="56" t="n"/>
      <c r="L19" s="54" t="n"/>
      <c r="M19" s="55">
        <f>SQRT(SUMXMY2(M7:M15, N7:N15)/COUNT(M7:M15))</f>
        <v/>
      </c>
      <c r="N19" s="56" t="n"/>
      <c r="O19" s="54" t="n"/>
      <c r="P19" s="57" t="inlineStr">
        <is>
          <t>-</t>
        </is>
      </c>
      <c r="Q19" s="56" t="n"/>
      <c r="R19" s="54" t="n"/>
      <c r="S19" s="57">
        <f>SQRT(SUMXMY2(S7:S15, T7:T15)/COUNT(S7:S15))</f>
        <v/>
      </c>
      <c r="T19" s="56" t="n"/>
      <c r="U19" s="54" t="n"/>
    </row>
  </sheetData>
  <mergeCells count="31">
    <mergeCell ref="B4:O4"/>
    <mergeCell ref="G19:I19"/>
    <mergeCell ref="D17:F17"/>
    <mergeCell ref="P17:R17"/>
    <mergeCell ref="G18:I18"/>
    <mergeCell ref="B18:C18"/>
    <mergeCell ref="S19:U19"/>
    <mergeCell ref="G5:I5"/>
    <mergeCell ref="P19:R19"/>
    <mergeCell ref="M18:O18"/>
    <mergeCell ref="D18:F18"/>
    <mergeCell ref="M17:O17"/>
    <mergeCell ref="P18:R18"/>
    <mergeCell ref="B17:C17"/>
    <mergeCell ref="S17:U17"/>
    <mergeCell ref="S5:U5"/>
    <mergeCell ref="D5:F5"/>
    <mergeCell ref="M19:O19"/>
    <mergeCell ref="P5:R5"/>
    <mergeCell ref="J18:L18"/>
    <mergeCell ref="B19:C19"/>
    <mergeCell ref="J17:L17"/>
    <mergeCell ref="B5:B6"/>
    <mergeCell ref="P4:U4"/>
    <mergeCell ref="J5:L5"/>
    <mergeCell ref="D19:F19"/>
    <mergeCell ref="J19:L19"/>
    <mergeCell ref="M5:O5"/>
    <mergeCell ref="S18:U18"/>
    <mergeCell ref="G17:I17"/>
    <mergeCell ref="C5:C6"/>
  </mergeCells>
  <conditionalFormatting sqref="F7:F15 I7:I15 L7:L15 O7:O15 U7:U15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2026-10-15T07:47:48Z</dcterms:modified>
  <cp:lastModifiedBy>Siti Aisyah Jaafar</cp:lastModifiedBy>
</cp:coreProperties>
</file>