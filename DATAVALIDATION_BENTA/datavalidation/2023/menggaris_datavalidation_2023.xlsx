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5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05/D</t>
        </is>
      </c>
      <c r="C7" s="42" t="n">
        <v>5938</v>
      </c>
      <c r="D7" s="43" t="n">
        <v>2.62</v>
      </c>
      <c r="E7" s="44" t="n">
        <v>2.532</v>
      </c>
      <c r="F7" s="45">
        <f>(1-ABS(D7-E7)/D7)*100</f>
        <v/>
      </c>
      <c r="G7" s="44" t="n">
        <v>0.15</v>
      </c>
      <c r="H7" s="44" t="n">
        <v>0.164</v>
      </c>
      <c r="I7" s="45">
        <f>(1-ABS(G7-H7)/G7)*100</f>
        <v/>
      </c>
      <c r="J7" s="43" t="n">
        <v>1.01</v>
      </c>
      <c r="K7" s="44" t="n">
        <v>1.028</v>
      </c>
      <c r="L7" s="45">
        <f>(1-ABS(J7-K7)/J7)*100</f>
        <v/>
      </c>
      <c r="M7" s="43" t="n">
        <v>0.34</v>
      </c>
      <c r="N7" s="44" t="n">
        <v>0.265</v>
      </c>
      <c r="O7" s="45">
        <f>(1-ABS(M7-N7)/M7)*100</f>
        <v/>
      </c>
      <c r="P7" s="46" t="n"/>
      <c r="Q7" s="47" t="n">
        <v>0.645</v>
      </c>
      <c r="R7" s="43" t="n"/>
      <c r="S7" s="48" t="n">
        <v>16</v>
      </c>
      <c r="T7" s="46" t="n">
        <v>14.05</v>
      </c>
      <c r="U7" s="45">
        <f>(1-ABS(S7-T7)/S7)*100</f>
        <v/>
      </c>
    </row>
    <row r="8">
      <c r="B8" s="41" t="inlineStr">
        <is>
          <t>06/G</t>
        </is>
      </c>
      <c r="C8" s="42" t="n">
        <v>6616</v>
      </c>
      <c r="D8" s="43" t="n">
        <v>2.55</v>
      </c>
      <c r="E8" s="44" t="n">
        <v>2.533</v>
      </c>
      <c r="F8" s="45">
        <f>(1-ABS(D8-E8)/D8)*100</f>
        <v/>
      </c>
      <c r="G8" s="44" t="n">
        <v>0.163</v>
      </c>
      <c r="H8" s="44" t="n">
        <v>0.163</v>
      </c>
      <c r="I8" s="45">
        <f>(1-ABS(G8-H8)/G8)*100</f>
        <v/>
      </c>
      <c r="J8" s="43" t="n">
        <v>1.11</v>
      </c>
      <c r="K8" s="44" t="n">
        <v>1.033</v>
      </c>
      <c r="L8" s="45">
        <f>(1-ABS(J8-K8)/J8)*100</f>
        <v/>
      </c>
      <c r="M8" s="43" t="n">
        <v>0.33</v>
      </c>
      <c r="N8" s="44" t="n">
        <v>0.252</v>
      </c>
      <c r="O8" s="45">
        <f>(1-ABS(M8-N8)/M8)*100</f>
        <v/>
      </c>
      <c r="P8" s="46" t="n"/>
      <c r="Q8" s="47" t="n">
        <v>0.643</v>
      </c>
      <c r="R8" s="43" t="n"/>
      <c r="S8" s="48" t="n">
        <v>14</v>
      </c>
      <c r="T8" s="46" t="n">
        <v>14.43</v>
      </c>
      <c r="U8" s="45">
        <f>(1-ABS(S8-T8)/S8)*100</f>
        <v/>
      </c>
    </row>
    <row r="9">
      <c r="B9" s="41" t="inlineStr">
        <is>
          <t>06/H</t>
        </is>
      </c>
      <c r="C9" s="42" t="n">
        <v>6884</v>
      </c>
      <c r="D9" s="43" t="n">
        <v>2.6</v>
      </c>
      <c r="E9" s="44" t="n">
        <v>2.532</v>
      </c>
      <c r="F9" s="45">
        <f>(1-ABS(D9-E9)/D9)*100</f>
        <v/>
      </c>
      <c r="G9" s="44" t="n">
        <v>0.157</v>
      </c>
      <c r="H9" s="44" t="n">
        <v>0.162</v>
      </c>
      <c r="I9" s="45">
        <f>(1-ABS(G9-H9)/G9)*100</f>
        <v/>
      </c>
      <c r="J9" s="43" t="n">
        <v>1.11</v>
      </c>
      <c r="K9" s="44" t="n">
        <v>1.059</v>
      </c>
      <c r="L9" s="45">
        <f>(1-ABS(J9-K9)/J9)*100</f>
        <v/>
      </c>
      <c r="M9" s="43" t="n">
        <v>0.28</v>
      </c>
      <c r="N9" s="44" t="n">
        <v>0.248</v>
      </c>
      <c r="O9" s="45">
        <f>(1-ABS(M9-N9)/M9)*100</f>
        <v/>
      </c>
      <c r="P9" s="46" t="n"/>
      <c r="Q9" s="47" t="n">
        <v>0.627</v>
      </c>
      <c r="R9" s="43" t="n"/>
      <c r="S9" s="48" t="n">
        <v>12</v>
      </c>
      <c r="T9" s="46" t="n">
        <v>14.29</v>
      </c>
      <c r="U9" s="45">
        <f>(1-ABS(S9-T9)/S9)*100</f>
        <v/>
      </c>
    </row>
    <row r="10">
      <c r="B10" s="41" t="inlineStr">
        <is>
          <t>07/1</t>
        </is>
      </c>
      <c r="C10" s="42" t="n">
        <v>6045</v>
      </c>
      <c r="D10" s="43" t="n">
        <v>2.55</v>
      </c>
      <c r="E10" s="44" t="n">
        <v>2.497</v>
      </c>
      <c r="F10" s="45">
        <f>(1-ABS(D10-E10)/D10)*100</f>
        <v/>
      </c>
      <c r="G10" s="44" t="n">
        <v>0.17</v>
      </c>
      <c r="H10" s="44" t="n">
        <v>0.162</v>
      </c>
      <c r="I10" s="45">
        <f>(1-ABS(G10-H10)/G10)*100</f>
        <v/>
      </c>
      <c r="J10" s="43" t="n">
        <v>1.13</v>
      </c>
      <c r="K10" s="44" t="n">
        <v>1.003</v>
      </c>
      <c r="L10" s="45">
        <f>(1-ABS(J10-K10)/J10)*100</f>
        <v/>
      </c>
      <c r="M10" s="43" t="n">
        <v>0.33</v>
      </c>
      <c r="N10" s="44" t="n">
        <v>0.276</v>
      </c>
      <c r="O10" s="45">
        <f>(1-ABS(M10-N10)/M10)*100</f>
        <v/>
      </c>
      <c r="P10" s="46" t="n"/>
      <c r="Q10" s="47" t="n">
        <v>0.652</v>
      </c>
      <c r="R10" s="43" t="n"/>
      <c r="S10" s="48" t="n">
        <v>13</v>
      </c>
      <c r="T10" s="46" t="n">
        <v>13.07</v>
      </c>
      <c r="U10" s="45">
        <f>(1-ABS(S10-T10)/S10)*100</f>
        <v/>
      </c>
    </row>
    <row r="11">
      <c r="B11" s="41" t="inlineStr">
        <is>
          <t>07/4</t>
        </is>
      </c>
      <c r="C11" s="42" t="n">
        <v>5564</v>
      </c>
      <c r="D11" s="43" t="n">
        <v>2.43</v>
      </c>
      <c r="E11" s="44" t="n">
        <v>2.39</v>
      </c>
      <c r="F11" s="45">
        <f>(1-ABS(D11-E11)/D11)*100</f>
        <v/>
      </c>
      <c r="G11" s="44" t="n">
        <v>0.162</v>
      </c>
      <c r="H11" s="44" t="n">
        <v>0.155</v>
      </c>
      <c r="I11" s="45">
        <f>(1-ABS(G11-H11)/G11)*100</f>
        <v/>
      </c>
      <c r="J11" s="43" t="n">
        <v>1.06</v>
      </c>
      <c r="K11" s="44" t="n">
        <v>0.96</v>
      </c>
      <c r="L11" s="45">
        <f>(1-ABS(J11-K11)/J11)*100</f>
        <v/>
      </c>
      <c r="M11" s="43" t="n">
        <v>0.26</v>
      </c>
      <c r="N11" s="44" t="n">
        <v>0.282</v>
      </c>
      <c r="O11" s="45">
        <f>(1-ABS(M11-N11)/M11)*100</f>
        <v/>
      </c>
      <c r="P11" s="46" t="n"/>
      <c r="Q11" s="47" t="n">
        <v>0.64</v>
      </c>
      <c r="R11" s="43" t="n"/>
      <c r="S11" s="48" t="n">
        <v>12</v>
      </c>
      <c r="T11" s="46" t="n">
        <v>11.57</v>
      </c>
      <c r="U11" s="45">
        <f>(1-ABS(S11-T11)/S11)*100</f>
        <v/>
      </c>
    </row>
    <row r="12">
      <c r="B12" s="41" t="inlineStr">
        <is>
          <t>07/5</t>
        </is>
      </c>
      <c r="C12" s="42" t="n">
        <v>6240</v>
      </c>
      <c r="D12" s="43" t="n">
        <v>2.56</v>
      </c>
      <c r="E12" s="44" t="n">
        <v>2.407</v>
      </c>
      <c r="F12" s="45">
        <f>(1-ABS(D12-E12)/D12)*100</f>
        <v/>
      </c>
      <c r="G12" s="44" t="n">
        <v>0.171</v>
      </c>
      <c r="H12" s="44" t="n">
        <v>0.156</v>
      </c>
      <c r="I12" s="45">
        <f>(1-ABS(G12-H12)/G12)*100</f>
        <v/>
      </c>
      <c r="J12" s="43" t="n">
        <v>1.06</v>
      </c>
      <c r="K12" s="44" t="n">
        <v>0.959</v>
      </c>
      <c r="L12" s="45">
        <f>(1-ABS(J12-K12)/J12)*100</f>
        <v/>
      </c>
      <c r="M12" s="43" t="n">
        <v>0.26</v>
      </c>
      <c r="N12" s="44" t="n">
        <v>0.27</v>
      </c>
      <c r="O12" s="45">
        <f>(1-ABS(M12-N12)/M12)*100</f>
        <v/>
      </c>
      <c r="P12" s="46" t="n"/>
      <c r="Q12" s="47" t="n">
        <v>0.642</v>
      </c>
      <c r="R12" s="43" t="n"/>
      <c r="S12" s="48" t="n">
        <v>12</v>
      </c>
      <c r="T12" s="46" t="n">
        <v>12.12</v>
      </c>
      <c r="U12" s="45">
        <f>(1-ABS(S12-T12)/S12)*100</f>
        <v/>
      </c>
    </row>
    <row r="13">
      <c r="B13" s="41" t="inlineStr">
        <is>
          <t>08/2</t>
        </is>
      </c>
      <c r="C13" s="42" t="n">
        <v>8862</v>
      </c>
      <c r="D13" s="43" t="n">
        <v>2.59</v>
      </c>
      <c r="E13" s="44" t="n">
        <v>2.501</v>
      </c>
      <c r="F13" s="45">
        <f>(1-ABS(D13-E13)/D13)*100</f>
        <v/>
      </c>
      <c r="G13" s="44" t="n">
        <v>0.166</v>
      </c>
      <c r="H13" s="44" t="n">
        <v>0.162</v>
      </c>
      <c r="I13" s="45">
        <f>(1-ABS(G13-H13)/G13)*100</f>
        <v/>
      </c>
      <c r="J13" s="43" t="n">
        <v>1.09</v>
      </c>
      <c r="K13" s="44" t="n">
        <v>1.01</v>
      </c>
      <c r="L13" s="45">
        <f>(1-ABS(J13-K13)/J13)*100</f>
        <v/>
      </c>
      <c r="M13" s="43" t="n">
        <v>0.31</v>
      </c>
      <c r="N13" s="44" t="n">
        <v>0.281</v>
      </c>
      <c r="O13" s="45">
        <f>(1-ABS(M13-N13)/M13)*100</f>
        <v/>
      </c>
      <c r="P13" s="46" t="n"/>
      <c r="Q13" s="47" t="n">
        <v>0.645</v>
      </c>
      <c r="R13" s="43" t="n"/>
      <c r="S13" s="48" t="n">
        <v>11</v>
      </c>
      <c r="T13" s="46" t="n">
        <v>12.89</v>
      </c>
      <c r="U13" s="45">
        <f>(1-ABS(S13-T13)/S13)*100</f>
        <v/>
      </c>
    </row>
    <row r="14">
      <c r="B14" s="41" t="inlineStr">
        <is>
          <t>12/1</t>
        </is>
      </c>
      <c r="C14" s="42" t="n">
        <v>4143</v>
      </c>
      <c r="D14" s="43" t="n">
        <v>2.6</v>
      </c>
      <c r="E14" s="44" t="n">
        <v>2.522</v>
      </c>
      <c r="F14" s="45">
        <f>(1-ABS(D14-E14)/D14)*100</f>
        <v/>
      </c>
      <c r="G14" s="44" t="n">
        <v>0.162</v>
      </c>
      <c r="H14" s="44" t="n">
        <v>0.164</v>
      </c>
      <c r="I14" s="45">
        <f>(1-ABS(G14-H14)/G14)*100</f>
        <v/>
      </c>
      <c r="J14" s="43" t="n">
        <v>1.09</v>
      </c>
      <c r="K14" s="44" t="n">
        <v>1.012</v>
      </c>
      <c r="L14" s="45">
        <f>(1-ABS(J14-K14)/J14)*100</f>
        <v/>
      </c>
      <c r="M14" s="43" t="n">
        <v>0.3</v>
      </c>
      <c r="N14" s="44" t="n">
        <v>0.27</v>
      </c>
      <c r="O14" s="45">
        <f>(1-ABS(M14-N14)/M14)*100</f>
        <v/>
      </c>
      <c r="P14" s="46" t="n"/>
      <c r="Q14" s="47" t="n">
        <v>0.639</v>
      </c>
      <c r="R14" s="43" t="n"/>
      <c r="S14" s="48" t="n">
        <v>12</v>
      </c>
      <c r="T14" s="46" t="n">
        <v>14.03</v>
      </c>
      <c r="U14" s="45">
        <f>(1-ABS(S14-T14)/S14)*100</f>
        <v/>
      </c>
    </row>
    <row r="15">
      <c r="B15" s="41" t="inlineStr">
        <is>
          <t>12/2</t>
        </is>
      </c>
      <c r="C15" s="42" t="n">
        <v>4027</v>
      </c>
      <c r="D15" s="43" t="n">
        <v>2.5</v>
      </c>
      <c r="E15" s="44" t="n">
        <v>2.518</v>
      </c>
      <c r="F15" s="45">
        <f>(1-ABS(D15-E15)/D15)*100</f>
        <v/>
      </c>
      <c r="G15" s="44" t="n">
        <v>0.142</v>
      </c>
      <c r="H15" s="44" t="n">
        <v>0.163</v>
      </c>
      <c r="I15" s="45">
        <f>(1-ABS(G15-H15)/G15)*100</f>
        <v/>
      </c>
      <c r="J15" s="43" t="n">
        <v>1.06</v>
      </c>
      <c r="K15" s="44" t="n">
        <v>1.007</v>
      </c>
      <c r="L15" s="45">
        <f>(1-ABS(J15-K15)/J15)*100</f>
        <v/>
      </c>
      <c r="M15" s="43" t="n">
        <v>0.28</v>
      </c>
      <c r="N15" s="44" t="n">
        <v>0.266</v>
      </c>
      <c r="O15" s="45">
        <f>(1-ABS(M15-N15)/M15)*100</f>
        <v/>
      </c>
      <c r="P15" s="46" t="n"/>
      <c r="Q15" s="47" t="n">
        <v>0.641</v>
      </c>
      <c r="R15" s="43" t="n"/>
      <c r="S15" s="48" t="n">
        <v>13</v>
      </c>
      <c r="T15" s="46" t="n">
        <v>13.97</v>
      </c>
      <c r="U15" s="45">
        <f>(1-ABS(S15-T15)/S15)*100</f>
        <v/>
      </c>
    </row>
    <row r="16">
      <c r="B16" s="41" t="inlineStr">
        <is>
          <t>12/3</t>
        </is>
      </c>
      <c r="C16" s="42" t="n">
        <v>3851</v>
      </c>
      <c r="D16" s="43" t="n">
        <v>2.54</v>
      </c>
      <c r="E16" s="44" t="n">
        <v>2.512</v>
      </c>
      <c r="F16" s="45">
        <f>(1-ABS(D16-E16)/D16)*100</f>
        <v/>
      </c>
      <c r="G16" s="44" t="n">
        <v>0.153</v>
      </c>
      <c r="H16" s="44" t="n">
        <v>0.164</v>
      </c>
      <c r="I16" s="45">
        <f>(1-ABS(G16-H16)/G16)*100</f>
        <v/>
      </c>
      <c r="J16" s="43" t="n">
        <v>1.11</v>
      </c>
      <c r="K16" s="44" t="n">
        <v>1.012</v>
      </c>
      <c r="L16" s="45">
        <f>(1-ABS(J16-K16)/J16)*100</f>
        <v/>
      </c>
      <c r="M16" s="43" t="n">
        <v>0.34</v>
      </c>
      <c r="N16" s="44" t="n">
        <v>0.271</v>
      </c>
      <c r="O16" s="45">
        <f>(1-ABS(M16-N16)/M16)*100</f>
        <v/>
      </c>
      <c r="P16" s="46" t="n"/>
      <c r="Q16" s="47" t="n">
        <v>0.64</v>
      </c>
      <c r="R16" s="43" t="n"/>
      <c r="S16" s="48" t="n">
        <v>12</v>
      </c>
      <c r="T16" s="46" t="n">
        <v>13.94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12/J</t>
        </is>
      </c>
      <c r="C17" s="42" t="n">
        <v>3576</v>
      </c>
      <c r="D17" s="43" t="n">
        <v>2.44</v>
      </c>
      <c r="E17" s="44" t="n">
        <v>2.274</v>
      </c>
      <c r="F17" s="45">
        <f>(1-ABS(D17-E17)/D17)*100</f>
        <v/>
      </c>
      <c r="G17" s="44" t="n">
        <v>0.158</v>
      </c>
      <c r="H17" s="44" t="n">
        <v>0.145</v>
      </c>
      <c r="I17" s="45">
        <f>(1-ABS(G17-H17)/G17)*100</f>
        <v/>
      </c>
      <c r="J17" s="43" t="n">
        <v>1.1</v>
      </c>
      <c r="K17" s="44" t="n">
        <v>0.893</v>
      </c>
      <c r="L17" s="45">
        <f>(1-ABS(J17-K17)/J17)*100</f>
        <v/>
      </c>
      <c r="M17" s="43" t="n">
        <v>0.3</v>
      </c>
      <c r="N17" s="44" t="n">
        <v>0.26</v>
      </c>
      <c r="O17" s="45">
        <f>(1-ABS(M17-N17)/M17)*100</f>
        <v/>
      </c>
      <c r="P17" s="46" t="n"/>
      <c r="Q17" s="47" t="n">
        <v>0.598</v>
      </c>
      <c r="R17" s="43" t="n"/>
      <c r="S17" s="48" t="n">
        <v>11</v>
      </c>
      <c r="T17" s="46" t="n">
        <v>11.01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13/D</t>
        </is>
      </c>
      <c r="C18" s="42" t="n">
        <v>3709</v>
      </c>
      <c r="D18" s="43" t="n">
        <v>2.46</v>
      </c>
      <c r="E18" s="44" t="n">
        <v>2.534</v>
      </c>
      <c r="F18" s="45">
        <f>(1-ABS(D18-E18)/D18)*100</f>
        <v/>
      </c>
      <c r="G18" s="44" t="n">
        <v>0.161</v>
      </c>
      <c r="H18" s="44" t="n">
        <v>0.163</v>
      </c>
      <c r="I18" s="45">
        <f>(1-ABS(G18-H18)/G18)*100</f>
        <v/>
      </c>
      <c r="J18" s="43" t="n">
        <v>1.06</v>
      </c>
      <c r="K18" s="44" t="n">
        <v>1.013</v>
      </c>
      <c r="L18" s="45">
        <f>(1-ABS(J18-K18)/J18)*100</f>
        <v/>
      </c>
      <c r="M18" s="43" t="n">
        <v>0.3</v>
      </c>
      <c r="N18" s="44" t="n">
        <v>0.273</v>
      </c>
      <c r="O18" s="45">
        <f>(1-ABS(M18-N18)/M18)*100</f>
        <v/>
      </c>
      <c r="P18" s="46" t="n"/>
      <c r="Q18" s="47" t="n">
        <v>0.646</v>
      </c>
      <c r="R18" s="43" t="n"/>
      <c r="S18" s="48" t="n">
        <v>12</v>
      </c>
      <c r="T18" s="46" t="n">
        <v>13.77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13/G</t>
        </is>
      </c>
      <c r="C19" s="42" t="n">
        <v>3549</v>
      </c>
      <c r="D19" s="43" t="n">
        <v>2.49</v>
      </c>
      <c r="E19" s="44" t="n">
        <v>2.584</v>
      </c>
      <c r="F19" s="45">
        <f>(1-ABS(D19-E19)/D19)*100</f>
        <v/>
      </c>
      <c r="G19" s="44" t="n">
        <v>0.15</v>
      </c>
      <c r="H19" s="44" t="n">
        <v>0.166</v>
      </c>
      <c r="I19" s="45">
        <f>(1-ABS(G19-H19)/G19)*100</f>
        <v/>
      </c>
      <c r="J19" s="43" t="n">
        <v>1.12</v>
      </c>
      <c r="K19" s="44" t="n">
        <v>1.034</v>
      </c>
      <c r="L19" s="45">
        <f>(1-ABS(J19-K19)/J19)*100</f>
        <v/>
      </c>
      <c r="M19" s="43" t="n">
        <v>0.37</v>
      </c>
      <c r="N19" s="44" t="n">
        <v>0.275</v>
      </c>
      <c r="O19" s="45">
        <f>(1-ABS(M19-N19)/M19)*100</f>
        <v/>
      </c>
      <c r="P19" s="46" t="n"/>
      <c r="Q19" s="47" t="n">
        <v>0.655</v>
      </c>
      <c r="R19" s="43" t="n"/>
      <c r="S19" s="48" t="n">
        <v>11</v>
      </c>
      <c r="T19" s="46" t="n">
        <v>14.2</v>
      </c>
      <c r="U19" s="45">
        <f>(1-ABS(S19-T19)/S19)*100</f>
        <v/>
      </c>
    </row>
    <row r="20">
      <c r="B20" s="41" t="inlineStr">
        <is>
          <t>13/J</t>
        </is>
      </c>
      <c r="C20" s="42" t="n">
        <v>4702</v>
      </c>
      <c r="D20" s="43" t="n">
        <v>2.54</v>
      </c>
      <c r="E20" s="44" t="n">
        <v>2.528</v>
      </c>
      <c r="F20" s="45">
        <f>(1-ABS(D20-E20)/D20)*100</f>
        <v/>
      </c>
      <c r="G20" s="44" t="n">
        <v>0.152</v>
      </c>
      <c r="H20" s="44" t="n">
        <v>0.163</v>
      </c>
      <c r="I20" s="45">
        <f>(1-ABS(G20-H20)/G20)*100</f>
        <v/>
      </c>
      <c r="J20" s="43" t="n">
        <v>1.15</v>
      </c>
      <c r="K20" s="44" t="n">
        <v>1.027</v>
      </c>
      <c r="L20" s="45">
        <f>(1-ABS(J20-K20)/J20)*100</f>
        <v/>
      </c>
      <c r="M20" s="43" t="n">
        <v>0.38</v>
      </c>
      <c r="N20" s="44" t="n">
        <v>0.285</v>
      </c>
      <c r="O20" s="45">
        <f>(1-ABS(M20-N20)/M20)*100</f>
        <v/>
      </c>
      <c r="P20" s="46" t="n"/>
      <c r="Q20" s="47" t="n">
        <v>0.645</v>
      </c>
      <c r="R20" s="43" t="n"/>
      <c r="S20" s="48" t="n">
        <v>11</v>
      </c>
      <c r="T20" s="46" t="n">
        <v>13.68</v>
      </c>
      <c r="U20" s="45">
        <f>(1-ABS(S20-T20)/S20)*100</f>
        <v/>
      </c>
    </row>
    <row r="21">
      <c r="B21" s="41" t="inlineStr">
        <is>
          <t>13/K</t>
        </is>
      </c>
      <c r="C21" s="42" t="n">
        <v>5408</v>
      </c>
      <c r="D21" s="43" t="n">
        <v>2.48</v>
      </c>
      <c r="E21" s="44" t="n">
        <v>2.445</v>
      </c>
      <c r="F21" s="45">
        <f>(1-ABS(D21-E21)/D21)*100</f>
        <v/>
      </c>
      <c r="G21" s="44" t="n">
        <v>0.15</v>
      </c>
      <c r="H21" s="44" t="n">
        <v>0.159</v>
      </c>
      <c r="I21" s="45">
        <f>(1-ABS(G21-H21)/G21)*100</f>
        <v/>
      </c>
      <c r="J21" s="43" t="n">
        <v>1.11</v>
      </c>
      <c r="K21" s="44" t="n">
        <v>0.992</v>
      </c>
      <c r="L21" s="45">
        <f>(1-ABS(J21-K21)/J21)*100</f>
        <v/>
      </c>
      <c r="M21" s="43" t="n">
        <v>0.33</v>
      </c>
      <c r="N21" s="44" t="n">
        <v>0.284</v>
      </c>
      <c r="O21" s="45">
        <f>(1-ABS(M21-N21)/M21)*100</f>
        <v/>
      </c>
      <c r="P21" s="46" t="n"/>
      <c r="Q21" s="47" t="n">
        <v>0.642</v>
      </c>
      <c r="R21" s="43" t="n"/>
      <c r="S21" s="48" t="n">
        <v>11</v>
      </c>
      <c r="T21" s="46" t="n">
        <v>12.49</v>
      </c>
      <c r="U21" s="45">
        <f>(1-ABS(S21-T21)/S21)*100</f>
        <v/>
      </c>
    </row>
    <row r="22" ht="35" customHeight="1">
      <c r="A22" s="49" t="inlineStr">
        <is>
          <t>AVG ACCURACY</t>
        </is>
      </c>
      <c r="F22" s="50">
        <f>AVERAGE(F7:F21)</f>
        <v/>
      </c>
      <c r="I22" s="50">
        <f>AVERAGE(I7:I21)</f>
        <v/>
      </c>
      <c r="L22" s="50">
        <f>AVERAGE(L7:L21)</f>
        <v/>
      </c>
      <c r="O22" s="50">
        <f>AVERAGE(O7:O21)</f>
        <v/>
      </c>
      <c r="R22" s="51" t="inlineStr">
        <is>
          <t>-</t>
        </is>
      </c>
      <c r="U22" s="50">
        <f>AVERAGE(U7:U21)</f>
        <v/>
      </c>
    </row>
    <row r="23" ht="40" customHeight="1">
      <c r="A23" s="52" t="inlineStr">
        <is>
          <t>Best result closer to 0</t>
        </is>
      </c>
      <c r="B23" s="41" t="inlineStr">
        <is>
          <t>R^2 (Coefficient of determination)</t>
        </is>
      </c>
      <c r="C23" s="53" t="n"/>
      <c r="D23" s="54">
        <f>RSQ(E7:E21, D7:D21)</f>
        <v/>
      </c>
      <c r="E23" s="55" t="n"/>
      <c r="F23" s="53" t="n"/>
      <c r="G23" s="54">
        <f>RSQ(H7:H21, G7:G21)</f>
        <v/>
      </c>
      <c r="H23" s="55" t="n"/>
      <c r="I23" s="53" t="n"/>
      <c r="J23" s="54">
        <f>RSQ(K7:K21, J7:J21)</f>
        <v/>
      </c>
      <c r="K23" s="55" t="n"/>
      <c r="L23" s="53" t="n"/>
      <c r="M23" s="54">
        <f>RSQ(N7:N21, M7:M21)</f>
        <v/>
      </c>
      <c r="N23" s="55" t="n"/>
      <c r="O23" s="53" t="n"/>
      <c r="P23" s="56" t="inlineStr">
        <is>
          <t>-</t>
        </is>
      </c>
      <c r="Q23" s="55" t="n"/>
      <c r="R23" s="53" t="n"/>
      <c r="S23" s="56">
        <f>RSQ(T7:T21, S7:S21)</f>
        <v/>
      </c>
      <c r="T23" s="55" t="n"/>
      <c r="U23" s="53" t="n"/>
    </row>
    <row r="24" ht="39" customHeight="1">
      <c r="A24" s="52" t="inlineStr">
        <is>
          <t>Best result closer to 1</t>
        </is>
      </c>
      <c r="B24" s="41" t="inlineStr">
        <is>
          <t>MAE (Average size of prediction errors)</t>
        </is>
      </c>
      <c r="C24" s="53" t="n"/>
      <c r="D24" s="54">
        <f>SUMPRODUCT(ABS(D7:D21-E7:E21))/COUNT(D7:D21)</f>
        <v/>
      </c>
      <c r="E24" s="55" t="n"/>
      <c r="F24" s="53" t="n"/>
      <c r="G24" s="54">
        <f>SUMPRODUCT(ABS(G7:G21-H7:H21))/COUNT(G7:G21)</f>
        <v/>
      </c>
      <c r="H24" s="55" t="n"/>
      <c r="I24" s="53" t="n"/>
      <c r="J24" s="54">
        <f>SUMPRODUCT(ABS(J7:J21-K7:K21))/COUNT(J7:J21)</f>
        <v/>
      </c>
      <c r="K24" s="55" t="n"/>
      <c r="L24" s="53" t="n"/>
      <c r="M24" s="54">
        <f>SUMPRODUCT(ABS(M7:M21-N7:N21))/COUNT(M7:M21)</f>
        <v/>
      </c>
      <c r="N24" s="55" t="n"/>
      <c r="O24" s="53" t="n"/>
      <c r="P24" s="56" t="inlineStr">
        <is>
          <t>-</t>
        </is>
      </c>
      <c r="Q24" s="55" t="n"/>
      <c r="R24" s="53" t="n"/>
      <c r="S24" s="56">
        <f>SUMPRODUCT(ABS(S7:S21-T7:T21))/COUNT(S7:S21)</f>
        <v/>
      </c>
      <c r="T24" s="55" t="n"/>
      <c r="U24" s="53" t="n"/>
    </row>
    <row r="25" ht="66" customHeight="1">
      <c r="A25" s="52" t="inlineStr">
        <is>
          <t>Best result closer to 1</t>
        </is>
      </c>
      <c r="B25" s="41" t="inlineStr">
        <is>
          <t>RMSE (Prediction error, with larger mistakes penalised more)</t>
        </is>
      </c>
      <c r="C25" s="53" t="n"/>
      <c r="D25" s="54">
        <f>SQRT(SUMXMY2(D7:D21, E7:E21)/COUNT(D7:D21))</f>
        <v/>
      </c>
      <c r="E25" s="55" t="n"/>
      <c r="F25" s="53" t="n"/>
      <c r="G25" s="54">
        <f>SQRT(SUMXMY2(G7:G21, H7:H21)/COUNT(G7:G21))</f>
        <v/>
      </c>
      <c r="H25" s="55" t="n"/>
      <c r="I25" s="53" t="n"/>
      <c r="J25" s="54">
        <f>SQRT(SUMXMY2(J7:J21, K7:K21)/COUNT(J7:J21))</f>
        <v/>
      </c>
      <c r="K25" s="55" t="n"/>
      <c r="L25" s="53" t="n"/>
      <c r="M25" s="54">
        <f>SQRT(SUMXMY2(M7:M21, N7:N21)/COUNT(M7:M21))</f>
        <v/>
      </c>
      <c r="N25" s="55" t="n"/>
      <c r="O25" s="53" t="n"/>
      <c r="P25" s="56" t="inlineStr">
        <is>
          <t>-</t>
        </is>
      </c>
      <c r="Q25" s="55" t="n"/>
      <c r="R25" s="53" t="n"/>
      <c r="S25" s="56">
        <f>SQRT(SUMXMY2(S7:S21, T7:T21)/COUNT(S7:S21))</f>
        <v/>
      </c>
      <c r="T25" s="55" t="n"/>
      <c r="U25" s="53" t="n"/>
    </row>
  </sheetData>
  <mergeCells count="31">
    <mergeCell ref="J24:L24"/>
    <mergeCell ref="B4:O4"/>
    <mergeCell ref="B25:C25"/>
    <mergeCell ref="S23:U23"/>
    <mergeCell ref="P23:R23"/>
    <mergeCell ref="M25:O25"/>
    <mergeCell ref="G24:I24"/>
    <mergeCell ref="J25:L25"/>
    <mergeCell ref="G5:I5"/>
    <mergeCell ref="S24:U24"/>
    <mergeCell ref="B23:C23"/>
    <mergeCell ref="D25:F25"/>
    <mergeCell ref="M24:O24"/>
    <mergeCell ref="D24:F24"/>
    <mergeCell ref="G25:I25"/>
    <mergeCell ref="S5:U5"/>
    <mergeCell ref="M23:O23"/>
    <mergeCell ref="D5:F5"/>
    <mergeCell ref="D23:F23"/>
    <mergeCell ref="P5:R5"/>
    <mergeCell ref="P24:R24"/>
    <mergeCell ref="J23:L23"/>
    <mergeCell ref="S25:U25"/>
    <mergeCell ref="B5:B6"/>
    <mergeCell ref="P4:U4"/>
    <mergeCell ref="J5:L5"/>
    <mergeCell ref="B24:C24"/>
    <mergeCell ref="P25:R25"/>
    <mergeCell ref="M5:O5"/>
    <mergeCell ref="G23:I23"/>
    <mergeCell ref="C5:C6"/>
  </mergeCells>
  <conditionalFormatting sqref="F7:F21 I7:I21 L7:L21 O7:O21 U7:U21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2026-10-15T07:47:40Z</dcterms:modified>
  <cp:lastModifiedBy>Siti Aisyah Jaafar</cp:lastModifiedBy>
</cp:coreProperties>
</file>