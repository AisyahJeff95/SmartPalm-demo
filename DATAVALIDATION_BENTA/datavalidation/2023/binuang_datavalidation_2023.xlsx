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180" yWindow="1880" windowWidth="28040" windowHeight="171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0.0000"/>
  </numFmts>
  <fonts count="6">
    <font>
      <name val="Aptos Narrow"/>
      <family val="2"/>
      <color theme="1"/>
      <sz val="12"/>
      <scheme val="minor"/>
    </font>
    <font>
      <name val="Aptos Narrow"/>
      <family val="2"/>
      <sz val="8"/>
      <scheme val="minor"/>
    </font>
    <font>
      <name val="Aptos Narrow"/>
      <family val="2"/>
      <color theme="1"/>
      <sz val="14"/>
      <scheme val="minor"/>
    </font>
    <font>
      <name val="Aptos Narrow"/>
      <family val="2"/>
      <color theme="1"/>
      <sz val="18"/>
      <scheme val="minor"/>
    </font>
    <font>
      <name val="Aptos Narrow"/>
      <family val="2"/>
      <color theme="1"/>
      <sz val="20"/>
      <scheme val="minor"/>
    </font>
    <font>
      <name val="Aptos Narrow"/>
      <sz val="12"/>
    </font>
  </fonts>
  <fills count="9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  <fill>
      <patternFill patternType="solid">
        <fgColor rgb="FFFFFF00"/>
        <bgColor rgb="FFFFFF00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/>
      <right/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2" borderId="4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center" vertical="center" wrapText="1"/>
    </xf>
    <xf numFmtId="0" fontId="0" fillId="5" borderId="3" applyAlignment="1" pivotButton="0" quotePrefix="0" xfId="0">
      <alignment horizontal="center" vertical="center" wrapText="1"/>
    </xf>
    <xf numFmtId="0" fontId="0" fillId="5" borderId="5" applyAlignment="1" pivotButton="0" quotePrefix="0" xfId="0">
      <alignment horizontal="center" vertical="center" wrapText="1"/>
    </xf>
    <xf numFmtId="0" fontId="0" fillId="5" borderId="7" applyAlignment="1" pivotButton="0" quotePrefix="0" xfId="0">
      <alignment horizontal="center" vertical="center" wrapText="1"/>
    </xf>
    <xf numFmtId="0" fontId="0" fillId="5" borderId="8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4" pivotButton="0" quotePrefix="0" xfId="0"/>
    <xf numFmtId="0" fontId="4" fillId="0" borderId="15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11" pivotButton="0" quotePrefix="0" xfId="0"/>
    <xf numFmtId="0" fontId="0" fillId="0" borderId="16" applyAlignment="1" pivotButton="0" quotePrefix="0" xfId="0">
      <alignment horizontal="center" vertical="center"/>
    </xf>
    <xf numFmtId="3" fontId="0" fillId="0" borderId="16" applyAlignment="1" pivotButton="0" quotePrefix="0" xfId="0">
      <alignment horizontal="center" vertical="center"/>
    </xf>
    <xf numFmtId="2" fontId="0" fillId="0" borderId="16" applyAlignment="1" pivotButton="0" quotePrefix="0" xfId="0">
      <alignment horizontal="center" vertical="center"/>
    </xf>
    <xf numFmtId="164" fontId="0" fillId="0" borderId="16" applyAlignment="1" pivotButton="0" quotePrefix="0" xfId="0">
      <alignment horizontal="center" vertical="center"/>
    </xf>
    <xf numFmtId="2" fontId="0" fillId="6" borderId="16" applyAlignment="1" pivotButton="0" quotePrefix="0" xfId="0">
      <alignment horizontal="center" vertical="center"/>
    </xf>
    <xf numFmtId="2" fontId="0" fillId="5" borderId="16" applyAlignment="1" pivotButton="0" quotePrefix="0" xfId="0">
      <alignment horizontal="center" vertical="center"/>
    </xf>
    <xf numFmtId="164" fontId="0" fillId="5" borderId="16" applyAlignment="1" pivotButton="0" quotePrefix="0" xfId="0">
      <alignment horizontal="center" vertical="center"/>
    </xf>
    <xf numFmtId="165" fontId="0" fillId="5" borderId="16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2" fontId="5" fillId="7" borderId="16" applyAlignment="1" pivotButton="0" quotePrefix="0" xfId="0">
      <alignment horizontal="center" vertical="center"/>
    </xf>
    <xf numFmtId="2" fontId="5" fillId="0" borderId="16" applyAlignment="1" pivotButton="0" quotePrefix="0" xfId="0">
      <alignment horizontal="center" vertical="center"/>
    </xf>
    <xf numFmtId="2" fontId="5" fillId="8" borderId="16" applyAlignment="1" pivotButton="0" quotePrefix="0" xfId="0">
      <alignment horizontal="center" vertical="center"/>
    </xf>
    <xf numFmtId="0" fontId="0" fillId="2" borderId="16" applyAlignment="1" pivotButton="0" quotePrefix="0" xfId="0">
      <alignment horizontal="center" vertical="center"/>
    </xf>
    <xf numFmtId="0" fontId="0" fillId="0" borderId="19" pivotButton="0" quotePrefix="0" xfId="0"/>
    <xf numFmtId="166" fontId="0" fillId="0" borderId="16" applyAlignment="1" pivotButton="0" quotePrefix="0" xfId="0">
      <alignment horizontal="center" vertical="center"/>
    </xf>
    <xf numFmtId="0" fontId="0" fillId="0" borderId="20" pivotButton="0" quotePrefix="0" xfId="0"/>
    <xf numFmtId="166" fontId="0" fillId="5" borderId="16" applyAlignment="1" pivotButton="0" quotePrefix="0" xfId="0">
      <alignment horizontal="center" vertical="center"/>
    </xf>
  </cellXfs>
  <cellStyles count="1">
    <cellStyle name="Normal" xfId="0" builtinId="0"/>
  </cellStyles>
  <dxfs count="1">
    <dxf>
      <font>
        <name val="Aptos Narrow"/>
        <color rgb="FF7F6000"/>
        <sz val="12"/>
      </font>
      <fill>
        <patternFill patternType="solid">
          <fgColor rgb="FFFFF2CC"/>
          <bgColor rgb="FFFFF2C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U20"/>
  <sheetViews>
    <sheetView tabSelected="1" zoomScale="90" zoomScaleNormal="90" workbookViewId="0">
      <selection activeCell="K24" sqref="K24"/>
    </sheetView>
  </sheetViews>
  <sheetFormatPr baseColWidth="10" defaultRowHeight="16"/>
  <cols>
    <col width="10.83203125" customWidth="1" style="3" min="1" max="16384"/>
  </cols>
  <sheetData>
    <row r="4">
      <c r="B4" s="3" t="n"/>
      <c r="P4" s="28" t="inlineStr">
        <is>
          <t>On-going Research for Ca and B Models</t>
        </is>
      </c>
      <c r="Q4" s="35" t="n"/>
      <c r="R4" s="35" t="n"/>
      <c r="S4" s="35" t="n"/>
      <c r="T4" s="35" t="n"/>
      <c r="U4" s="36" t="n"/>
    </row>
    <row r="5" ht="34" customHeight="1">
      <c r="B5" s="37" t="inlineStr">
        <is>
          <t>Plot</t>
        </is>
      </c>
      <c r="C5" s="38" t="inlineStr">
        <is>
          <t>Pixels sampled</t>
        </is>
      </c>
      <c r="D5" s="20" t="inlineStr">
        <is>
          <t>N</t>
        </is>
      </c>
      <c r="E5" s="35" t="n"/>
      <c r="F5" s="36" t="n"/>
      <c r="G5" s="20" t="inlineStr">
        <is>
          <t>P (%)</t>
        </is>
      </c>
      <c r="H5" s="35" t="n"/>
      <c r="I5" s="36" t="n"/>
      <c r="J5" s="20" t="inlineStr">
        <is>
          <t>K (%)</t>
        </is>
      </c>
      <c r="K5" s="35" t="n"/>
      <c r="L5" s="36" t="n"/>
      <c r="M5" s="20" t="inlineStr">
        <is>
          <t>Mg (%)</t>
        </is>
      </c>
      <c r="N5" s="35" t="n"/>
      <c r="O5" s="36" t="n"/>
      <c r="P5" s="27" t="inlineStr">
        <is>
          <t>Ca (%)</t>
        </is>
      </c>
      <c r="Q5" s="35" t="n"/>
      <c r="R5" s="36" t="n"/>
      <c r="S5" s="27" t="inlineStr">
        <is>
          <t>B (%)</t>
        </is>
      </c>
      <c r="T5" s="35" t="n"/>
      <c r="U5" s="36" t="n"/>
    </row>
    <row r="6" ht="34" customHeight="1">
      <c r="B6" s="39" t="n"/>
      <c r="C6" s="40" t="n"/>
      <c r="D6" s="8" t="inlineStr">
        <is>
          <t>Lab Actual (%)</t>
        </is>
      </c>
      <c r="E6" s="25" t="inlineStr">
        <is>
          <t>Prediction (%)</t>
        </is>
      </c>
      <c r="F6" s="15" t="inlineStr">
        <is>
          <t>Accuracy (%)</t>
        </is>
      </c>
      <c r="G6" s="8" t="inlineStr">
        <is>
          <t>Lab Actual (%)</t>
        </is>
      </c>
      <c r="H6" s="25" t="inlineStr">
        <is>
          <t>Prediction (%)</t>
        </is>
      </c>
      <c r="I6" s="15" t="inlineStr">
        <is>
          <t>Accuracy (%)</t>
        </is>
      </c>
      <c r="J6" s="8" t="inlineStr">
        <is>
          <t>Lab Actual (%)</t>
        </is>
      </c>
      <c r="K6" s="25" t="inlineStr">
        <is>
          <t>Prediction (%)</t>
        </is>
      </c>
      <c r="L6" s="15" t="inlineStr">
        <is>
          <t>Accuracy (%)</t>
        </is>
      </c>
      <c r="M6" s="8" t="inlineStr">
        <is>
          <t>Lab Actual (%)</t>
        </is>
      </c>
      <c r="N6" s="25" t="inlineStr">
        <is>
          <t>Prediction (%)</t>
        </is>
      </c>
      <c r="O6" s="15" t="inlineStr">
        <is>
          <t>Accuracy (%)</t>
        </is>
      </c>
      <c r="P6" s="28" t="inlineStr">
        <is>
          <t>Lab Actual (%)</t>
        </is>
      </c>
      <c r="Q6" s="28" t="inlineStr">
        <is>
          <t>Prediction (%)</t>
        </is>
      </c>
      <c r="R6" s="15" t="inlineStr">
        <is>
          <t>Accuracy (%)</t>
        </is>
      </c>
      <c r="S6" s="28" t="inlineStr">
        <is>
          <t>Lab Actual (%)</t>
        </is>
      </c>
      <c r="T6" s="28" t="inlineStr">
        <is>
          <t>Prediction (%)</t>
        </is>
      </c>
      <c r="U6" s="15" t="inlineStr">
        <is>
          <t>Accuracy (%)</t>
        </is>
      </c>
    </row>
    <row r="7">
      <c r="B7" s="41" t="inlineStr">
        <is>
          <t>08/11</t>
        </is>
      </c>
      <c r="C7" s="42" t="n">
        <v>3388</v>
      </c>
      <c r="D7" s="43" t="n">
        <v>2.64</v>
      </c>
      <c r="E7" s="44" t="n">
        <v>2.537</v>
      </c>
      <c r="F7" s="45">
        <f>(1-ABS(D7-E7)/D7)*100</f>
        <v/>
      </c>
      <c r="G7" s="44" t="n">
        <v>0.164</v>
      </c>
      <c r="H7" s="44" t="n">
        <v>0.163</v>
      </c>
      <c r="I7" s="45">
        <f>(1-ABS(G7-H7)/G7)*100</f>
        <v/>
      </c>
      <c r="J7" s="43" t="n">
        <v>1.09</v>
      </c>
      <c r="K7" s="44" t="n">
        <v>0.994</v>
      </c>
      <c r="L7" s="45">
        <f>(1-ABS(J7-K7)/J7)*100</f>
        <v/>
      </c>
      <c r="M7" s="43" t="n">
        <v>0.31</v>
      </c>
      <c r="N7" s="44" t="n">
        <v>0.257</v>
      </c>
      <c r="O7" s="45">
        <f>(1-ABS(M7-N7)/M7)*100</f>
        <v/>
      </c>
      <c r="P7" s="46" t="n"/>
      <c r="Q7" s="47" t="n">
        <v>0.638</v>
      </c>
      <c r="R7" s="43" t="n"/>
      <c r="S7" s="48" t="n">
        <v>14</v>
      </c>
      <c r="T7" s="46" t="n">
        <v>14.14</v>
      </c>
      <c r="U7" s="45">
        <f>(1-ABS(S7-T7)/S7)*100</f>
        <v/>
      </c>
    </row>
    <row r="8">
      <c r="B8" s="41" t="inlineStr">
        <is>
          <t>08/12</t>
        </is>
      </c>
      <c r="C8" s="42" t="n">
        <v>3411</v>
      </c>
      <c r="D8" s="43" t="n">
        <v>2.61</v>
      </c>
      <c r="E8" s="44" t="n">
        <v>2.535</v>
      </c>
      <c r="F8" s="45">
        <f>(1-ABS(D8-E8)/D8)*100</f>
        <v/>
      </c>
      <c r="G8" s="44" t="n">
        <v>0.162</v>
      </c>
      <c r="H8" s="44" t="n">
        <v>0.163</v>
      </c>
      <c r="I8" s="45">
        <f>(1-ABS(G8-H8)/G8)*100</f>
        <v/>
      </c>
      <c r="J8" s="43" t="n">
        <v>1.09</v>
      </c>
      <c r="K8" s="44" t="n">
        <v>0.998</v>
      </c>
      <c r="L8" s="45">
        <f>(1-ABS(J8-K8)/J8)*100</f>
        <v/>
      </c>
      <c r="M8" s="43" t="n">
        <v>0.32</v>
      </c>
      <c r="N8" s="44" t="n">
        <v>0.26</v>
      </c>
      <c r="O8" s="45">
        <f>(1-ABS(M8-N8)/M8)*100</f>
        <v/>
      </c>
      <c r="P8" s="46" t="n"/>
      <c r="Q8" s="47" t="n">
        <v>0.632</v>
      </c>
      <c r="R8" s="43" t="n"/>
      <c r="S8" s="48" t="n">
        <v>14</v>
      </c>
      <c r="T8" s="46" t="n">
        <v>14.04</v>
      </c>
      <c r="U8" s="45">
        <f>(1-ABS(S8-T8)/S8)*100</f>
        <v/>
      </c>
    </row>
    <row r="9">
      <c r="B9" s="41" t="inlineStr">
        <is>
          <t>10/21</t>
        </is>
      </c>
      <c r="C9" s="42" t="n">
        <v>4331</v>
      </c>
      <c r="D9" s="43" t="n">
        <v>2.61</v>
      </c>
      <c r="E9" s="44" t="n">
        <v>2.206</v>
      </c>
      <c r="F9" s="45">
        <f>(1-ABS(D9-E9)/D9)*100</f>
        <v/>
      </c>
      <c r="G9" s="44" t="n">
        <v>0.154</v>
      </c>
      <c r="H9" s="44" t="n">
        <v>0.144</v>
      </c>
      <c r="I9" s="45">
        <f>(1-ABS(G9-H9)/G9)*100</f>
        <v/>
      </c>
      <c r="J9" s="43" t="n">
        <v>1.17</v>
      </c>
      <c r="K9" s="44" t="n">
        <v>0.884</v>
      </c>
      <c r="L9" s="45">
        <f>(1-ABS(J9-K9)/J9)*100</f>
        <v/>
      </c>
      <c r="M9" s="43" t="n">
        <v>0.32</v>
      </c>
      <c r="N9" s="44" t="n">
        <v>0.289</v>
      </c>
      <c r="O9" s="45">
        <f>(1-ABS(M9-N9)/M9)*100</f>
        <v/>
      </c>
      <c r="P9" s="46" t="n"/>
      <c r="Q9" s="47" t="n">
        <v>0.615</v>
      </c>
      <c r="R9" s="43" t="n"/>
      <c r="S9" s="48" t="n">
        <v>14</v>
      </c>
      <c r="T9" s="46" t="n">
        <v>9.449999999999999</v>
      </c>
      <c r="U9" s="45">
        <f>(1-ABS(S9-T9)/S9)*100</f>
        <v/>
      </c>
    </row>
    <row r="10">
      <c r="B10" s="41" t="inlineStr">
        <is>
          <t>11/28</t>
        </is>
      </c>
      <c r="C10" s="42" t="n">
        <v>5031</v>
      </c>
      <c r="D10" s="43" t="n">
        <v>2.48</v>
      </c>
      <c r="E10" s="44" t="n">
        <v>2.469</v>
      </c>
      <c r="F10" s="45">
        <f>(1-ABS(D10-E10)/D10)*100</f>
        <v/>
      </c>
      <c r="G10" s="44" t="n">
        <v>0.156</v>
      </c>
      <c r="H10" s="44" t="n">
        <v>0.162</v>
      </c>
      <c r="I10" s="45">
        <f>(1-ABS(G10-H10)/G10)*100</f>
        <v/>
      </c>
      <c r="J10" s="43" t="n">
        <v>0.95</v>
      </c>
      <c r="K10" s="44" t="n">
        <v>1.004</v>
      </c>
      <c r="L10" s="45">
        <f>(1-ABS(J10-K10)/J10)*100</f>
        <v/>
      </c>
      <c r="M10" s="43" t="n">
        <v>0.32</v>
      </c>
      <c r="N10" s="44" t="n">
        <v>0.304</v>
      </c>
      <c r="O10" s="45">
        <f>(1-ABS(M10-N10)/M10)*100</f>
        <v/>
      </c>
      <c r="P10" s="46" t="n"/>
      <c r="Q10" s="47" t="n">
        <v>0.665</v>
      </c>
      <c r="R10" s="43" t="n"/>
      <c r="S10" s="48" t="n">
        <v>16</v>
      </c>
      <c r="T10" s="46" t="n">
        <v>11.58</v>
      </c>
      <c r="U10" s="45">
        <f>(1-ABS(S10-T10)/S10)*100</f>
        <v/>
      </c>
    </row>
    <row r="11">
      <c r="B11" s="41" t="inlineStr">
        <is>
          <t>12/12</t>
        </is>
      </c>
      <c r="C11" s="42" t="n">
        <v>5747</v>
      </c>
      <c r="D11" s="43" t="n">
        <v>2.47</v>
      </c>
      <c r="E11" s="44" t="n">
        <v>2.432</v>
      </c>
      <c r="F11" s="45">
        <f>(1-ABS(D11-E11)/D11)*100</f>
        <v/>
      </c>
      <c r="G11" s="44" t="n">
        <v>0.157</v>
      </c>
      <c r="H11" s="44" t="n">
        <v>0.16</v>
      </c>
      <c r="I11" s="45">
        <f>(1-ABS(G11-H11)/G11)*100</f>
        <v/>
      </c>
      <c r="J11" s="43" t="n">
        <v>0.93</v>
      </c>
      <c r="K11" s="44" t="n">
        <v>0.978</v>
      </c>
      <c r="L11" s="45">
        <f>(1-ABS(J11-K11)/J11)*100</f>
        <v/>
      </c>
      <c r="M11" s="43" t="n">
        <v>0.35</v>
      </c>
      <c r="N11" s="44" t="n">
        <v>0.31</v>
      </c>
      <c r="O11" s="45">
        <f>(1-ABS(M11-N11)/M11)*100</f>
        <v/>
      </c>
      <c r="P11" s="46" t="n"/>
      <c r="Q11" s="47" t="n">
        <v>0.67</v>
      </c>
      <c r="R11" s="43" t="n"/>
      <c r="S11" s="48" t="n">
        <v>17</v>
      </c>
      <c r="T11" s="46" t="n">
        <v>10.99</v>
      </c>
      <c r="U11" s="45">
        <f>(1-ABS(S11-T11)/S11)*100</f>
        <v/>
      </c>
    </row>
    <row r="12">
      <c r="B12" s="41" t="inlineStr">
        <is>
          <t>12/13</t>
        </is>
      </c>
      <c r="C12" s="42" t="n">
        <v>5755</v>
      </c>
      <c r="D12" s="43" t="n">
        <v>2.55</v>
      </c>
      <c r="E12" s="44" t="n">
        <v>2.463</v>
      </c>
      <c r="F12" s="45">
        <f>(1-ABS(D12-E12)/D12)*100</f>
        <v/>
      </c>
      <c r="G12" s="44" t="n">
        <v>0.159</v>
      </c>
      <c r="H12" s="44" t="n">
        <v>0.162</v>
      </c>
      <c r="I12" s="45">
        <f>(1-ABS(G12-H12)/G12)*100</f>
        <v/>
      </c>
      <c r="J12" s="43" t="n">
        <v>1.14</v>
      </c>
      <c r="K12" s="44" t="n">
        <v>0.995</v>
      </c>
      <c r="L12" s="45">
        <f>(1-ABS(J12-K12)/J12)*100</f>
        <v/>
      </c>
      <c r="M12" s="43" t="n">
        <v>0.28</v>
      </c>
      <c r="N12" s="44" t="n">
        <v>0.302</v>
      </c>
      <c r="O12" s="45">
        <f>(1-ABS(M12-N12)/M12)*100</f>
        <v/>
      </c>
      <c r="P12" s="46" t="n"/>
      <c r="Q12" s="47" t="n">
        <v>0.667</v>
      </c>
      <c r="R12" s="43" t="n"/>
      <c r="S12" s="48" t="n">
        <v>13</v>
      </c>
      <c r="T12" s="46" t="n">
        <v>11.26</v>
      </c>
      <c r="U12" s="45">
        <f>(1-ABS(S12-T12)/S12)*100</f>
        <v/>
      </c>
    </row>
    <row r="13">
      <c r="B13" s="41" t="inlineStr">
        <is>
          <t>12/14</t>
        </is>
      </c>
      <c r="C13" s="42" t="n">
        <v>4158</v>
      </c>
      <c r="D13" s="43" t="n">
        <v>2.57</v>
      </c>
      <c r="E13" s="44" t="n">
        <v>2.421</v>
      </c>
      <c r="F13" s="45">
        <f>(1-ABS(D13-E13)/D13)*100</f>
        <v/>
      </c>
      <c r="G13" s="44" t="n">
        <v>0.166</v>
      </c>
      <c r="H13" s="44" t="n">
        <v>0.158</v>
      </c>
      <c r="I13" s="45">
        <f>(1-ABS(G13-H13)/G13)*100</f>
        <v/>
      </c>
      <c r="J13" s="43" t="n">
        <v>1.05</v>
      </c>
      <c r="K13" s="44" t="n">
        <v>0.975</v>
      </c>
      <c r="L13" s="45">
        <f>(1-ABS(J13-K13)/J13)*100</f>
        <v/>
      </c>
      <c r="M13" s="43" t="n">
        <v>0.27</v>
      </c>
      <c r="N13" s="44" t="n">
        <v>0.281</v>
      </c>
      <c r="O13" s="45">
        <f>(1-ABS(M13-N13)/M13)*100</f>
        <v/>
      </c>
      <c r="P13" s="46" t="n"/>
      <c r="Q13" s="47" t="n">
        <v>0.641</v>
      </c>
      <c r="R13" s="43" t="n"/>
      <c r="S13" s="48" t="n">
        <v>13</v>
      </c>
      <c r="T13" s="46" t="n">
        <v>11.16</v>
      </c>
      <c r="U13" s="45">
        <f>(1-ABS(S13-T13)/S13)*100</f>
        <v/>
      </c>
    </row>
    <row r="14">
      <c r="B14" s="41" t="inlineStr">
        <is>
          <t>13/12</t>
        </is>
      </c>
      <c r="C14" s="42" t="n">
        <v>11577</v>
      </c>
      <c r="D14" s="43" t="n">
        <v>2.69</v>
      </c>
      <c r="E14" s="44" t="n">
        <v>2.487</v>
      </c>
      <c r="F14" s="45">
        <f>(1-ABS(D14-E14)/D14)*100</f>
        <v/>
      </c>
      <c r="G14" s="44" t="n">
        <v>0.157</v>
      </c>
      <c r="H14" s="44" t="n">
        <v>0.163</v>
      </c>
      <c r="I14" s="45">
        <f>(1-ABS(G14-H14)/G14)*100</f>
        <v/>
      </c>
      <c r="J14" s="43" t="n">
        <v>0.9399999999999999</v>
      </c>
      <c r="K14" s="44" t="n">
        <v>1.008</v>
      </c>
      <c r="L14" s="45">
        <f>(1-ABS(J14-K14)/J14)*100</f>
        <v/>
      </c>
      <c r="M14" s="43" t="n">
        <v>0.31</v>
      </c>
      <c r="N14" s="44" t="n">
        <v>0.303</v>
      </c>
      <c r="O14" s="45">
        <f>(1-ABS(M14-N14)/M14)*100</f>
        <v/>
      </c>
      <c r="P14" s="46" t="n"/>
      <c r="Q14" s="47" t="n">
        <v>0.668</v>
      </c>
      <c r="R14" s="43" t="n"/>
      <c r="S14" s="48" t="n">
        <v>17</v>
      </c>
      <c r="T14" s="46" t="n">
        <v>11.54</v>
      </c>
      <c r="U14" s="45">
        <f>(1-ABS(S14-T14)/S14)*100</f>
        <v/>
      </c>
    </row>
    <row r="15">
      <c r="B15" s="41" t="inlineStr">
        <is>
          <t>13/13</t>
        </is>
      </c>
      <c r="C15" s="42" t="n">
        <v>5746</v>
      </c>
      <c r="D15" s="43" t="n">
        <v>2.68</v>
      </c>
      <c r="E15" s="44" t="n">
        <v>2</v>
      </c>
      <c r="F15" s="45">
        <f>(1-ABS(D15-E15)/D15)*100</f>
        <v/>
      </c>
      <c r="G15" s="44" t="n">
        <v>0.168</v>
      </c>
      <c r="H15" s="44" t="n">
        <v>0.132</v>
      </c>
      <c r="I15" s="45">
        <f>(1-ABS(G15-H15)/G15)*100</f>
        <v/>
      </c>
      <c r="J15" s="43" t="n">
        <v>1.15</v>
      </c>
      <c r="K15" s="44" t="n">
        <v>0.778</v>
      </c>
      <c r="L15" s="45">
        <f>(1-ABS(J15-K15)/J15)*100</f>
        <v/>
      </c>
      <c r="M15" s="43" t="n">
        <v>0.28</v>
      </c>
      <c r="N15" s="44" t="n">
        <v>0.27</v>
      </c>
      <c r="O15" s="45">
        <f>(1-ABS(M15-N15)/M15)*100</f>
        <v/>
      </c>
      <c r="P15" s="46" t="n"/>
      <c r="Q15" s="47" t="n">
        <v>0.585</v>
      </c>
      <c r="R15" s="43" t="n"/>
      <c r="S15" s="48" t="n">
        <v>13</v>
      </c>
      <c r="T15" s="46" t="n">
        <v>7.73</v>
      </c>
      <c r="U15" s="45">
        <f>(1-ABS(S15-T15)/S15)*100</f>
        <v/>
      </c>
    </row>
    <row r="16">
      <c r="B16" s="41" t="inlineStr">
        <is>
          <t>13/14</t>
        </is>
      </c>
      <c r="C16" s="42" t="n">
        <v>6198</v>
      </c>
      <c r="D16" s="43" t="n">
        <v>2.52</v>
      </c>
      <c r="E16" s="44" t="n">
        <v>1.713</v>
      </c>
      <c r="F16" s="45">
        <f>(1-ABS(D16-E16)/D16)*100</f>
        <v/>
      </c>
      <c r="G16" s="44" t="n">
        <v>0.151</v>
      </c>
      <c r="H16" s="44" t="n">
        <v>0.108</v>
      </c>
      <c r="I16" s="45">
        <f>(1-ABS(G16-H16)/G16)*100</f>
        <v/>
      </c>
      <c r="J16" s="43" t="n">
        <v>0.9399999999999999</v>
      </c>
      <c r="K16" s="44" t="n">
        <v>0.652</v>
      </c>
      <c r="L16" s="45">
        <f>(1-ABS(J16-K16)/J16)*100</f>
        <v/>
      </c>
      <c r="M16" s="43" t="n">
        <v>0.3</v>
      </c>
      <c r="N16" s="44" t="n">
        <v>0.238</v>
      </c>
      <c r="O16" s="45">
        <f>(1-ABS(M16-N16)/M16)*100</f>
        <v/>
      </c>
      <c r="P16" s="46" t="n"/>
      <c r="Q16" s="47" t="n">
        <v>0.473</v>
      </c>
      <c r="R16" s="43" t="n"/>
      <c r="S16" s="48" t="n">
        <v>15</v>
      </c>
      <c r="T16" s="46" t="n">
        <v>6.36</v>
      </c>
      <c r="U16" s="45">
        <f>(1-ABS(S16-T16)/S16)*100</f>
        <v/>
      </c>
    </row>
    <row r="17" ht="35" customHeight="1">
      <c r="A17" s="49" t="inlineStr">
        <is>
          <t>AVG ACCURACY</t>
        </is>
      </c>
      <c r="B17" s="8" t="inlineStr">
        <is>
          <t>R^2 (Coefficient of determination)</t>
        </is>
      </c>
      <c r="D17" s="8" t="n"/>
      <c r="F17" s="50">
        <f>AVERAGE(F7:F16)</f>
        <v/>
      </c>
      <c r="G17" s="8" t="n"/>
      <c r="I17" s="50">
        <f>AVERAGE(I7:I16)</f>
        <v/>
      </c>
      <c r="J17" s="8" t="n"/>
      <c r="L17" s="50">
        <f>AVERAGE(L7:L16)</f>
        <v/>
      </c>
      <c r="M17" s="8" t="n"/>
      <c r="O17" s="50">
        <f>AVERAGE(O7:O16)</f>
        <v/>
      </c>
      <c r="P17" s="28" t="n"/>
      <c r="R17" s="51" t="inlineStr">
        <is>
          <t>-</t>
        </is>
      </c>
      <c r="S17" s="28" t="n"/>
      <c r="U17" s="52">
        <f>AVERAGE(U7:U16)</f>
        <v/>
      </c>
    </row>
    <row r="18" ht="40" customHeight="1">
      <c r="A18" s="53" t="inlineStr">
        <is>
          <t>Best result closer to 0</t>
        </is>
      </c>
      <c r="B18" s="41" t="inlineStr">
        <is>
          <t>R^2 (Coefficient of determination)</t>
        </is>
      </c>
      <c r="C18" s="54" t="n"/>
      <c r="D18" s="55">
        <f>RSQ(E7:E16, D7:D16)</f>
        <v/>
      </c>
      <c r="E18" s="56" t="n"/>
      <c r="F18" s="54" t="n"/>
      <c r="G18" s="55">
        <f>RSQ(H7:H16, G7:G16)</f>
        <v/>
      </c>
      <c r="H18" s="56" t="n"/>
      <c r="I18" s="54" t="n"/>
      <c r="J18" s="55">
        <f>RSQ(K7:K16, J7:J16)</f>
        <v/>
      </c>
      <c r="K18" s="56" t="n"/>
      <c r="L18" s="54" t="n"/>
      <c r="M18" s="55">
        <f>RSQ(N7:N16, M7:M16)</f>
        <v/>
      </c>
      <c r="N18" s="56" t="n"/>
      <c r="O18" s="54" t="n"/>
      <c r="P18" s="57" t="inlineStr">
        <is>
          <t>-</t>
        </is>
      </c>
      <c r="Q18" s="56" t="n"/>
      <c r="R18" s="54" t="n"/>
      <c r="S18" s="57">
        <f>RSQ(T7:T16, S7:S16)</f>
        <v/>
      </c>
      <c r="T18" s="56" t="n"/>
      <c r="U18" s="54" t="n"/>
    </row>
    <row r="19" ht="39" customHeight="1">
      <c r="A19" s="53" t="inlineStr">
        <is>
          <t>Best result closer to 1</t>
        </is>
      </c>
      <c r="B19" s="41" t="inlineStr">
        <is>
          <t>MAE (Average size of prediction errors)</t>
        </is>
      </c>
      <c r="C19" s="54" t="n"/>
      <c r="D19" s="55">
        <f>SUMPRODUCT(ABS(D7:D16-E7:E16))/COUNT(D7:D16)</f>
        <v/>
      </c>
      <c r="E19" s="56" t="n"/>
      <c r="F19" s="54" t="n"/>
      <c r="G19" s="55">
        <f>SUMPRODUCT(ABS(G7:G16-H7:H16))/COUNT(G7:G16)</f>
        <v/>
      </c>
      <c r="H19" s="56" t="n"/>
      <c r="I19" s="54" t="n"/>
      <c r="J19" s="55">
        <f>SUMPRODUCT(ABS(J7:J16-K7:K16))/COUNT(J7:J16)</f>
        <v/>
      </c>
      <c r="K19" s="56" t="n"/>
      <c r="L19" s="54" t="n"/>
      <c r="M19" s="55">
        <f>SUMPRODUCT(ABS(M7:M16-N7:N16))/COUNT(M7:M16)</f>
        <v/>
      </c>
      <c r="N19" s="56" t="n"/>
      <c r="O19" s="54" t="n"/>
      <c r="P19" s="57" t="inlineStr">
        <is>
          <t>-</t>
        </is>
      </c>
      <c r="Q19" s="56" t="n"/>
      <c r="R19" s="54" t="n"/>
      <c r="S19" s="57">
        <f>SUMPRODUCT(ABS(S7:S16-T7:T16))/COUNT(S7:S16)</f>
        <v/>
      </c>
      <c r="T19" s="56" t="n"/>
      <c r="U19" s="54" t="n"/>
    </row>
    <row r="20" ht="66" customHeight="1">
      <c r="A20" s="53" t="inlineStr">
        <is>
          <t>Best result closer to 1</t>
        </is>
      </c>
      <c r="B20" s="41" t="inlineStr">
        <is>
          <t>RMSE (Prediction error, with larger mistakes penalised more)</t>
        </is>
      </c>
      <c r="C20" s="54" t="n"/>
      <c r="D20" s="55">
        <f>SQRT(SUMXMY2(D7:D16, E7:E16)/COUNT(D7:D16))</f>
        <v/>
      </c>
      <c r="E20" s="56" t="n"/>
      <c r="F20" s="54" t="n"/>
      <c r="G20" s="55">
        <f>SQRT(SUMXMY2(G7:G16, H7:H16)/COUNT(G7:G16))</f>
        <v/>
      </c>
      <c r="H20" s="56" t="n"/>
      <c r="I20" s="54" t="n"/>
      <c r="J20" s="55">
        <f>SQRT(SUMXMY2(J7:J16, K7:K16)/COUNT(J7:J16))</f>
        <v/>
      </c>
      <c r="K20" s="56" t="n"/>
      <c r="L20" s="54" t="n"/>
      <c r="M20" s="55">
        <f>SQRT(SUMXMY2(M7:M16, N7:N16)/COUNT(M7:M16))</f>
        <v/>
      </c>
      <c r="N20" s="56" t="n"/>
      <c r="O20" s="54" t="n"/>
      <c r="P20" s="57" t="inlineStr">
        <is>
          <t>-</t>
        </is>
      </c>
      <c r="Q20" s="56" t="n"/>
      <c r="R20" s="54" t="n"/>
      <c r="S20" s="57">
        <f>SQRT(SUMXMY2(S7:S16, T7:T16)/COUNT(S7:S16))</f>
        <v/>
      </c>
      <c r="T20" s="56" t="n"/>
      <c r="U20" s="54" t="n"/>
    </row>
  </sheetData>
  <mergeCells count="31">
    <mergeCell ref="B4:O4"/>
    <mergeCell ref="G19:I19"/>
    <mergeCell ref="G18:I18"/>
    <mergeCell ref="J20:L20"/>
    <mergeCell ref="B18:C18"/>
    <mergeCell ref="S19:U19"/>
    <mergeCell ref="G5:I5"/>
    <mergeCell ref="P19:R19"/>
    <mergeCell ref="M18:O18"/>
    <mergeCell ref="D18:F18"/>
    <mergeCell ref="P18:R18"/>
    <mergeCell ref="G20:I20"/>
    <mergeCell ref="S20:U20"/>
    <mergeCell ref="S5:U5"/>
    <mergeCell ref="D5:F5"/>
    <mergeCell ref="M19:O19"/>
    <mergeCell ref="P5:R5"/>
    <mergeCell ref="J18:L18"/>
    <mergeCell ref="B19:C19"/>
    <mergeCell ref="D20:F20"/>
    <mergeCell ref="B5:B6"/>
    <mergeCell ref="P20:R20"/>
    <mergeCell ref="P4:U4"/>
    <mergeCell ref="J5:L5"/>
    <mergeCell ref="D19:F19"/>
    <mergeCell ref="J19:L19"/>
    <mergeCell ref="B20:C20"/>
    <mergeCell ref="M5:O5"/>
    <mergeCell ref="S18:U18"/>
    <mergeCell ref="M20:O20"/>
    <mergeCell ref="C5:C6"/>
  </mergeCells>
  <conditionalFormatting sqref="F7:F16 I7:I16 L7:L16 O7:O16 U7:U16">
    <cfRule type="cellIs" priority="1" operator="lessThanOrEqual" dxfId="0">
      <formula>80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Siti Aisyah Jaafar</dc:creator>
  <dcterms:created xmlns:dcterms="http://purl.org/dc/terms/" xmlns:xsi="http://www.w3.org/2001/XMLSchema-instance" xsi:type="dcterms:W3CDTF">2026-10-15T02:48:57Z</dcterms:created>
  <dcterms:modified xmlns:dcterms="http://purl.org/dc/terms/" xmlns:xsi="http://www.w3.org/2001/XMLSchema-instance" xsi:type="dcterms:W3CDTF">2026-10-15T07:47:12Z</dcterms:modified>
  <cp:lastModifiedBy>Siti Aisyah Jaafar</cp:lastModifiedBy>
</cp:coreProperties>
</file>