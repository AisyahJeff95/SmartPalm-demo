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Desktop/"/>
    </mc:Choice>
  </mc:AlternateContent>
  <xr:revisionPtr revIDLastSave="0" documentId="13_ncr:1_{C92EBFB8-4F9B-6E4C-B5AF-AAF6D0BB6E4D}" xr6:coauthVersionLast="47" xr6:coauthVersionMax="47" xr10:uidLastSave="{00000000-0000-0000-0000-000000000000}"/>
  <bookViews>
    <workbookView xWindow="0" yWindow="660" windowWidth="34560" windowHeight="19880" xr2:uid="{37CB90FF-B5B7-D44F-A723-4E557EEFB4A7}"/>
  </bookViews>
  <sheets>
    <sheet name="SAMPLE" sheetId="24" r:id="rId1"/>
    <sheet name="2021" sheetId="1" r:id="rId2"/>
    <sheet name="2022" sheetId="26" r:id="rId3"/>
    <sheet name="2023" sheetId="27" r:id="rId4"/>
    <sheet name="2024" sheetId="28" r:id="rId5"/>
  </sheets>
  <definedNames>
    <definedName name="Binuang" localSheetId="0">SAMPLE!#REF!</definedName>
    <definedName name="Keruing" localSheetId="0">SAMPLE!#REF!</definedName>
    <definedName name="Menggaris_" localSheetId="0">SAMPLE!#REF!</definedName>
    <definedName name="Merbau" localSheetId="0">SAMPLE!#REF!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" i="26" l="1"/>
  <c r="D2" i="1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<sst xmlns="http://schemas.openxmlformats.org/spreadsheetml/2006/main" count="565" uniqueCount="187">
  <si>
    <t>Company</t>
  </si>
  <si>
    <t>Estate</t>
  </si>
  <si>
    <t>Longitude</t>
  </si>
  <si>
    <t>Lattitude</t>
  </si>
  <si>
    <t>N</t>
  </si>
  <si>
    <t>P</t>
  </si>
  <si>
    <t>K</t>
  </si>
  <si>
    <t>Mg</t>
  </si>
  <si>
    <t>No.</t>
  </si>
  <si>
    <t>Date</t>
  </si>
  <si>
    <t>Plot</t>
  </si>
  <si>
    <t>BWSB</t>
  </si>
  <si>
    <t>Ca</t>
  </si>
  <si>
    <t>B</t>
  </si>
  <si>
    <t xml:space="preserve">LEDGER NO. </t>
  </si>
  <si>
    <t>SAMPLE REF. NO.</t>
  </si>
  <si>
    <t>AGT-08-13-AuG21</t>
  </si>
  <si>
    <t>AGT-08-14-AUG21</t>
  </si>
  <si>
    <t>AGT-08-15-AUG21</t>
  </si>
  <si>
    <t>AGT-08-16-AUG21</t>
  </si>
  <si>
    <t>August, 2021</t>
  </si>
  <si>
    <t>August, 2023</t>
  </si>
  <si>
    <t>July, 2023</t>
  </si>
  <si>
    <t>July, 2024</t>
  </si>
  <si>
    <t>-</t>
  </si>
  <si>
    <t>10-03</t>
  </si>
  <si>
    <t>KPR-10-02-AUG21</t>
  </si>
  <si>
    <t>KPR-10-03-AUG21</t>
  </si>
  <si>
    <t>KPR-10-04-AUG21</t>
  </si>
  <si>
    <t>KPR-10-06-SEP21</t>
  </si>
  <si>
    <t>' 6985</t>
  </si>
  <si>
    <t>KPR-10-09-AUG21</t>
  </si>
  <si>
    <t>KPR-10-10-AUG21</t>
  </si>
  <si>
    <t>KPR-10-11-AUG21</t>
  </si>
  <si>
    <t>KPR-10-12-AUG21</t>
  </si>
  <si>
    <t>KPR-10-13-AUG21</t>
  </si>
  <si>
    <t>KPR-10-14-AUG21</t>
  </si>
  <si>
    <t>KPR-10-15-AUG21</t>
  </si>
  <si>
    <t>KPR-10-16-AUG21</t>
  </si>
  <si>
    <t>KPR-10-17-AUG21</t>
  </si>
  <si>
    <t>KPR-10-18-AUG21</t>
  </si>
  <si>
    <t>KPR-10-19-AUG21</t>
  </si>
  <si>
    <t>KPR-10-20-AUG21</t>
  </si>
  <si>
    <t>KPR-10-21-AUG21</t>
  </si>
  <si>
    <t>KPR-11-22-AUG21</t>
  </si>
  <si>
    <t>KPR-11-23-AUG21</t>
  </si>
  <si>
    <t>KPR-11-24-SEP21</t>
  </si>
  <si>
    <t>KPR-11-25-SEP21</t>
  </si>
  <si>
    <t>KPR-11-26-SEP21</t>
  </si>
  <si>
    <t>KPR-11-27-SEP21</t>
  </si>
  <si>
    <t>‹ 6993</t>
  </si>
  <si>
    <t>KPR-11-28-SEP21</t>
  </si>
  <si>
    <t>KPR-11-29-SEP21</t>
  </si>
  <si>
    <t>‹ 6995</t>
  </si>
  <si>
    <t>KPR-11-30-SEP21</t>
  </si>
  <si>
    <t>KPR-11-31-SEP21</t>
  </si>
  <si>
    <t>KPR-12-32-AUG21</t>
  </si>
  <si>
    <t>KPR-12-33-AUG21</t>
  </si>
  <si>
    <t>KPR-12-34-AUG21</t>
  </si>
  <si>
    <t>KPR-12-35-AUG21</t>
  </si>
  <si>
    <t>KPR-12-36-AUG21</t>
  </si>
  <si>
    <t>KPR-12-37-AUG21</t>
  </si>
  <si>
    <t>KPR-12-38-AUG21</t>
  </si>
  <si>
    <t>KPR-12-39-AUG21</t>
  </si>
  <si>
    <t>KPR-12-40-AUG21</t>
  </si>
  <si>
    <t>KPR-12-41-AUG21</t>
  </si>
  <si>
    <t>KPR-12-42-SEP21</t>
  </si>
  <si>
    <t>KPR-12-43-SEP21</t>
  </si>
  <si>
    <t>“6999.</t>
  </si>
  <si>
    <t>KPR-12-44-SEP21</t>
  </si>
  <si>
    <t>KPR-12-45-SEP21</t>
  </si>
  <si>
    <t>KPR-12-46-SEP21</t>
  </si>
  <si>
    <t>KPR-12-47-AUG21</t>
  </si>
  <si>
    <t>KPR-10-01-AUG21</t>
  </si>
  <si>
    <t>4754</t>
  </si>
  <si>
    <t>KPR-10-01-Jul22</t>
  </si>
  <si>
    <t>4755</t>
  </si>
  <si>
    <t>KPR-10-02-Jul22</t>
  </si>
  <si>
    <t>4756</t>
  </si>
  <si>
    <t>KPR-10-03-Jul22</t>
  </si>
  <si>
    <t>4757</t>
  </si>
  <si>
    <t>KPR-10-04-Aug22</t>
  </si>
  <si>
    <t>4758</t>
  </si>
  <si>
    <t>KPR-10-06-Aug22</t>
  </si>
  <si>
    <t>4759</t>
  </si>
  <si>
    <t>KPR-10-09-Aug22</t>
  </si>
  <si>
    <t>4760</t>
  </si>
  <si>
    <t>KPR-10-10-Aug22</t>
  </si>
  <si>
    <t>4761</t>
  </si>
  <si>
    <t>KPR-10-11-Aug22</t>
  </si>
  <si>
    <t>4762</t>
  </si>
  <si>
    <t>KPR-10-12-Aug22</t>
  </si>
  <si>
    <t>4763</t>
  </si>
  <si>
    <t>KPR-10-46-Jul22</t>
  </si>
  <si>
    <t>4764</t>
  </si>
  <si>
    <t>KPR-10-47-Jul22</t>
  </si>
  <si>
    <t>4765</t>
  </si>
  <si>
    <t>KPR-10-13-Jul22</t>
  </si>
  <si>
    <t>4766</t>
  </si>
  <si>
    <t>KPR-10-14-Jul22</t>
  </si>
  <si>
    <t>4767</t>
  </si>
  <si>
    <t>KPR-10-15-Jul22</t>
  </si>
  <si>
    <t>4768</t>
  </si>
  <si>
    <t>KPR-10-16-Jul22</t>
  </si>
  <si>
    <t>4769</t>
  </si>
  <si>
    <t>KPR-10-17-Jul22</t>
  </si>
  <si>
    <t>4770</t>
  </si>
  <si>
    <t>KPR-10-18-Jul22</t>
  </si>
  <si>
    <t>4771</t>
  </si>
  <si>
    <t>KPR-10-19-Jul22</t>
  </si>
  <si>
    <t>4772</t>
  </si>
  <si>
    <t>KPR-10-20-Jul22</t>
  </si>
  <si>
    <t>4773</t>
  </si>
  <si>
    <t>KPR-10-21-Jul22</t>
  </si>
  <si>
    <t>4774</t>
  </si>
  <si>
    <t>KPR-11-22-Jul22</t>
  </si>
  <si>
    <t>4775</t>
  </si>
  <si>
    <t>KPR-11-23-Jul22</t>
  </si>
  <si>
    <t>4776</t>
  </si>
  <si>
    <t>KPR-11-24-Jul22</t>
  </si>
  <si>
    <t>4777</t>
  </si>
  <si>
    <t>KPR-11-25-Jul22</t>
  </si>
  <si>
    <t>4778</t>
  </si>
  <si>
    <t>KPR-11-26-Jul22</t>
  </si>
  <si>
    <t>4779</t>
  </si>
  <si>
    <t>KPR-11-27-Jul22</t>
  </si>
  <si>
    <t>4780</t>
  </si>
  <si>
    <t>KPR-11-28-Jul22</t>
  </si>
  <si>
    <t>4781</t>
  </si>
  <si>
    <t>KPR-11-29-Jul22</t>
  </si>
  <si>
    <t>4782</t>
  </si>
  <si>
    <t>KPR-11-30-Jul22</t>
  </si>
  <si>
    <t>4783</t>
  </si>
  <si>
    <t>KPR-11-31-Jul22</t>
  </si>
  <si>
    <t>4784</t>
  </si>
  <si>
    <t>KPR-12-32-Jul22</t>
  </si>
  <si>
    <t>4785</t>
  </si>
  <si>
    <t>KPR-12-33-Jul22</t>
  </si>
  <si>
    <t>4786</t>
  </si>
  <si>
    <t>KPR-12-34-Aug22</t>
  </si>
  <si>
    <t>4787</t>
  </si>
  <si>
    <t>KPR-12-35-Aug22</t>
  </si>
  <si>
    <t>4788</t>
  </si>
  <si>
    <t>KPR-12-36-Aug22</t>
  </si>
  <si>
    <t>4789</t>
  </si>
  <si>
    <t>KPR-12-37-Aug22</t>
  </si>
  <si>
    <t>4790</t>
  </si>
  <si>
    <t>KPR-12-38-Aug22</t>
  </si>
  <si>
    <t>4791</t>
  </si>
  <si>
    <t>KPR-12-39-Aug22</t>
  </si>
  <si>
    <t>4792</t>
  </si>
  <si>
    <t>KPR-12-40-Aug22</t>
  </si>
  <si>
    <t>4793</t>
  </si>
  <si>
    <t>KPR-12-41-Aug22</t>
  </si>
  <si>
    <t>4794</t>
  </si>
  <si>
    <t>KPR-12-42-Jul22</t>
  </si>
  <si>
    <t>4795</t>
  </si>
  <si>
    <t>KPR-12-43-Jul22</t>
  </si>
  <si>
    <t>4796</t>
  </si>
  <si>
    <t>KPR-12-44-Jul22</t>
  </si>
  <si>
    <t>4797</t>
  </si>
  <si>
    <t>KPR-12-45-Jul22</t>
  </si>
  <si>
    <t>10-12</t>
  </si>
  <si>
    <t>10-15</t>
  </si>
  <si>
    <t>10-20</t>
  </si>
  <si>
    <t>11-22</t>
  </si>
  <si>
    <t>11-24</t>
  </si>
  <si>
    <t>11-27</t>
  </si>
  <si>
    <t>11-31</t>
  </si>
  <si>
    <t>12-37</t>
  </si>
  <si>
    <t>12-45</t>
  </si>
  <si>
    <t>KAPUR</t>
  </si>
  <si>
    <t>10-01</t>
  </si>
  <si>
    <t>10-02</t>
  </si>
  <si>
    <t>10-04</t>
  </si>
  <si>
    <t>10-06</t>
  </si>
  <si>
    <t>10-09</t>
  </si>
  <si>
    <t>10-10</t>
  </si>
  <si>
    <t>10-11</t>
  </si>
  <si>
    <t>10-13</t>
  </si>
  <si>
    <t>12-33</t>
  </si>
  <si>
    <t>12-34</t>
  </si>
  <si>
    <t>12-36</t>
  </si>
  <si>
    <t>12-38</t>
  </si>
  <si>
    <t>12-39</t>
  </si>
  <si>
    <t>12-40</t>
  </si>
  <si>
    <t>12-41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</si>
</sst>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mmmm\-yyyy;@"/>
  </numFmts>
  <fonts count="6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scheme val="minor"/>
    </font>
    <font>
      <sz val="10.5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5" fontId="1" fillId="0" borderId="1" xfId="0" quotePrefix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49" fontId="0" fillId="0" borderId="0" xfId="0" applyNumberFormat="1"/>
    <xf numFmtId="49" fontId="5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C6AD-1163-1147-84C8-1E930139BAB3}">
  <dimension ref="A2:O63"/>
  <sheetViews>
    <sheetView tabSelected="1" zoomScaleNormal="100" workbookViewId="0">
      <selection activeCell="F14" sqref="F14"/>
    </sheetView>
  </sheetViews>
  <sheetFormatPr baseColWidth="10" defaultRowHeight="16" x14ac:dyDescent="0.2"/>
  <cols>
    <col min="1" max="2" width="15.1640625" style="19" customWidth="1"/>
    <col min="3" max="3" width="20.33203125" customWidth="1"/>
    <col min="4" max="11" width="15.1640625" customWidth="1"/>
  </cols>
  <sheetData>
    <row r="2" spans="1:15" ht="19" x14ac:dyDescent="0.2">
      <c r="A2" s="21" t="s">
        <v>8</v>
      </c>
      <c r="B2" s="21" t="s">
        <v>14</v>
      </c>
      <c r="C2" s="1" t="s">
        <v>15</v>
      </c>
      <c r="D2" s="1" t="s">
        <v>9</v>
      </c>
      <c r="E2" s="1" t="s">
        <v>0</v>
      </c>
      <c r="F2" s="1" t="s">
        <v>1</v>
      </c>
      <c r="G2" s="1" t="s">
        <v>10</v>
      </c>
      <c r="H2" s="7" t="s">
        <v>2</v>
      </c>
      <c r="I2" s="7" t="s">
        <v>3</v>
      </c>
      <c r="J2" s="1" t="s">
        <v>4</v>
      </c>
      <c r="K2" s="1" t="s">
        <v>5</v>
      </c>
      <c r="L2" s="1" t="s">
        <v>6</v>
      </c>
      <c r="M2" s="1" t="s">
        <v>12</v>
      </c>
      <c r="N2" s="1" t="s">
        <v>7</v>
      </c>
      <c r="O2" s="1" t="s">
        <v>13</v>
      </c>
    </row>
    <row r="3" spans="1:15" ht="19" x14ac:dyDescent="0.25">
      <c r="A3" s="22">
        <v>1</v>
      </c>
      <c r="B3" s="22">
        <v>6343</v>
      </c>
      <c r="C3" s="5" t="s">
        <v>16</v>
      </c>
      <c r="D3" s="9" t="s">
        <v>20</v>
      </c>
      <c r="E3" s="5" t="s">
        <v>11</v>
      </c>
      <c r="F3" s="5" t="s">
        <v>171</v>
      </c>
      <c r="G3" s="5">
        <v>8</v>
      </c>
      <c r="H3" s="8">
        <v>103.037201</v>
      </c>
      <c r="I3" s="8">
        <v>-0.60468900000000003</v>
      </c>
      <c r="J3" s="3">
        <v>2.4700000000000002</v>
      </c>
      <c r="K3" s="4">
        <v>0.14899999999999999</v>
      </c>
      <c r="L3" s="3">
        <v>0.99</v>
      </c>
      <c r="M3" s="3">
        <v>0.59</v>
      </c>
      <c r="N3" s="3">
        <v>0.25</v>
      </c>
      <c r="O3" s="3">
        <v>13</v>
      </c>
    </row>
    <row r="4" spans="1:15" ht="19" x14ac:dyDescent="0.25">
      <c r="A4" s="22">
        <v>2</v>
      </c>
      <c r="B4" s="22">
        <v>6344</v>
      </c>
      <c r="C4" s="5" t="s">
        <v>17</v>
      </c>
      <c r="D4" s="9" t="s">
        <v>20</v>
      </c>
      <c r="E4" s="5" t="s">
        <v>11</v>
      </c>
      <c r="F4" s="5" t="s">
        <v>171</v>
      </c>
      <c r="G4" s="5">
        <v>8</v>
      </c>
      <c r="H4" s="8">
        <v>103.036359</v>
      </c>
      <c r="I4" s="8">
        <v>-0.60301199999999999</v>
      </c>
      <c r="J4" s="3">
        <v>2.5499999999999998</v>
      </c>
      <c r="K4" s="4">
        <v>0.16400000000000001</v>
      </c>
      <c r="L4" s="3">
        <v>0.94</v>
      </c>
      <c r="M4" s="3">
        <v>0.49</v>
      </c>
      <c r="N4" s="3">
        <v>0.25</v>
      </c>
      <c r="O4" s="3">
        <v>14</v>
      </c>
    </row>
    <row r="5" spans="1:15" ht="19" x14ac:dyDescent="0.25">
      <c r="A5" s="22">
        <v>3</v>
      </c>
      <c r="B5" s="22">
        <v>6345</v>
      </c>
      <c r="C5" s="5" t="s">
        <v>18</v>
      </c>
      <c r="D5" s="9" t="s">
        <v>20</v>
      </c>
      <c r="E5" s="5" t="s">
        <v>11</v>
      </c>
      <c r="F5" s="5" t="s">
        <v>171</v>
      </c>
      <c r="G5" s="5">
        <v>8</v>
      </c>
      <c r="H5" s="8">
        <v>103.03695</v>
      </c>
      <c r="I5" s="8">
        <v>-0.60321899999999995</v>
      </c>
      <c r="J5" s="3">
        <v>2.6</v>
      </c>
      <c r="K5" s="4">
        <v>0.154</v>
      </c>
      <c r="L5" s="3">
        <v>0.85</v>
      </c>
      <c r="M5" s="3">
        <v>0.52</v>
      </c>
      <c r="N5" s="3">
        <v>0.27</v>
      </c>
      <c r="O5" s="3">
        <v>13</v>
      </c>
    </row>
    <row r="6" spans="1:15" ht="19" x14ac:dyDescent="0.25">
      <c r="A6" s="22">
        <v>4</v>
      </c>
      <c r="B6" s="22">
        <v>6346</v>
      </c>
      <c r="C6" s="5" t="s">
        <v>19</v>
      </c>
      <c r="D6" s="9" t="s">
        <v>20</v>
      </c>
      <c r="E6" s="5" t="s">
        <v>11</v>
      </c>
      <c r="F6" s="5" t="s">
        <v>171</v>
      </c>
      <c r="G6" s="5">
        <v>8</v>
      </c>
      <c r="H6" s="8">
        <v>103.03680199999999</v>
      </c>
      <c r="I6" s="8">
        <v>-0.60196899999999998</v>
      </c>
      <c r="J6" s="3">
        <v>2.5299999999999998</v>
      </c>
      <c r="K6" s="4">
        <v>0.155</v>
      </c>
      <c r="L6" s="3">
        <v>0.85</v>
      </c>
      <c r="M6" s="3">
        <v>0.54</v>
      </c>
      <c r="N6" s="3">
        <v>0.25</v>
      </c>
      <c r="O6" s="3">
        <v>15</v>
      </c>
    </row>
    <row r="9" spans="1:15" x14ac:dyDescent="0.2">
      <c r="A9"/>
      <c r="B9"/>
    </row>
    <row r="10" spans="1:15" x14ac:dyDescent="0.2">
      <c r="A10"/>
      <c r="B10"/>
    </row>
    <row r="11" spans="1:15" x14ac:dyDescent="0.2">
      <c r="A11"/>
      <c r="B11"/>
    </row>
    <row r="12" spans="1:15" x14ac:dyDescent="0.2">
      <c r="A12"/>
      <c r="B12"/>
    </row>
    <row r="13" spans="1:15" ht="19" customHeight="1" x14ac:dyDescent="0.2">
      <c r="A13"/>
      <c r="B13"/>
    </row>
    <row r="14" spans="1:15" x14ac:dyDescent="0.2">
      <c r="A14"/>
      <c r="B14"/>
    </row>
    <row r="15" spans="1:15" x14ac:dyDescent="0.2">
      <c r="A15"/>
      <c r="B15"/>
    </row>
    <row r="16" spans="1:15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  <row r="26" spans="1:2" x14ac:dyDescent="0.2">
      <c r="A26"/>
      <c r="B26"/>
    </row>
    <row r="27" spans="1:2" x14ac:dyDescent="0.2">
      <c r="A27"/>
      <c r="B27"/>
    </row>
    <row r="28" spans="1:2" x14ac:dyDescent="0.2">
      <c r="A28"/>
      <c r="B28"/>
    </row>
    <row r="29" spans="1:2" x14ac:dyDescent="0.2">
      <c r="A29"/>
      <c r="B29"/>
    </row>
    <row r="30" spans="1:2" x14ac:dyDescent="0.2">
      <c r="A30"/>
      <c r="B30"/>
    </row>
    <row r="31" spans="1:2" x14ac:dyDescent="0.2">
      <c r="A31"/>
      <c r="B31"/>
    </row>
    <row r="32" spans="1:2" x14ac:dyDescent="0.2">
      <c r="A32"/>
      <c r="B32"/>
    </row>
    <row r="33" spans="1:2" x14ac:dyDescent="0.2">
      <c r="A33"/>
      <c r="B33"/>
    </row>
    <row r="34" spans="1:2" x14ac:dyDescent="0.2">
      <c r="A34"/>
      <c r="B34"/>
    </row>
    <row r="35" spans="1:2" x14ac:dyDescent="0.2">
      <c r="A35"/>
      <c r="B35"/>
    </row>
    <row r="36" spans="1:2" x14ac:dyDescent="0.2">
      <c r="A36"/>
      <c r="B36"/>
    </row>
    <row r="37" spans="1:2" x14ac:dyDescent="0.2">
      <c r="A37"/>
      <c r="B37"/>
    </row>
    <row r="38" spans="1:2" x14ac:dyDescent="0.2">
      <c r="A38"/>
      <c r="B38"/>
    </row>
    <row r="39" spans="1:2" x14ac:dyDescent="0.2">
      <c r="A39"/>
      <c r="B39"/>
    </row>
    <row r="40" spans="1:2" x14ac:dyDescent="0.2">
      <c r="A40"/>
      <c r="B40"/>
    </row>
    <row r="41" spans="1:2" x14ac:dyDescent="0.2">
      <c r="A41"/>
      <c r="B41"/>
    </row>
    <row r="42" spans="1:2" x14ac:dyDescent="0.2">
      <c r="A42"/>
      <c r="B42"/>
    </row>
    <row r="43" spans="1:2" x14ac:dyDescent="0.2">
      <c r="A43"/>
      <c r="B43"/>
    </row>
    <row r="44" spans="1:2" x14ac:dyDescent="0.2">
      <c r="A44"/>
      <c r="B44"/>
    </row>
    <row r="45" spans="1:2" x14ac:dyDescent="0.2">
      <c r="A45"/>
      <c r="B45"/>
    </row>
    <row r="46" spans="1:2" x14ac:dyDescent="0.2">
      <c r="A46"/>
      <c r="B46"/>
    </row>
    <row r="47" spans="1:2" x14ac:dyDescent="0.2">
      <c r="A47"/>
      <c r="B47"/>
    </row>
    <row r="48" spans="1:2" x14ac:dyDescent="0.2">
      <c r="A48"/>
      <c r="B48"/>
    </row>
    <row r="49" spans="1:2" x14ac:dyDescent="0.2">
      <c r="A49"/>
      <c r="B49"/>
    </row>
    <row r="50" spans="1:2" x14ac:dyDescent="0.2">
      <c r="A50"/>
      <c r="B50"/>
    </row>
    <row r="51" spans="1:2" x14ac:dyDescent="0.2">
      <c r="A51"/>
      <c r="B51"/>
    </row>
    <row r="52" spans="1:2" x14ac:dyDescent="0.2">
      <c r="A52"/>
      <c r="B52"/>
    </row>
    <row r="53" spans="1:2" x14ac:dyDescent="0.2">
      <c r="A53"/>
      <c r="B53"/>
    </row>
    <row r="54" spans="1:2" x14ac:dyDescent="0.2">
      <c r="A54"/>
      <c r="B54"/>
    </row>
    <row r="55" spans="1:2" x14ac:dyDescent="0.2">
      <c r="A55"/>
      <c r="B55"/>
    </row>
    <row r="56" spans="1:2" x14ac:dyDescent="0.2">
      <c r="A56"/>
      <c r="B56"/>
    </row>
    <row r="57" spans="1:2" x14ac:dyDescent="0.2">
      <c r="A57"/>
      <c r="B57"/>
    </row>
    <row r="58" spans="1:2" x14ac:dyDescent="0.2">
      <c r="A58"/>
      <c r="B58"/>
    </row>
    <row r="59" spans="1:2" x14ac:dyDescent="0.2">
      <c r="A59"/>
      <c r="B59"/>
    </row>
    <row r="60" spans="1:2" x14ac:dyDescent="0.2">
      <c r="A60"/>
      <c r="B60"/>
    </row>
    <row r="61" spans="1:2" x14ac:dyDescent="0.2">
      <c r="A61"/>
      <c r="B61"/>
    </row>
    <row r="62" spans="1:2" x14ac:dyDescent="0.2">
      <c r="B62"/>
    </row>
    <row r="63" spans="1:2" x14ac:dyDescent="0.2">
      <c r="B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996A-61F9-334A-A1BB-40363DB948A1}">
  <dimension ref="A1:O45"/>
  <sheetViews>
    <sheetView zoomScaleNormal="100" workbookViewId="0">
      <selection activeCell="F35" sqref="F35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>
        <v>6980</v>
      </c>
      <c r="C2" s="5" t="s">
        <v>73</v>
      </c>
      <c r="D2" s="9" t="str">
        <f>_xlfn.LET(_xlpm.d,_xlfn.TEXTAFTER(C2,"-",-1),PROPER(LEFT(_xlpm.d,LEN(_xlpm.d)-2))&amp;", 20"&amp;RIGHT(_xlpm.d,2))</f>
        <v>Aug, 2021</v>
      </c>
      <c r="E2" s="5" t="s">
        <v>11</v>
      </c>
      <c r="F2" s="5" t="s">
        <v>171</v>
      </c>
      <c r="G2" s="5">
        <v>10</v>
      </c>
      <c r="H2" s="2"/>
      <c r="I2" s="2"/>
      <c r="J2" s="3">
        <v>2.4700000000000002</v>
      </c>
      <c r="K2" s="4">
        <v>0.154</v>
      </c>
      <c r="L2" s="3">
        <v>0.94</v>
      </c>
      <c r="M2" s="3">
        <v>0.67</v>
      </c>
      <c r="N2" s="3">
        <v>0.28000000000000003</v>
      </c>
      <c r="O2" s="3">
        <v>13</v>
      </c>
    </row>
    <row r="3" spans="1:15" ht="19" x14ac:dyDescent="0.25">
      <c r="A3" s="5">
        <v>2</v>
      </c>
      <c r="B3" s="5">
        <v>6981</v>
      </c>
      <c r="C3" s="5" t="s">
        <v>26</v>
      </c>
      <c r="D3" s="9" t="str">
        <f t="shared" ref="D3:D45" si="0">_xlfn.LET(_xlpm.d,_xlfn.TEXTAFTER(C3,"-",-1),PROPER(LEFT(_xlpm.d,LEN(_xlpm.d)-2))&amp;", 20"&amp;RIGHT(_xlpm.d,2))</f>
        <v>Aug, 2021</v>
      </c>
      <c r="E3" s="5" t="s">
        <v>11</v>
      </c>
      <c r="F3" s="5" t="s">
        <v>171</v>
      </c>
      <c r="G3" s="5">
        <v>10</v>
      </c>
      <c r="H3" s="2"/>
      <c r="I3" s="2"/>
      <c r="J3" s="3">
        <v>2.5099999999999998</v>
      </c>
      <c r="K3" s="4">
        <v>0.14899999999999999</v>
      </c>
      <c r="L3" s="3">
        <v>0.91</v>
      </c>
      <c r="M3" s="3">
        <v>0.6</v>
      </c>
      <c r="N3" s="3">
        <v>0.24</v>
      </c>
      <c r="O3" s="3">
        <v>12</v>
      </c>
    </row>
    <row r="4" spans="1:15" ht="19" x14ac:dyDescent="0.25">
      <c r="A4" s="5">
        <v>3</v>
      </c>
      <c r="B4" s="5">
        <v>6982</v>
      </c>
      <c r="C4" s="5" t="s">
        <v>27</v>
      </c>
      <c r="D4" s="9" t="str">
        <f t="shared" si="0"/>
        <v>Aug, 2021</v>
      </c>
      <c r="E4" s="5" t="s">
        <v>11</v>
      </c>
      <c r="F4" s="5" t="s">
        <v>171</v>
      </c>
      <c r="G4" s="5">
        <v>10</v>
      </c>
      <c r="H4" s="2"/>
      <c r="I4" s="2"/>
      <c r="J4" s="3">
        <v>2.5299999999999998</v>
      </c>
      <c r="K4" s="4">
        <v>0.14199999999999999</v>
      </c>
      <c r="L4" s="3">
        <v>0.91</v>
      </c>
      <c r="M4" s="3">
        <v>0.65</v>
      </c>
      <c r="N4" s="3">
        <v>0.26</v>
      </c>
      <c r="O4" s="3">
        <v>14</v>
      </c>
    </row>
    <row r="5" spans="1:15" ht="19" x14ac:dyDescent="0.25">
      <c r="A5" s="5">
        <v>4</v>
      </c>
      <c r="B5" s="5">
        <v>6983</v>
      </c>
      <c r="C5" s="5" t="s">
        <v>28</v>
      </c>
      <c r="D5" s="9" t="str">
        <f t="shared" si="0"/>
        <v>Aug, 2021</v>
      </c>
      <c r="E5" s="5" t="s">
        <v>11</v>
      </c>
      <c r="F5" s="5" t="s">
        <v>171</v>
      </c>
      <c r="G5" s="5">
        <v>10</v>
      </c>
      <c r="H5" s="2"/>
      <c r="I5" s="2"/>
      <c r="J5" s="3">
        <v>2.58</v>
      </c>
      <c r="K5" s="4">
        <v>0.151</v>
      </c>
      <c r="L5" s="3">
        <v>0.82</v>
      </c>
      <c r="M5" s="3">
        <v>0.61</v>
      </c>
      <c r="N5" s="3">
        <v>0.24</v>
      </c>
      <c r="O5" s="3">
        <v>12</v>
      </c>
    </row>
    <row r="6" spans="1:15" ht="19" x14ac:dyDescent="0.25">
      <c r="A6" s="5">
        <v>5</v>
      </c>
      <c r="B6" s="5">
        <v>6984</v>
      </c>
      <c r="C6" s="5" t="s">
        <v>29</v>
      </c>
      <c r="D6" s="9" t="str">
        <f t="shared" si="0"/>
        <v>Sep, 2021</v>
      </c>
      <c r="E6" s="5" t="s">
        <v>11</v>
      </c>
      <c r="F6" s="5" t="s">
        <v>171</v>
      </c>
      <c r="G6" s="5">
        <v>10</v>
      </c>
      <c r="H6" s="2"/>
      <c r="I6" s="2"/>
      <c r="J6" s="3">
        <v>2.4700000000000002</v>
      </c>
      <c r="K6" s="4">
        <v>0.16200000000000001</v>
      </c>
      <c r="L6" s="3">
        <v>0.89</v>
      </c>
      <c r="M6" s="3">
        <v>0.49</v>
      </c>
      <c r="N6" s="3">
        <v>0.21</v>
      </c>
      <c r="O6" s="3">
        <v>14</v>
      </c>
    </row>
    <row r="7" spans="1:15" ht="19" x14ac:dyDescent="0.25">
      <c r="A7" s="5">
        <v>6</v>
      </c>
      <c r="B7" s="5" t="s">
        <v>30</v>
      </c>
      <c r="C7" s="5" t="s">
        <v>31</v>
      </c>
      <c r="D7" s="9" t="str">
        <f t="shared" si="0"/>
        <v>Aug, 2021</v>
      </c>
      <c r="E7" s="5" t="s">
        <v>11</v>
      </c>
      <c r="F7" s="5" t="s">
        <v>171</v>
      </c>
      <c r="G7" s="5">
        <v>10</v>
      </c>
      <c r="H7" s="2"/>
      <c r="I7" s="2"/>
      <c r="J7" s="3">
        <v>2.46</v>
      </c>
      <c r="K7" s="4">
        <v>0.16</v>
      </c>
      <c r="L7" s="3">
        <v>0.91</v>
      </c>
      <c r="M7" s="3">
        <v>0.55000000000000004</v>
      </c>
      <c r="N7" s="3">
        <v>0.25</v>
      </c>
      <c r="O7" s="3">
        <v>19</v>
      </c>
    </row>
    <row r="8" spans="1:15" ht="19" x14ac:dyDescent="0.25">
      <c r="A8" s="5">
        <v>7</v>
      </c>
      <c r="B8" s="5">
        <v>6986</v>
      </c>
      <c r="C8" s="5" t="s">
        <v>32</v>
      </c>
      <c r="D8" s="9" t="str">
        <f t="shared" si="0"/>
        <v>Aug, 2021</v>
      </c>
      <c r="E8" s="5" t="s">
        <v>11</v>
      </c>
      <c r="F8" s="5" t="s">
        <v>171</v>
      </c>
      <c r="G8" s="5">
        <v>10</v>
      </c>
      <c r="H8" s="2"/>
      <c r="I8" s="2"/>
      <c r="J8" s="3">
        <v>2.5499999999999998</v>
      </c>
      <c r="K8" s="4">
        <v>0.153</v>
      </c>
      <c r="L8" s="3">
        <v>0.93</v>
      </c>
      <c r="M8" s="3">
        <v>0.65</v>
      </c>
      <c r="N8" s="3">
        <v>0.28999999999999998</v>
      </c>
      <c r="O8" s="3">
        <v>12</v>
      </c>
    </row>
    <row r="9" spans="1:15" ht="19" x14ac:dyDescent="0.25">
      <c r="A9" s="5">
        <v>8</v>
      </c>
      <c r="B9" s="5">
        <v>6987</v>
      </c>
      <c r="C9" s="5" t="s">
        <v>33</v>
      </c>
      <c r="D9" s="9" t="str">
        <f t="shared" si="0"/>
        <v>Aug, 2021</v>
      </c>
      <c r="E9" s="5" t="s">
        <v>11</v>
      </c>
      <c r="F9" s="5" t="s">
        <v>171</v>
      </c>
      <c r="G9" s="5">
        <v>10</v>
      </c>
      <c r="H9" s="2"/>
      <c r="I9" s="2"/>
      <c r="J9" s="3">
        <v>2.6</v>
      </c>
      <c r="K9" s="4">
        <v>0.161</v>
      </c>
      <c r="L9" s="3">
        <v>0.85</v>
      </c>
      <c r="M9" s="3">
        <v>0.56999999999999995</v>
      </c>
      <c r="N9" s="3">
        <v>0.21</v>
      </c>
      <c r="O9" s="3">
        <v>16</v>
      </c>
    </row>
    <row r="10" spans="1:15" s="14" customFormat="1" ht="19" x14ac:dyDescent="0.25">
      <c r="A10" s="5">
        <v>9</v>
      </c>
      <c r="B10" s="5">
        <v>6988</v>
      </c>
      <c r="C10" s="5" t="s">
        <v>34</v>
      </c>
      <c r="D10" s="9" t="str">
        <f t="shared" si="0"/>
        <v>Aug, 2021</v>
      </c>
      <c r="E10" s="5" t="s">
        <v>11</v>
      </c>
      <c r="F10" s="5" t="s">
        <v>171</v>
      </c>
      <c r="G10" s="5">
        <v>10</v>
      </c>
      <c r="H10" s="2"/>
      <c r="I10" s="2"/>
      <c r="J10" s="3">
        <v>2.5099999999999998</v>
      </c>
      <c r="K10" s="4">
        <v>0.14199999999999999</v>
      </c>
      <c r="L10" s="3">
        <v>0.9</v>
      </c>
      <c r="M10" s="3">
        <v>0.67</v>
      </c>
      <c r="N10" s="3">
        <v>0.23</v>
      </c>
      <c r="O10" s="3">
        <v>18</v>
      </c>
    </row>
    <row r="11" spans="1:15" ht="19" x14ac:dyDescent="0.25">
      <c r="A11" s="15">
        <v>10</v>
      </c>
      <c r="B11" s="15">
        <v>6034</v>
      </c>
      <c r="C11" s="15" t="s">
        <v>35</v>
      </c>
      <c r="D11" s="9" t="str">
        <f t="shared" si="0"/>
        <v>Aug, 2021</v>
      </c>
      <c r="E11" s="15" t="s">
        <v>11</v>
      </c>
      <c r="F11" s="5" t="s">
        <v>171</v>
      </c>
      <c r="G11" s="5">
        <v>10</v>
      </c>
      <c r="H11" s="16"/>
      <c r="I11" s="16"/>
      <c r="J11" s="17">
        <v>2.59</v>
      </c>
      <c r="K11" s="18">
        <v>0.16700000000000001</v>
      </c>
      <c r="L11" s="17">
        <v>0.92</v>
      </c>
      <c r="M11" s="17">
        <v>0.56999999999999995</v>
      </c>
      <c r="N11" s="17">
        <v>0.28000000000000003</v>
      </c>
      <c r="O11" s="17">
        <v>19</v>
      </c>
    </row>
    <row r="12" spans="1:15" ht="19" x14ac:dyDescent="0.25">
      <c r="A12" s="5">
        <v>11</v>
      </c>
      <c r="B12" s="5">
        <v>6035</v>
      </c>
      <c r="C12" s="5" t="s">
        <v>36</v>
      </c>
      <c r="D12" s="9" t="str">
        <f t="shared" si="0"/>
        <v>Aug, 2021</v>
      </c>
      <c r="E12" s="5" t="s">
        <v>11</v>
      </c>
      <c r="F12" s="5" t="s">
        <v>171</v>
      </c>
      <c r="G12" s="5">
        <v>10</v>
      </c>
      <c r="H12" s="2"/>
      <c r="I12" s="2"/>
      <c r="J12" s="3">
        <v>2.52</v>
      </c>
      <c r="K12" s="4">
        <v>0.14499999999999999</v>
      </c>
      <c r="L12" s="3">
        <v>0.84</v>
      </c>
      <c r="M12" s="3">
        <v>0.55000000000000004</v>
      </c>
      <c r="N12" s="3">
        <v>0.27</v>
      </c>
      <c r="O12" s="3">
        <v>18</v>
      </c>
    </row>
    <row r="13" spans="1:15" ht="19" x14ac:dyDescent="0.25">
      <c r="A13" s="5">
        <v>12</v>
      </c>
      <c r="B13" s="5">
        <v>6036</v>
      </c>
      <c r="C13" s="5" t="s">
        <v>37</v>
      </c>
      <c r="D13" s="9" t="str">
        <f t="shared" si="0"/>
        <v>Aug, 2021</v>
      </c>
      <c r="E13" s="5" t="s">
        <v>11</v>
      </c>
      <c r="F13" s="5" t="s">
        <v>171</v>
      </c>
      <c r="G13" s="5">
        <v>10</v>
      </c>
      <c r="H13" s="2"/>
      <c r="I13" s="2"/>
      <c r="J13" s="3">
        <v>2.4900000000000002</v>
      </c>
      <c r="K13" s="4">
        <v>0.16</v>
      </c>
      <c r="L13" s="3">
        <v>0.89</v>
      </c>
      <c r="M13" s="3">
        <v>0.61</v>
      </c>
      <c r="N13" s="3">
        <v>0.28999999999999998</v>
      </c>
      <c r="O13" s="3">
        <v>14</v>
      </c>
    </row>
    <row r="14" spans="1:15" ht="19" x14ac:dyDescent="0.25">
      <c r="A14" s="5">
        <v>13</v>
      </c>
      <c r="B14" s="5">
        <v>6037</v>
      </c>
      <c r="C14" s="5" t="s">
        <v>38</v>
      </c>
      <c r="D14" s="9" t="str">
        <f t="shared" si="0"/>
        <v>Aug, 2021</v>
      </c>
      <c r="E14" s="5" t="s">
        <v>11</v>
      </c>
      <c r="F14" s="5" t="s">
        <v>171</v>
      </c>
      <c r="G14" s="5">
        <v>10</v>
      </c>
      <c r="H14" s="2"/>
      <c r="I14" s="2"/>
      <c r="J14" s="3">
        <v>2.5</v>
      </c>
      <c r="K14" s="4">
        <v>0.14799999999999999</v>
      </c>
      <c r="L14" s="3">
        <v>0.82</v>
      </c>
      <c r="M14" s="3">
        <v>0.45</v>
      </c>
      <c r="N14" s="3">
        <v>0.28000000000000003</v>
      </c>
      <c r="O14" s="3">
        <v>14</v>
      </c>
    </row>
    <row r="15" spans="1:15" ht="19" x14ac:dyDescent="0.25">
      <c r="A15" s="5">
        <v>14</v>
      </c>
      <c r="B15" s="5">
        <v>6038</v>
      </c>
      <c r="C15" s="5" t="s">
        <v>39</v>
      </c>
      <c r="D15" s="9" t="str">
        <f t="shared" si="0"/>
        <v>Aug, 2021</v>
      </c>
      <c r="E15" s="5" t="s">
        <v>11</v>
      </c>
      <c r="F15" s="5" t="s">
        <v>171</v>
      </c>
      <c r="G15" s="5">
        <v>10</v>
      </c>
      <c r="H15" s="2"/>
      <c r="I15" s="2"/>
      <c r="J15" s="3">
        <v>2.52</v>
      </c>
      <c r="K15" s="4">
        <v>0.16600000000000001</v>
      </c>
      <c r="L15" s="3">
        <v>0.97</v>
      </c>
      <c r="M15" s="3">
        <v>0.56999999999999995</v>
      </c>
      <c r="N15" s="3">
        <v>0.28000000000000003</v>
      </c>
      <c r="O15" s="3">
        <v>14</v>
      </c>
    </row>
    <row r="16" spans="1:15" ht="19" x14ac:dyDescent="0.25">
      <c r="A16" s="5">
        <v>15</v>
      </c>
      <c r="B16" s="5">
        <v>6039</v>
      </c>
      <c r="C16" s="5" t="s">
        <v>40</v>
      </c>
      <c r="D16" s="9" t="str">
        <f t="shared" si="0"/>
        <v>Aug, 2021</v>
      </c>
      <c r="E16" s="5" t="s">
        <v>11</v>
      </c>
      <c r="F16" s="5" t="s">
        <v>171</v>
      </c>
      <c r="G16" s="5">
        <v>10</v>
      </c>
      <c r="H16" s="2"/>
      <c r="I16" s="2"/>
      <c r="J16" s="3">
        <v>2.48</v>
      </c>
      <c r="K16" s="4">
        <v>0.14199999999999999</v>
      </c>
      <c r="L16" s="3">
        <v>0.89</v>
      </c>
      <c r="M16" s="3">
        <v>0.57999999999999996</v>
      </c>
      <c r="N16" s="3">
        <v>0.2</v>
      </c>
      <c r="O16" s="3">
        <v>13</v>
      </c>
    </row>
    <row r="17" spans="1:15" ht="19" x14ac:dyDescent="0.25">
      <c r="A17" s="5">
        <v>16</v>
      </c>
      <c r="B17" s="5">
        <v>6040</v>
      </c>
      <c r="C17" s="5" t="s">
        <v>41</v>
      </c>
      <c r="D17" s="9" t="str">
        <f t="shared" si="0"/>
        <v>Aug, 2021</v>
      </c>
      <c r="E17" s="5" t="s">
        <v>11</v>
      </c>
      <c r="F17" s="5" t="s">
        <v>171</v>
      </c>
      <c r="G17" s="5">
        <v>10</v>
      </c>
      <c r="H17" s="2"/>
      <c r="I17" s="2"/>
      <c r="J17" s="3">
        <v>2.57</v>
      </c>
      <c r="K17" s="4">
        <v>0.159</v>
      </c>
      <c r="L17" s="3">
        <v>1.02</v>
      </c>
      <c r="M17" s="3">
        <v>0.5</v>
      </c>
      <c r="N17" s="3">
        <v>0.21</v>
      </c>
      <c r="O17" s="3">
        <v>13</v>
      </c>
    </row>
    <row r="18" spans="1:15" ht="19" x14ac:dyDescent="0.25">
      <c r="A18" s="5">
        <v>17</v>
      </c>
      <c r="B18" s="5">
        <v>6041</v>
      </c>
      <c r="C18" s="5" t="s">
        <v>42</v>
      </c>
      <c r="D18" s="9" t="str">
        <f t="shared" si="0"/>
        <v>Aug, 2021</v>
      </c>
      <c r="E18" s="5" t="s">
        <v>11</v>
      </c>
      <c r="F18" s="5" t="s">
        <v>171</v>
      </c>
      <c r="G18" s="5">
        <v>10</v>
      </c>
      <c r="H18" s="2"/>
      <c r="I18" s="2"/>
      <c r="J18" s="3">
        <v>2.4300000000000002</v>
      </c>
      <c r="K18" s="4">
        <v>0.14099999999999999</v>
      </c>
      <c r="L18" s="3">
        <v>0.92</v>
      </c>
      <c r="M18" s="3">
        <v>0.62</v>
      </c>
      <c r="N18" s="3">
        <v>0.21</v>
      </c>
      <c r="O18" s="3">
        <v>14</v>
      </c>
    </row>
    <row r="19" spans="1:15" ht="19" x14ac:dyDescent="0.25">
      <c r="A19" s="5">
        <v>18</v>
      </c>
      <c r="B19" s="5">
        <v>6042</v>
      </c>
      <c r="C19" s="5" t="s">
        <v>43</v>
      </c>
      <c r="D19" s="9" t="str">
        <f t="shared" si="0"/>
        <v>Aug, 2021</v>
      </c>
      <c r="E19" s="5" t="s">
        <v>11</v>
      </c>
      <c r="F19" s="5" t="s">
        <v>171</v>
      </c>
      <c r="G19" s="5">
        <v>10</v>
      </c>
      <c r="H19" s="2"/>
      <c r="I19" s="2"/>
      <c r="J19" s="3">
        <v>2.5499999999999998</v>
      </c>
      <c r="K19" s="4">
        <v>0.158</v>
      </c>
      <c r="L19" s="3">
        <v>0.82</v>
      </c>
      <c r="M19" s="3">
        <v>0.43</v>
      </c>
      <c r="N19" s="3">
        <v>0.24</v>
      </c>
      <c r="O19" s="3">
        <v>12</v>
      </c>
    </row>
    <row r="20" spans="1:15" ht="19" x14ac:dyDescent="0.25">
      <c r="A20" s="5">
        <v>19</v>
      </c>
      <c r="B20" s="5">
        <v>6043</v>
      </c>
      <c r="C20" s="5" t="s">
        <v>44</v>
      </c>
      <c r="D20" s="9" t="str">
        <f t="shared" si="0"/>
        <v>Aug, 2021</v>
      </c>
      <c r="E20" s="5" t="s">
        <v>11</v>
      </c>
      <c r="F20" s="5" t="s">
        <v>171</v>
      </c>
      <c r="G20" s="5">
        <v>11</v>
      </c>
      <c r="H20" s="2"/>
      <c r="I20" s="2"/>
      <c r="J20" s="3">
        <v>2.52</v>
      </c>
      <c r="K20" s="4">
        <v>0.154</v>
      </c>
      <c r="L20" s="3">
        <v>1.07</v>
      </c>
      <c r="M20" s="3">
        <v>0.49</v>
      </c>
      <c r="N20" s="3">
        <v>0.23</v>
      </c>
      <c r="O20" s="3">
        <v>13</v>
      </c>
    </row>
    <row r="21" spans="1:15" ht="19" x14ac:dyDescent="0.25">
      <c r="A21" s="5">
        <v>20</v>
      </c>
      <c r="B21" s="5">
        <v>6044</v>
      </c>
      <c r="C21" s="5" t="s">
        <v>45</v>
      </c>
      <c r="D21" s="9" t="str">
        <f t="shared" si="0"/>
        <v>Aug, 2021</v>
      </c>
      <c r="E21" s="5" t="s">
        <v>11</v>
      </c>
      <c r="F21" s="5" t="s">
        <v>171</v>
      </c>
      <c r="G21" s="5">
        <v>11</v>
      </c>
      <c r="H21" s="2"/>
      <c r="I21" s="2"/>
      <c r="J21" s="3">
        <v>2.44</v>
      </c>
      <c r="K21" s="4">
        <v>0.156</v>
      </c>
      <c r="L21" s="3">
        <v>0.95</v>
      </c>
      <c r="M21" s="3">
        <v>0.47</v>
      </c>
      <c r="N21" s="3">
        <v>0.28999999999999998</v>
      </c>
      <c r="O21" s="3">
        <v>12</v>
      </c>
    </row>
    <row r="22" spans="1:15" ht="19" x14ac:dyDescent="0.25">
      <c r="A22" s="5">
        <v>21</v>
      </c>
      <c r="B22" s="5">
        <v>6989</v>
      </c>
      <c r="C22" s="5" t="s">
        <v>46</v>
      </c>
      <c r="D22" s="9" t="str">
        <f t="shared" si="0"/>
        <v>Sep, 2021</v>
      </c>
      <c r="E22" s="5" t="s">
        <v>11</v>
      </c>
      <c r="F22" s="5" t="s">
        <v>171</v>
      </c>
      <c r="G22" s="5">
        <v>11</v>
      </c>
      <c r="H22" s="2"/>
      <c r="I22" s="2"/>
      <c r="J22" s="3">
        <v>2.48</v>
      </c>
      <c r="K22" s="4">
        <v>0.158</v>
      </c>
      <c r="L22" s="3">
        <v>0.88</v>
      </c>
      <c r="M22" s="3">
        <v>0.61</v>
      </c>
      <c r="N22" s="3">
        <v>0.21</v>
      </c>
      <c r="O22" s="3">
        <v>19</v>
      </c>
    </row>
    <row r="23" spans="1:15" ht="19" x14ac:dyDescent="0.25">
      <c r="A23" s="5">
        <v>22</v>
      </c>
      <c r="B23" s="5">
        <v>6990</v>
      </c>
      <c r="C23" s="5" t="s">
        <v>47</v>
      </c>
      <c r="D23" s="9" t="str">
        <f t="shared" si="0"/>
        <v>Sep, 2021</v>
      </c>
      <c r="E23" s="5" t="s">
        <v>11</v>
      </c>
      <c r="F23" s="5" t="s">
        <v>171</v>
      </c>
      <c r="G23" s="5">
        <v>11</v>
      </c>
      <c r="H23" s="2"/>
      <c r="I23" s="2"/>
      <c r="J23" s="3">
        <v>2.5</v>
      </c>
      <c r="K23" s="4">
        <v>0.16400000000000001</v>
      </c>
      <c r="L23" s="3">
        <v>0.87</v>
      </c>
      <c r="M23" s="3">
        <v>0.76</v>
      </c>
      <c r="N23" s="3">
        <v>0.21</v>
      </c>
      <c r="O23" s="3">
        <v>17</v>
      </c>
    </row>
    <row r="24" spans="1:15" ht="19" x14ac:dyDescent="0.25">
      <c r="A24" s="5">
        <v>23</v>
      </c>
      <c r="B24" s="5">
        <v>6991</v>
      </c>
      <c r="C24" s="5" t="s">
        <v>48</v>
      </c>
      <c r="D24" s="9" t="str">
        <f t="shared" si="0"/>
        <v>Sep, 2021</v>
      </c>
      <c r="E24" s="5" t="s">
        <v>11</v>
      </c>
      <c r="F24" s="5" t="s">
        <v>171</v>
      </c>
      <c r="G24" s="5">
        <v>11</v>
      </c>
      <c r="H24" s="2"/>
      <c r="I24" s="2"/>
      <c r="J24" s="3">
        <v>2.4500000000000002</v>
      </c>
      <c r="K24" s="4">
        <v>0.155</v>
      </c>
      <c r="L24" s="3">
        <v>0.82</v>
      </c>
      <c r="M24" s="3">
        <v>0.64</v>
      </c>
      <c r="N24" s="3">
        <v>0.25</v>
      </c>
      <c r="O24" s="3">
        <v>15</v>
      </c>
    </row>
    <row r="25" spans="1:15" ht="19" x14ac:dyDescent="0.25">
      <c r="A25" s="5">
        <v>24</v>
      </c>
      <c r="B25" s="5">
        <v>6992</v>
      </c>
      <c r="C25" s="5" t="s">
        <v>49</v>
      </c>
      <c r="D25" s="9" t="str">
        <f t="shared" si="0"/>
        <v>Sep, 2021</v>
      </c>
      <c r="E25" s="5" t="s">
        <v>11</v>
      </c>
      <c r="F25" s="5" t="s">
        <v>171</v>
      </c>
      <c r="G25" s="5">
        <v>11</v>
      </c>
      <c r="H25" s="2"/>
      <c r="I25" s="2"/>
      <c r="J25" s="3">
        <v>2.5299999999999998</v>
      </c>
      <c r="K25" s="4">
        <v>0.154</v>
      </c>
      <c r="L25" s="3">
        <v>0.8</v>
      </c>
      <c r="M25" s="3">
        <v>0.53</v>
      </c>
      <c r="N25" s="3">
        <v>0.3</v>
      </c>
      <c r="O25" s="3">
        <v>19</v>
      </c>
    </row>
    <row r="26" spans="1:15" ht="19" x14ac:dyDescent="0.25">
      <c r="A26" s="5">
        <v>25</v>
      </c>
      <c r="B26" s="5" t="s">
        <v>50</v>
      </c>
      <c r="C26" s="5" t="s">
        <v>51</v>
      </c>
      <c r="D26" s="9" t="str">
        <f t="shared" si="0"/>
        <v>Sep, 2021</v>
      </c>
      <c r="E26" s="5" t="s">
        <v>11</v>
      </c>
      <c r="F26" s="5" t="s">
        <v>171</v>
      </c>
      <c r="G26" s="5">
        <v>11</v>
      </c>
      <c r="H26" s="2"/>
      <c r="I26" s="2"/>
      <c r="J26" s="3">
        <v>2.48</v>
      </c>
      <c r="K26" s="4">
        <v>0.159</v>
      </c>
      <c r="L26" s="3">
        <v>0.92</v>
      </c>
      <c r="M26" s="3">
        <v>0.52</v>
      </c>
      <c r="N26" s="3">
        <v>0.21</v>
      </c>
      <c r="O26" s="3">
        <v>18</v>
      </c>
    </row>
    <row r="27" spans="1:15" ht="19" x14ac:dyDescent="0.25">
      <c r="A27" s="5">
        <v>26</v>
      </c>
      <c r="B27" s="5">
        <v>6994</v>
      </c>
      <c r="C27" s="5" t="s">
        <v>52</v>
      </c>
      <c r="D27" s="9" t="str">
        <f t="shared" si="0"/>
        <v>Sep, 2021</v>
      </c>
      <c r="E27" s="5" t="s">
        <v>11</v>
      </c>
      <c r="F27" s="5" t="s">
        <v>171</v>
      </c>
      <c r="G27" s="5">
        <v>11</v>
      </c>
      <c r="H27" s="2"/>
      <c r="I27" s="2"/>
      <c r="J27" s="3">
        <v>2.57</v>
      </c>
      <c r="K27" s="4">
        <v>0.157</v>
      </c>
      <c r="L27" s="3">
        <v>0.86</v>
      </c>
      <c r="M27" s="3">
        <v>0.53</v>
      </c>
      <c r="N27" s="3">
        <v>0.21</v>
      </c>
      <c r="O27" s="3">
        <v>14</v>
      </c>
    </row>
    <row r="28" spans="1:15" ht="19" x14ac:dyDescent="0.25">
      <c r="A28" s="5">
        <v>27</v>
      </c>
      <c r="B28" s="5" t="s">
        <v>53</v>
      </c>
      <c r="C28" s="5" t="s">
        <v>54</v>
      </c>
      <c r="D28" s="9" t="str">
        <f t="shared" si="0"/>
        <v>Sep, 2021</v>
      </c>
      <c r="E28" s="5" t="s">
        <v>11</v>
      </c>
      <c r="F28" s="5" t="s">
        <v>171</v>
      </c>
      <c r="G28" s="5">
        <v>11</v>
      </c>
      <c r="H28" s="2"/>
      <c r="I28" s="2"/>
      <c r="J28" s="3">
        <v>2.4300000000000002</v>
      </c>
      <c r="K28" s="4">
        <v>0.14399999999999999</v>
      </c>
      <c r="L28" s="3">
        <v>0.84</v>
      </c>
      <c r="M28" s="3">
        <v>0.66</v>
      </c>
      <c r="N28" s="3">
        <v>0.22</v>
      </c>
      <c r="O28" s="3">
        <v>19</v>
      </c>
    </row>
    <row r="29" spans="1:15" ht="19" x14ac:dyDescent="0.25">
      <c r="A29" s="5">
        <v>28</v>
      </c>
      <c r="B29" s="5">
        <v>6996</v>
      </c>
      <c r="C29" s="5" t="s">
        <v>55</v>
      </c>
      <c r="D29" s="9" t="str">
        <f t="shared" si="0"/>
        <v>Sep, 2021</v>
      </c>
      <c r="E29" s="5" t="s">
        <v>11</v>
      </c>
      <c r="F29" s="5" t="s">
        <v>171</v>
      </c>
      <c r="G29" s="5">
        <v>11</v>
      </c>
      <c r="H29" s="2"/>
      <c r="I29" s="2"/>
      <c r="J29" s="3">
        <v>2.4900000000000002</v>
      </c>
      <c r="K29" s="4">
        <v>0.14199999999999999</v>
      </c>
      <c r="L29" s="3">
        <v>0.94</v>
      </c>
      <c r="M29" s="3">
        <v>0.59</v>
      </c>
      <c r="N29" s="3">
        <v>0.21</v>
      </c>
      <c r="O29" s="3">
        <v>19</v>
      </c>
    </row>
    <row r="30" spans="1:15" ht="19" x14ac:dyDescent="0.25">
      <c r="A30" s="5">
        <v>29</v>
      </c>
      <c r="B30" s="5">
        <v>6045</v>
      </c>
      <c r="C30" s="5" t="s">
        <v>56</v>
      </c>
      <c r="D30" s="9" t="str">
        <f t="shared" si="0"/>
        <v>Aug, 2021</v>
      </c>
      <c r="E30" s="5" t="s">
        <v>11</v>
      </c>
      <c r="F30" s="5" t="s">
        <v>171</v>
      </c>
      <c r="G30" s="5">
        <v>12</v>
      </c>
      <c r="H30" s="2"/>
      <c r="I30" s="2"/>
      <c r="J30" s="3">
        <v>2.5299999999999998</v>
      </c>
      <c r="K30" s="4">
        <v>0.155</v>
      </c>
      <c r="L30" s="3">
        <v>1.1000000000000001</v>
      </c>
      <c r="M30" s="3">
        <v>0.49</v>
      </c>
      <c r="N30" s="3">
        <v>0.23</v>
      </c>
      <c r="O30" s="3">
        <v>13</v>
      </c>
    </row>
    <row r="31" spans="1:15" ht="19" x14ac:dyDescent="0.25">
      <c r="A31" s="5">
        <v>30</v>
      </c>
      <c r="B31" s="5">
        <v>6046</v>
      </c>
      <c r="C31" s="5" t="s">
        <v>57</v>
      </c>
      <c r="D31" s="9" t="str">
        <f t="shared" si="0"/>
        <v>Aug, 2021</v>
      </c>
      <c r="E31" s="5" t="s">
        <v>11</v>
      </c>
      <c r="F31" s="5" t="s">
        <v>171</v>
      </c>
      <c r="G31" s="5">
        <v>12</v>
      </c>
      <c r="H31" s="2"/>
      <c r="I31" s="2"/>
      <c r="J31" s="3">
        <v>2.44</v>
      </c>
      <c r="K31" s="4">
        <v>0.158</v>
      </c>
      <c r="L31" s="3">
        <v>1</v>
      </c>
      <c r="M31" s="3">
        <v>0.62</v>
      </c>
      <c r="N31" s="3">
        <v>0.26</v>
      </c>
      <c r="O31" s="3">
        <v>12</v>
      </c>
    </row>
    <row r="32" spans="1:15" ht="19" x14ac:dyDescent="0.25">
      <c r="A32" s="5">
        <v>31</v>
      </c>
      <c r="B32" s="5">
        <v>6047</v>
      </c>
      <c r="C32" s="5" t="s">
        <v>58</v>
      </c>
      <c r="D32" s="9" t="str">
        <f t="shared" si="0"/>
        <v>Aug, 2021</v>
      </c>
      <c r="E32" s="5" t="s">
        <v>11</v>
      </c>
      <c r="F32" s="5" t="s">
        <v>171</v>
      </c>
      <c r="G32" s="5">
        <v>12</v>
      </c>
      <c r="H32" s="2"/>
      <c r="I32" s="2"/>
      <c r="J32" s="3">
        <v>2.62</v>
      </c>
      <c r="K32" s="4">
        <v>0.16600000000000001</v>
      </c>
      <c r="L32" s="3">
        <v>1.01</v>
      </c>
      <c r="M32" s="3">
        <v>0.47</v>
      </c>
      <c r="N32" s="3">
        <v>0.21</v>
      </c>
      <c r="O32" s="3">
        <v>11</v>
      </c>
    </row>
    <row r="33" spans="1:15" ht="19" x14ac:dyDescent="0.25">
      <c r="A33" s="5">
        <v>32</v>
      </c>
      <c r="B33" s="5">
        <v>6048</v>
      </c>
      <c r="C33" s="5" t="s">
        <v>59</v>
      </c>
      <c r="D33" s="9" t="str">
        <f t="shared" si="0"/>
        <v>Aug, 2021</v>
      </c>
      <c r="E33" s="5" t="s">
        <v>11</v>
      </c>
      <c r="F33" s="5" t="s">
        <v>171</v>
      </c>
      <c r="G33" s="5">
        <v>12</v>
      </c>
      <c r="H33" s="2"/>
      <c r="I33" s="2"/>
      <c r="J33" s="3">
        <v>2.44</v>
      </c>
      <c r="K33" s="4">
        <v>0.154</v>
      </c>
      <c r="L33" s="3">
        <v>0.92</v>
      </c>
      <c r="M33" s="3">
        <v>0.62</v>
      </c>
      <c r="N33" s="3">
        <v>0.26</v>
      </c>
      <c r="O33" s="3">
        <v>12</v>
      </c>
    </row>
    <row r="34" spans="1:15" ht="19" x14ac:dyDescent="0.25">
      <c r="A34" s="5">
        <v>33</v>
      </c>
      <c r="B34" s="5">
        <v>6049</v>
      </c>
      <c r="C34" s="5" t="s">
        <v>60</v>
      </c>
      <c r="D34" s="9" t="str">
        <f t="shared" si="0"/>
        <v>Aug, 2021</v>
      </c>
      <c r="E34" s="5" t="s">
        <v>11</v>
      </c>
      <c r="F34" s="5" t="s">
        <v>171</v>
      </c>
      <c r="G34" s="5">
        <v>12</v>
      </c>
      <c r="H34" s="2"/>
      <c r="I34" s="2"/>
      <c r="J34" s="3">
        <v>2.64</v>
      </c>
      <c r="K34" s="4">
        <v>0.16</v>
      </c>
      <c r="L34" s="3">
        <v>1.18</v>
      </c>
      <c r="M34" s="3">
        <v>0.53</v>
      </c>
      <c r="N34" s="3">
        <v>0.25</v>
      </c>
      <c r="O34" s="3">
        <v>12</v>
      </c>
    </row>
    <row r="35" spans="1:15" ht="19" x14ac:dyDescent="0.25">
      <c r="A35" s="5">
        <v>34</v>
      </c>
      <c r="B35" s="5">
        <v>6050</v>
      </c>
      <c r="C35" s="5" t="s">
        <v>61</v>
      </c>
      <c r="D35" s="9" t="str">
        <f t="shared" si="0"/>
        <v>Aug, 2021</v>
      </c>
      <c r="E35" s="5" t="s">
        <v>11</v>
      </c>
      <c r="F35" s="5" t="s">
        <v>171</v>
      </c>
      <c r="G35" s="5">
        <v>12</v>
      </c>
      <c r="H35" s="2"/>
      <c r="I35" s="2"/>
      <c r="J35" s="3">
        <v>2.42</v>
      </c>
      <c r="K35" s="4">
        <v>0.14499999999999999</v>
      </c>
      <c r="L35" s="3">
        <v>1.08</v>
      </c>
      <c r="M35" s="3">
        <v>0.4</v>
      </c>
      <c r="N35" s="3">
        <v>0.21</v>
      </c>
      <c r="O35" s="3">
        <v>14</v>
      </c>
    </row>
    <row r="36" spans="1:15" ht="19" x14ac:dyDescent="0.25">
      <c r="A36" s="5">
        <v>35</v>
      </c>
      <c r="B36" s="5">
        <v>6051</v>
      </c>
      <c r="C36" s="5" t="s">
        <v>62</v>
      </c>
      <c r="D36" s="9" t="str">
        <f t="shared" si="0"/>
        <v>Aug, 2021</v>
      </c>
      <c r="E36" s="5" t="s">
        <v>11</v>
      </c>
      <c r="F36" s="5" t="s">
        <v>171</v>
      </c>
      <c r="G36" s="5">
        <v>12</v>
      </c>
      <c r="H36" s="2"/>
      <c r="I36" s="2"/>
      <c r="J36" s="3">
        <v>2.46</v>
      </c>
      <c r="K36" s="4">
        <v>0.14499999999999999</v>
      </c>
      <c r="L36" s="3">
        <v>1</v>
      </c>
      <c r="M36" s="3">
        <v>0.67</v>
      </c>
      <c r="N36" s="3">
        <v>0.23</v>
      </c>
      <c r="O36" s="3">
        <v>12</v>
      </c>
    </row>
    <row r="37" spans="1:15" ht="19" x14ac:dyDescent="0.25">
      <c r="A37" s="5">
        <v>36</v>
      </c>
      <c r="B37" s="5">
        <v>6052</v>
      </c>
      <c r="C37" s="5" t="s">
        <v>63</v>
      </c>
      <c r="D37" s="9" t="str">
        <f t="shared" si="0"/>
        <v>Aug, 2021</v>
      </c>
      <c r="E37" s="5" t="s">
        <v>11</v>
      </c>
      <c r="F37" s="5" t="s">
        <v>171</v>
      </c>
      <c r="G37" s="5">
        <v>12</v>
      </c>
      <c r="H37" s="2"/>
      <c r="I37" s="2"/>
      <c r="J37" s="3">
        <v>2.48</v>
      </c>
      <c r="K37" s="4">
        <v>0.14499999999999999</v>
      </c>
      <c r="L37" s="3">
        <v>1.06</v>
      </c>
      <c r="M37" s="3">
        <v>0.41</v>
      </c>
      <c r="N37" s="3">
        <v>0.23</v>
      </c>
      <c r="O37" s="3">
        <v>12</v>
      </c>
    </row>
    <row r="38" spans="1:15" ht="19" x14ac:dyDescent="0.25">
      <c r="A38" s="5">
        <v>37</v>
      </c>
      <c r="B38" s="5">
        <v>6053</v>
      </c>
      <c r="C38" s="5" t="s">
        <v>64</v>
      </c>
      <c r="D38" s="9" t="str">
        <f t="shared" si="0"/>
        <v>Aug, 2021</v>
      </c>
      <c r="E38" s="5" t="s">
        <v>11</v>
      </c>
      <c r="F38" s="5" t="s">
        <v>171</v>
      </c>
      <c r="G38" s="5">
        <v>12</v>
      </c>
      <c r="H38" s="2"/>
      <c r="I38" s="2"/>
      <c r="J38" s="3">
        <v>2.4500000000000002</v>
      </c>
      <c r="K38" s="4">
        <v>0.14499999999999999</v>
      </c>
      <c r="L38" s="3">
        <v>0.84</v>
      </c>
      <c r="M38" s="3">
        <v>0.55000000000000004</v>
      </c>
      <c r="N38" s="3">
        <v>0.3</v>
      </c>
      <c r="O38" s="3">
        <v>13</v>
      </c>
    </row>
    <row r="39" spans="1:15" ht="19" x14ac:dyDescent="0.25">
      <c r="A39" s="5">
        <v>38</v>
      </c>
      <c r="B39" s="5">
        <v>6054</v>
      </c>
      <c r="C39" s="5" t="s">
        <v>65</v>
      </c>
      <c r="D39" s="9" t="str">
        <f t="shared" si="0"/>
        <v>Aug, 2021</v>
      </c>
      <c r="E39" s="5" t="s">
        <v>11</v>
      </c>
      <c r="F39" s="5" t="s">
        <v>171</v>
      </c>
      <c r="G39" s="5">
        <v>12</v>
      </c>
      <c r="H39" s="2"/>
      <c r="I39" s="2"/>
      <c r="J39" s="3">
        <v>2.61</v>
      </c>
      <c r="K39" s="4">
        <v>0.14499999999999999</v>
      </c>
      <c r="L39" s="3">
        <v>0.94</v>
      </c>
      <c r="M39" s="3">
        <v>0.43</v>
      </c>
      <c r="N39" s="3">
        <v>0.22</v>
      </c>
      <c r="O39" s="3">
        <v>11</v>
      </c>
    </row>
    <row r="40" spans="1:15" ht="19" x14ac:dyDescent="0.25">
      <c r="A40" s="5">
        <v>39</v>
      </c>
      <c r="B40" s="5">
        <v>6997</v>
      </c>
      <c r="C40" s="5" t="s">
        <v>66</v>
      </c>
      <c r="D40" s="9" t="str">
        <f t="shared" si="0"/>
        <v>Sep, 2021</v>
      </c>
      <c r="E40" s="5" t="s">
        <v>11</v>
      </c>
      <c r="F40" s="5" t="s">
        <v>171</v>
      </c>
      <c r="G40" s="5">
        <v>12</v>
      </c>
      <c r="H40" s="2"/>
      <c r="I40" s="2"/>
      <c r="J40" s="3">
        <v>2.5099999999999998</v>
      </c>
      <c r="K40" s="4">
        <v>0.14499999999999999</v>
      </c>
      <c r="L40" s="3">
        <v>0.95</v>
      </c>
      <c r="M40" s="3">
        <v>0.72</v>
      </c>
      <c r="N40" s="3">
        <v>0.23</v>
      </c>
      <c r="O40" s="3">
        <v>11</v>
      </c>
    </row>
    <row r="41" spans="1:15" ht="19" x14ac:dyDescent="0.25">
      <c r="A41" s="5">
        <v>40</v>
      </c>
      <c r="B41" s="5">
        <v>6998</v>
      </c>
      <c r="C41" s="5" t="s">
        <v>67</v>
      </c>
      <c r="D41" s="9" t="str">
        <f t="shared" si="0"/>
        <v>Sep, 2021</v>
      </c>
      <c r="E41" s="5" t="s">
        <v>11</v>
      </c>
      <c r="F41" s="5" t="s">
        <v>171</v>
      </c>
      <c r="G41" s="5">
        <v>12</v>
      </c>
      <c r="H41" s="2"/>
      <c r="I41" s="2"/>
      <c r="J41" s="3">
        <v>2.4900000000000002</v>
      </c>
      <c r="K41" s="4">
        <v>0.14499999999999999</v>
      </c>
      <c r="L41" s="3">
        <v>0.88</v>
      </c>
      <c r="M41" s="3">
        <v>0.44</v>
      </c>
      <c r="N41" s="3">
        <v>0.27</v>
      </c>
      <c r="O41" s="3">
        <v>19</v>
      </c>
    </row>
    <row r="42" spans="1:15" ht="19" x14ac:dyDescent="0.25">
      <c r="A42" s="5">
        <v>41</v>
      </c>
      <c r="B42" s="5" t="s">
        <v>68</v>
      </c>
      <c r="C42" s="5" t="s">
        <v>69</v>
      </c>
      <c r="D42" s="9" t="str">
        <f t="shared" si="0"/>
        <v>Sep, 2021</v>
      </c>
      <c r="E42" s="5" t="s">
        <v>11</v>
      </c>
      <c r="F42" s="5" t="s">
        <v>171</v>
      </c>
      <c r="G42" s="5">
        <v>12</v>
      </c>
      <c r="H42" s="2"/>
      <c r="I42" s="2"/>
      <c r="J42" s="3">
        <v>2.4700000000000002</v>
      </c>
      <c r="K42" s="4">
        <v>0.14499999999999999</v>
      </c>
      <c r="L42" s="3">
        <v>0.84</v>
      </c>
      <c r="M42" s="3">
        <v>0.47</v>
      </c>
      <c r="N42" s="3">
        <v>0.21</v>
      </c>
      <c r="O42" s="3">
        <v>16</v>
      </c>
    </row>
    <row r="43" spans="1:15" ht="19" x14ac:dyDescent="0.25">
      <c r="A43" s="5">
        <v>42</v>
      </c>
      <c r="B43" s="5">
        <v>7000</v>
      </c>
      <c r="C43" s="5" t="s">
        <v>70</v>
      </c>
      <c r="D43" s="9" t="str">
        <f t="shared" si="0"/>
        <v>Sep, 2021</v>
      </c>
      <c r="E43" s="5" t="s">
        <v>11</v>
      </c>
      <c r="F43" s="5" t="s">
        <v>171</v>
      </c>
      <c r="G43" s="5">
        <v>12</v>
      </c>
      <c r="H43" s="2"/>
      <c r="I43" s="2"/>
      <c r="J43" s="3">
        <v>2.5499999999999998</v>
      </c>
      <c r="K43" s="4">
        <v>0.14499999999999999</v>
      </c>
      <c r="L43" s="3">
        <v>0.9</v>
      </c>
      <c r="M43" s="3">
        <v>0.66</v>
      </c>
      <c r="N43" s="3">
        <v>0.32</v>
      </c>
      <c r="O43" s="3">
        <v>16</v>
      </c>
    </row>
    <row r="44" spans="1:15" ht="19" x14ac:dyDescent="0.25">
      <c r="A44" s="5">
        <v>43</v>
      </c>
      <c r="B44" s="5">
        <v>7001</v>
      </c>
      <c r="C44" s="5" t="s">
        <v>71</v>
      </c>
      <c r="D44" s="9" t="str">
        <f t="shared" si="0"/>
        <v>Sep, 2021</v>
      </c>
      <c r="E44" s="5" t="s">
        <v>11</v>
      </c>
      <c r="F44" s="5" t="s">
        <v>171</v>
      </c>
      <c r="G44" s="5">
        <v>12</v>
      </c>
      <c r="H44" s="2"/>
      <c r="I44" s="2"/>
      <c r="J44" s="3">
        <v>2.4700000000000002</v>
      </c>
      <c r="K44" s="4">
        <v>0.14499999999999999</v>
      </c>
      <c r="L44" s="3">
        <v>0.88</v>
      </c>
      <c r="M44" s="3">
        <v>0.68</v>
      </c>
      <c r="N44" s="3">
        <v>0.25</v>
      </c>
      <c r="O44" s="3">
        <v>17</v>
      </c>
    </row>
    <row r="45" spans="1:15" ht="19" x14ac:dyDescent="0.25">
      <c r="A45" s="5">
        <v>44</v>
      </c>
      <c r="B45" s="5">
        <v>7002</v>
      </c>
      <c r="C45" s="5" t="s">
        <v>72</v>
      </c>
      <c r="D45" s="9" t="str">
        <f t="shared" si="0"/>
        <v>Aug, 2021</v>
      </c>
      <c r="E45" s="5" t="s">
        <v>11</v>
      </c>
      <c r="F45" s="5" t="s">
        <v>171</v>
      </c>
      <c r="G45" s="5">
        <v>12</v>
      </c>
      <c r="H45" s="2"/>
      <c r="I45" s="2"/>
      <c r="J45" s="3">
        <v>2.56</v>
      </c>
      <c r="K45" s="4">
        <v>0.14499999999999999</v>
      </c>
      <c r="L45" s="3">
        <v>0.8</v>
      </c>
      <c r="M45" s="3">
        <v>0.57999999999999996</v>
      </c>
      <c r="N45" s="3">
        <v>0.33</v>
      </c>
      <c r="O45" s="3">
        <v>17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448-1C56-DE45-BC09-C7D8B447D960}">
  <dimension ref="A1:O45"/>
  <sheetViews>
    <sheetView topLeftCell="A8" zoomScaleNormal="100" workbookViewId="0">
      <selection activeCell="F41" sqref="F41"/>
    </sheetView>
  </sheetViews>
  <sheetFormatPr baseColWidth="10" defaultRowHeight="16" x14ac:dyDescent="0.2"/>
  <cols>
    <col min="1" max="2" width="17" style="6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5" ht="19" x14ac:dyDescent="0.2">
      <c r="A1" s="1" t="s">
        <v>8</v>
      </c>
      <c r="B1" s="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5" ht="23" customHeight="1" x14ac:dyDescent="0.25">
      <c r="A2" s="5">
        <v>1</v>
      </c>
      <c r="B2" s="5" t="s">
        <v>74</v>
      </c>
      <c r="C2" s="9" t="s">
        <v>75</v>
      </c>
      <c r="D2" s="9" t="str">
        <f>_xlfn.LET(_xlpm.d,_xlfn.TEXTAFTER(C2,"-",-1),PROPER(LEFT(_xlpm.d,LEN(_xlpm.d)-2))&amp;", 20"&amp;RIGHT(_xlpm.d,2))</f>
        <v>Jul, 2022</v>
      </c>
      <c r="E2" s="5" t="s">
        <v>11</v>
      </c>
      <c r="F2" s="5" t="s">
        <v>171</v>
      </c>
      <c r="G2" s="5">
        <v>10</v>
      </c>
      <c r="H2" s="2"/>
      <c r="I2" s="2"/>
      <c r="J2" s="3">
        <v>2.54</v>
      </c>
      <c r="K2" s="4">
        <v>0.17</v>
      </c>
      <c r="L2" s="3">
        <v>0.82</v>
      </c>
      <c r="M2" s="3">
        <v>0.49</v>
      </c>
      <c r="N2" s="3">
        <v>0.28999999999999998</v>
      </c>
      <c r="O2" s="3">
        <v>17</v>
      </c>
    </row>
    <row r="3" spans="1:15" ht="19" x14ac:dyDescent="0.25">
      <c r="A3" s="5">
        <v>2</v>
      </c>
      <c r="B3" s="5" t="s">
        <v>76</v>
      </c>
      <c r="C3" s="9" t="s">
        <v>77</v>
      </c>
      <c r="D3" s="9" t="str">
        <f t="shared" ref="D3:D45" si="0">_xlfn.LET(_xlpm.d,_xlfn.TEXTAFTER(C3,"-",-1),PROPER(LEFT(_xlpm.d,LEN(_xlpm.d)-2))&amp;", 20"&amp;RIGHT(_xlpm.d,2))</f>
        <v>Jul, 2022</v>
      </c>
      <c r="E3" s="5" t="s">
        <v>11</v>
      </c>
      <c r="F3" s="5" t="s">
        <v>171</v>
      </c>
      <c r="G3" s="5">
        <v>10</v>
      </c>
      <c r="H3" s="2"/>
      <c r="I3" s="2"/>
      <c r="J3" s="3">
        <v>2.62</v>
      </c>
      <c r="K3" s="4">
        <v>0.16200000000000001</v>
      </c>
      <c r="L3" s="3">
        <v>0.85</v>
      </c>
      <c r="M3" s="3">
        <v>0.47</v>
      </c>
      <c r="N3" s="3">
        <v>0.27</v>
      </c>
      <c r="O3" s="3">
        <v>14</v>
      </c>
    </row>
    <row r="4" spans="1:15" ht="19" x14ac:dyDescent="0.25">
      <c r="A4" s="5">
        <v>3</v>
      </c>
      <c r="B4" s="5" t="s">
        <v>78</v>
      </c>
      <c r="C4" s="9" t="s">
        <v>79</v>
      </c>
      <c r="D4" s="9" t="str">
        <f t="shared" si="0"/>
        <v>Jul, 2022</v>
      </c>
      <c r="E4" s="5" t="s">
        <v>11</v>
      </c>
      <c r="F4" s="5" t="s">
        <v>171</v>
      </c>
      <c r="G4" s="5">
        <v>10</v>
      </c>
      <c r="H4" s="2"/>
      <c r="I4" s="2"/>
      <c r="J4" s="3">
        <v>2.59</v>
      </c>
      <c r="K4" s="4">
        <v>0.17499999999999999</v>
      </c>
      <c r="L4" s="3">
        <v>0.99</v>
      </c>
      <c r="M4" s="3">
        <v>0.48</v>
      </c>
      <c r="N4" s="3">
        <v>0.32</v>
      </c>
      <c r="O4" s="3">
        <v>16</v>
      </c>
    </row>
    <row r="5" spans="1:15" ht="19" x14ac:dyDescent="0.25">
      <c r="A5" s="5">
        <v>4</v>
      </c>
      <c r="B5" s="5" t="s">
        <v>80</v>
      </c>
      <c r="C5" s="9" t="s">
        <v>81</v>
      </c>
      <c r="D5" s="9" t="str">
        <f t="shared" si="0"/>
        <v>Aug, 2022</v>
      </c>
      <c r="E5" s="5" t="s">
        <v>11</v>
      </c>
      <c r="F5" s="5" t="s">
        <v>171</v>
      </c>
      <c r="G5" s="5">
        <v>10</v>
      </c>
      <c r="H5" s="2"/>
      <c r="I5" s="2"/>
      <c r="J5" s="3">
        <v>2.5299999999999998</v>
      </c>
      <c r="K5" s="4">
        <v>0.17199999999999999</v>
      </c>
      <c r="L5" s="3">
        <v>0.94</v>
      </c>
      <c r="M5" s="3">
        <v>0.65</v>
      </c>
      <c r="N5" s="3">
        <v>0.31</v>
      </c>
      <c r="O5" s="3">
        <v>14</v>
      </c>
    </row>
    <row r="6" spans="1:15" ht="19" x14ac:dyDescent="0.25">
      <c r="A6" s="5">
        <v>5</v>
      </c>
      <c r="B6" s="5" t="s">
        <v>82</v>
      </c>
      <c r="C6" s="9" t="s">
        <v>83</v>
      </c>
      <c r="D6" s="9" t="str">
        <f t="shared" si="0"/>
        <v>Aug, 2022</v>
      </c>
      <c r="E6" s="5" t="s">
        <v>11</v>
      </c>
      <c r="F6" s="5" t="s">
        <v>171</v>
      </c>
      <c r="G6" s="5">
        <v>10</v>
      </c>
      <c r="H6" s="2"/>
      <c r="I6" s="2"/>
      <c r="J6" s="3">
        <v>2.65</v>
      </c>
      <c r="K6" s="4">
        <v>0.16400000000000001</v>
      </c>
      <c r="L6" s="3">
        <v>0.92</v>
      </c>
      <c r="M6" s="3">
        <v>0.43</v>
      </c>
      <c r="N6" s="3">
        <v>0.3</v>
      </c>
      <c r="O6" s="3">
        <v>15</v>
      </c>
    </row>
    <row r="7" spans="1:15" ht="19" x14ac:dyDescent="0.25">
      <c r="A7" s="5">
        <v>6</v>
      </c>
      <c r="B7" s="5" t="s">
        <v>84</v>
      </c>
      <c r="C7" s="9" t="s">
        <v>85</v>
      </c>
      <c r="D7" s="9" t="str">
        <f t="shared" si="0"/>
        <v>Aug, 2022</v>
      </c>
      <c r="E7" s="5" t="s">
        <v>11</v>
      </c>
      <c r="F7" s="5" t="s">
        <v>171</v>
      </c>
      <c r="G7" s="5">
        <v>10</v>
      </c>
      <c r="H7" s="2"/>
      <c r="I7" s="2"/>
      <c r="J7" s="3">
        <v>2.56</v>
      </c>
      <c r="K7" s="4">
        <v>0.17100000000000001</v>
      </c>
      <c r="L7" s="3">
        <v>0.93</v>
      </c>
      <c r="M7" s="3">
        <v>0.41</v>
      </c>
      <c r="N7" s="3">
        <v>0.32</v>
      </c>
      <c r="O7" s="3">
        <v>15</v>
      </c>
    </row>
    <row r="8" spans="1:15" ht="19" x14ac:dyDescent="0.25">
      <c r="A8" s="5">
        <v>7</v>
      </c>
      <c r="B8" s="5" t="s">
        <v>86</v>
      </c>
      <c r="C8" s="9" t="s">
        <v>87</v>
      </c>
      <c r="D8" s="9" t="str">
        <f t="shared" si="0"/>
        <v>Aug, 2022</v>
      </c>
      <c r="E8" s="5" t="s">
        <v>11</v>
      </c>
      <c r="F8" s="5" t="s">
        <v>171</v>
      </c>
      <c r="G8" s="5">
        <v>10</v>
      </c>
      <c r="H8" s="2"/>
      <c r="I8" s="2"/>
      <c r="J8" s="3">
        <v>2.64</v>
      </c>
      <c r="K8" s="4">
        <v>0.161</v>
      </c>
      <c r="L8" s="3">
        <v>0.87</v>
      </c>
      <c r="M8" s="3">
        <v>0.4</v>
      </c>
      <c r="N8" s="3">
        <v>0.28999999999999998</v>
      </c>
      <c r="O8" s="3">
        <v>14</v>
      </c>
    </row>
    <row r="9" spans="1:15" ht="19" x14ac:dyDescent="0.25">
      <c r="A9" s="5">
        <v>8</v>
      </c>
      <c r="B9" s="5" t="s">
        <v>88</v>
      </c>
      <c r="C9" s="9" t="s">
        <v>89</v>
      </c>
      <c r="D9" s="9" t="str">
        <f t="shared" si="0"/>
        <v>Aug, 2022</v>
      </c>
      <c r="E9" s="5" t="s">
        <v>11</v>
      </c>
      <c r="F9" s="5" t="s">
        <v>171</v>
      </c>
      <c r="G9" s="5">
        <v>10</v>
      </c>
      <c r="H9" s="2"/>
      <c r="I9" s="2"/>
      <c r="J9" s="3">
        <v>2.63</v>
      </c>
      <c r="K9" s="4">
        <v>0.161</v>
      </c>
      <c r="L9" s="3">
        <v>0.87</v>
      </c>
      <c r="M9" s="3">
        <v>0.4</v>
      </c>
      <c r="N9" s="3">
        <v>0.28999999999999998</v>
      </c>
      <c r="O9" s="3">
        <v>14</v>
      </c>
    </row>
    <row r="10" spans="1:15" ht="19" x14ac:dyDescent="0.25">
      <c r="A10" s="5">
        <v>9</v>
      </c>
      <c r="B10" s="5" t="s">
        <v>90</v>
      </c>
      <c r="C10" s="9" t="s">
        <v>91</v>
      </c>
      <c r="D10" s="9" t="str">
        <f t="shared" si="0"/>
        <v>Aug, 2022</v>
      </c>
      <c r="E10" s="5" t="s">
        <v>11</v>
      </c>
      <c r="F10" s="5" t="s">
        <v>171</v>
      </c>
      <c r="G10" s="5">
        <v>10</v>
      </c>
      <c r="H10" s="2"/>
      <c r="I10" s="2"/>
      <c r="J10" s="3">
        <v>2.5299999999999998</v>
      </c>
      <c r="K10" s="4">
        <v>0.158</v>
      </c>
      <c r="L10" s="3">
        <v>0.95</v>
      </c>
      <c r="M10" s="3">
        <v>0.41</v>
      </c>
      <c r="N10" s="3">
        <v>0.3</v>
      </c>
      <c r="O10" s="3">
        <v>14</v>
      </c>
    </row>
    <row r="11" spans="1:15" ht="19" x14ac:dyDescent="0.25">
      <c r="A11" s="5">
        <v>10</v>
      </c>
      <c r="B11" s="5" t="s">
        <v>92</v>
      </c>
      <c r="C11" s="9" t="s">
        <v>93</v>
      </c>
      <c r="D11" s="9" t="str">
        <f t="shared" si="0"/>
        <v>Jul, 2022</v>
      </c>
      <c r="E11" s="5" t="s">
        <v>11</v>
      </c>
      <c r="F11" s="5" t="s">
        <v>171</v>
      </c>
      <c r="G11" s="5">
        <v>10</v>
      </c>
      <c r="H11" s="2"/>
      <c r="I11" s="2"/>
      <c r="J11" s="3">
        <v>2.61</v>
      </c>
      <c r="K11" s="4">
        <v>0.156</v>
      </c>
      <c r="L11" s="3">
        <v>0.86</v>
      </c>
      <c r="M11" s="3">
        <v>0.48</v>
      </c>
      <c r="N11" s="3">
        <v>0.28000000000000003</v>
      </c>
      <c r="O11" s="3">
        <v>13</v>
      </c>
    </row>
    <row r="12" spans="1:15" ht="19" x14ac:dyDescent="0.25">
      <c r="A12" s="5">
        <v>11</v>
      </c>
      <c r="B12" s="5" t="s">
        <v>94</v>
      </c>
      <c r="C12" s="9" t="s">
        <v>95</v>
      </c>
      <c r="D12" s="9" t="str">
        <f t="shared" si="0"/>
        <v>Jul, 2022</v>
      </c>
      <c r="E12" s="5" t="s">
        <v>11</v>
      </c>
      <c r="F12" s="5" t="s">
        <v>171</v>
      </c>
      <c r="G12" s="5">
        <v>10</v>
      </c>
      <c r="H12" s="2"/>
      <c r="I12" s="2"/>
      <c r="J12" s="3">
        <v>2.68</v>
      </c>
      <c r="K12" s="4">
        <v>0.16500000000000001</v>
      </c>
      <c r="L12" s="3">
        <v>0.83</v>
      </c>
      <c r="M12" s="3">
        <v>0.41</v>
      </c>
      <c r="N12" s="3">
        <v>0.31</v>
      </c>
      <c r="O12" s="3">
        <v>14</v>
      </c>
    </row>
    <row r="13" spans="1:15" ht="19" x14ac:dyDescent="0.25">
      <c r="A13" s="5">
        <v>12</v>
      </c>
      <c r="B13" s="5" t="s">
        <v>96</v>
      </c>
      <c r="C13" s="9" t="s">
        <v>97</v>
      </c>
      <c r="D13" s="9" t="str">
        <f t="shared" si="0"/>
        <v>Jul, 2022</v>
      </c>
      <c r="E13" s="5" t="s">
        <v>11</v>
      </c>
      <c r="F13" s="5" t="s">
        <v>171</v>
      </c>
      <c r="G13" s="5">
        <v>10</v>
      </c>
      <c r="H13" s="2"/>
      <c r="I13" s="2"/>
      <c r="J13" s="3">
        <v>2.57</v>
      </c>
      <c r="K13" s="4">
        <v>0.161</v>
      </c>
      <c r="L13" s="3">
        <v>0.88</v>
      </c>
      <c r="M13" s="3">
        <v>0.59</v>
      </c>
      <c r="N13" s="3">
        <v>0.28000000000000003</v>
      </c>
      <c r="O13" s="3">
        <v>14</v>
      </c>
    </row>
    <row r="14" spans="1:15" ht="19" x14ac:dyDescent="0.25">
      <c r="A14" s="5">
        <v>13</v>
      </c>
      <c r="B14" s="5" t="s">
        <v>98</v>
      </c>
      <c r="C14" s="9" t="s">
        <v>99</v>
      </c>
      <c r="D14" s="9" t="str">
        <f t="shared" si="0"/>
        <v>Jul, 2022</v>
      </c>
      <c r="E14" s="5" t="s">
        <v>11</v>
      </c>
      <c r="F14" s="5" t="s">
        <v>171</v>
      </c>
      <c r="G14" s="5">
        <v>10</v>
      </c>
      <c r="H14" s="2"/>
      <c r="I14" s="2"/>
      <c r="J14" s="3">
        <v>2.5099999999999998</v>
      </c>
      <c r="K14" s="4">
        <v>0.16900000000000001</v>
      </c>
      <c r="L14" s="3">
        <v>0.86</v>
      </c>
      <c r="M14" s="3">
        <v>0.51</v>
      </c>
      <c r="N14" s="3">
        <v>0.28999999999999998</v>
      </c>
      <c r="O14" s="3">
        <v>17</v>
      </c>
    </row>
    <row r="15" spans="1:15" ht="19" x14ac:dyDescent="0.25">
      <c r="A15" s="5">
        <v>14</v>
      </c>
      <c r="B15" s="5" t="s">
        <v>100</v>
      </c>
      <c r="C15" s="9" t="s">
        <v>101</v>
      </c>
      <c r="D15" s="9" t="str">
        <f t="shared" si="0"/>
        <v>Jul, 2022</v>
      </c>
      <c r="E15" s="5" t="s">
        <v>11</v>
      </c>
      <c r="F15" s="5" t="s">
        <v>171</v>
      </c>
      <c r="G15" s="5">
        <v>10</v>
      </c>
      <c r="H15" s="2"/>
      <c r="I15" s="2"/>
      <c r="J15" s="3">
        <v>2.4900000000000002</v>
      </c>
      <c r="K15" s="4">
        <v>0.16200000000000001</v>
      </c>
      <c r="L15" s="3">
        <v>0.87</v>
      </c>
      <c r="M15" s="3">
        <v>0.48</v>
      </c>
      <c r="N15" s="3">
        <v>0.27</v>
      </c>
      <c r="O15" s="3">
        <v>17</v>
      </c>
    </row>
    <row r="16" spans="1:15" ht="19" x14ac:dyDescent="0.25">
      <c r="A16" s="5">
        <v>15</v>
      </c>
      <c r="B16" s="5" t="s">
        <v>102</v>
      </c>
      <c r="C16" s="9" t="s">
        <v>103</v>
      </c>
      <c r="D16" s="9" t="str">
        <f t="shared" si="0"/>
        <v>Jul, 2022</v>
      </c>
      <c r="E16" s="5" t="s">
        <v>11</v>
      </c>
      <c r="F16" s="5" t="s">
        <v>171</v>
      </c>
      <c r="G16" s="5">
        <v>10</v>
      </c>
      <c r="H16" s="2"/>
      <c r="I16" s="2"/>
      <c r="J16" s="3">
        <v>2.59</v>
      </c>
      <c r="K16" s="4">
        <v>0.16400000000000001</v>
      </c>
      <c r="L16" s="3">
        <v>0.83</v>
      </c>
      <c r="M16" s="3">
        <v>0.48</v>
      </c>
      <c r="N16" s="3">
        <v>0.24</v>
      </c>
      <c r="O16" s="3">
        <v>17</v>
      </c>
    </row>
    <row r="17" spans="1:15" ht="19" x14ac:dyDescent="0.25">
      <c r="A17" s="5">
        <v>16</v>
      </c>
      <c r="B17" s="5" t="s">
        <v>104</v>
      </c>
      <c r="C17" s="9" t="s">
        <v>105</v>
      </c>
      <c r="D17" s="9" t="str">
        <f t="shared" si="0"/>
        <v>Jul, 2022</v>
      </c>
      <c r="E17" s="5" t="s">
        <v>11</v>
      </c>
      <c r="F17" s="5" t="s">
        <v>171</v>
      </c>
      <c r="G17" s="5">
        <v>10</v>
      </c>
      <c r="H17" s="2"/>
      <c r="I17" s="2"/>
      <c r="J17" s="3">
        <v>2.56</v>
      </c>
      <c r="K17" s="4">
        <v>0.161</v>
      </c>
      <c r="L17" s="3">
        <v>0.87</v>
      </c>
      <c r="M17" s="3">
        <v>0.51</v>
      </c>
      <c r="N17" s="3">
        <v>0.24</v>
      </c>
      <c r="O17" s="3">
        <v>17</v>
      </c>
    </row>
    <row r="18" spans="1:15" ht="19" x14ac:dyDescent="0.25">
      <c r="A18" s="5">
        <v>17</v>
      </c>
      <c r="B18" s="5" t="s">
        <v>106</v>
      </c>
      <c r="C18" s="9" t="s">
        <v>107</v>
      </c>
      <c r="D18" s="9" t="str">
        <f t="shared" si="0"/>
        <v>Jul, 2022</v>
      </c>
      <c r="E18" s="5" t="s">
        <v>11</v>
      </c>
      <c r="F18" s="5" t="s">
        <v>171</v>
      </c>
      <c r="G18" s="5">
        <v>10</v>
      </c>
      <c r="H18" s="2"/>
      <c r="I18" s="2"/>
      <c r="J18" s="3">
        <v>2.59</v>
      </c>
      <c r="K18" s="4">
        <v>0.16300000000000001</v>
      </c>
      <c r="L18" s="3">
        <v>0.85</v>
      </c>
      <c r="M18" s="3">
        <v>0.48</v>
      </c>
      <c r="N18" s="3">
        <v>0.28000000000000003</v>
      </c>
      <c r="O18" s="3">
        <v>16</v>
      </c>
    </row>
    <row r="19" spans="1:15" ht="19" x14ac:dyDescent="0.25">
      <c r="A19" s="5">
        <v>18</v>
      </c>
      <c r="B19" s="5" t="s">
        <v>108</v>
      </c>
      <c r="C19" s="9" t="s">
        <v>109</v>
      </c>
      <c r="D19" s="9" t="str">
        <f t="shared" si="0"/>
        <v>Jul, 2022</v>
      </c>
      <c r="E19" s="5" t="s">
        <v>11</v>
      </c>
      <c r="F19" s="5" t="s">
        <v>171</v>
      </c>
      <c r="G19" s="5">
        <v>10</v>
      </c>
      <c r="H19" s="2"/>
      <c r="I19" s="2"/>
      <c r="J19" s="3">
        <v>2.63</v>
      </c>
      <c r="K19" s="4">
        <v>0.16</v>
      </c>
      <c r="L19" s="3">
        <v>0.86</v>
      </c>
      <c r="M19" s="3">
        <v>0.42</v>
      </c>
      <c r="N19" s="3">
        <v>0.3</v>
      </c>
      <c r="O19" s="3">
        <v>15</v>
      </c>
    </row>
    <row r="20" spans="1:15" ht="19" x14ac:dyDescent="0.25">
      <c r="A20" s="5">
        <v>19</v>
      </c>
      <c r="B20" s="5" t="s">
        <v>110</v>
      </c>
      <c r="C20" s="9" t="s">
        <v>111</v>
      </c>
      <c r="D20" s="9" t="str">
        <f t="shared" si="0"/>
        <v>Jul, 2022</v>
      </c>
      <c r="E20" s="5" t="s">
        <v>11</v>
      </c>
      <c r="F20" s="5" t="s">
        <v>171</v>
      </c>
      <c r="G20" s="5">
        <v>10</v>
      </c>
      <c r="H20" s="2"/>
      <c r="I20" s="2"/>
      <c r="J20" s="3">
        <v>2.4900000000000002</v>
      </c>
      <c r="K20" s="4">
        <v>0.159</v>
      </c>
      <c r="L20" s="3">
        <v>0.87</v>
      </c>
      <c r="M20" s="3">
        <v>0.46</v>
      </c>
      <c r="N20" s="3">
        <v>0.24</v>
      </c>
      <c r="O20" s="3">
        <v>15</v>
      </c>
    </row>
    <row r="21" spans="1:15" ht="19" x14ac:dyDescent="0.25">
      <c r="A21" s="5">
        <v>20</v>
      </c>
      <c r="B21" s="5" t="s">
        <v>112</v>
      </c>
      <c r="C21" s="9" t="s">
        <v>113</v>
      </c>
      <c r="D21" s="9" t="str">
        <f t="shared" si="0"/>
        <v>Jul, 2022</v>
      </c>
      <c r="E21" s="5" t="s">
        <v>11</v>
      </c>
      <c r="F21" s="5" t="s">
        <v>171</v>
      </c>
      <c r="G21" s="5">
        <v>10</v>
      </c>
      <c r="H21" s="2"/>
      <c r="I21" s="2"/>
      <c r="J21" s="3">
        <v>2.59</v>
      </c>
      <c r="K21" s="4">
        <v>0.16200000000000001</v>
      </c>
      <c r="L21" s="3">
        <v>0.83</v>
      </c>
      <c r="M21" s="3">
        <v>0.48</v>
      </c>
      <c r="N21" s="3">
        <v>0.24</v>
      </c>
      <c r="O21" s="3">
        <v>17</v>
      </c>
    </row>
    <row r="22" spans="1:15" ht="19" x14ac:dyDescent="0.25">
      <c r="A22" s="5">
        <v>21</v>
      </c>
      <c r="B22" s="5" t="s">
        <v>114</v>
      </c>
      <c r="C22" s="9" t="s">
        <v>115</v>
      </c>
      <c r="D22" s="9" t="str">
        <f t="shared" si="0"/>
        <v>Jul, 2022</v>
      </c>
      <c r="E22" s="5" t="s">
        <v>11</v>
      </c>
      <c r="F22" s="5" t="s">
        <v>171</v>
      </c>
      <c r="G22" s="5">
        <v>11</v>
      </c>
      <c r="H22" s="2"/>
      <c r="I22" s="2"/>
      <c r="J22" s="3">
        <v>2.57</v>
      </c>
      <c r="K22" s="4">
        <v>0.154</v>
      </c>
      <c r="L22" s="3">
        <v>0.85</v>
      </c>
      <c r="M22" s="3">
        <v>0.46</v>
      </c>
      <c r="N22" s="3">
        <v>0.25</v>
      </c>
      <c r="O22" s="3">
        <v>14</v>
      </c>
    </row>
    <row r="23" spans="1:15" ht="19" x14ac:dyDescent="0.25">
      <c r="A23" s="5">
        <v>22</v>
      </c>
      <c r="B23" s="5" t="s">
        <v>116</v>
      </c>
      <c r="C23" s="9" t="s">
        <v>117</v>
      </c>
      <c r="D23" s="9" t="str">
        <f t="shared" si="0"/>
        <v>Jul, 2022</v>
      </c>
      <c r="E23" s="5" t="s">
        <v>11</v>
      </c>
      <c r="F23" s="5" t="s">
        <v>171</v>
      </c>
      <c r="G23" s="5">
        <v>11</v>
      </c>
      <c r="H23" s="2"/>
      <c r="I23" s="2"/>
      <c r="J23" s="3">
        <v>2.58</v>
      </c>
      <c r="K23" s="4">
        <v>0.16</v>
      </c>
      <c r="L23" s="3">
        <v>0.85</v>
      </c>
      <c r="M23" s="3">
        <v>0.79</v>
      </c>
      <c r="N23" s="3">
        <v>0.28000000000000003</v>
      </c>
      <c r="O23" s="3">
        <v>14</v>
      </c>
    </row>
    <row r="24" spans="1:15" ht="19" x14ac:dyDescent="0.25">
      <c r="A24" s="5">
        <v>23</v>
      </c>
      <c r="B24" s="5" t="s">
        <v>118</v>
      </c>
      <c r="C24" s="9" t="s">
        <v>119</v>
      </c>
      <c r="D24" s="9" t="str">
        <f t="shared" si="0"/>
        <v>Jul, 2022</v>
      </c>
      <c r="E24" s="5" t="s">
        <v>11</v>
      </c>
      <c r="F24" s="5" t="s">
        <v>171</v>
      </c>
      <c r="G24" s="5">
        <v>11</v>
      </c>
      <c r="H24" s="2"/>
      <c r="I24" s="2"/>
      <c r="J24" s="3">
        <v>2.5299999999999998</v>
      </c>
      <c r="K24" s="4">
        <v>0.16200000000000001</v>
      </c>
      <c r="L24" s="3">
        <v>0.88</v>
      </c>
      <c r="M24" s="3">
        <v>0.48</v>
      </c>
      <c r="N24" s="3">
        <v>0.3</v>
      </c>
      <c r="O24" s="3">
        <v>15</v>
      </c>
    </row>
    <row r="25" spans="1:15" ht="19" x14ac:dyDescent="0.25">
      <c r="A25" s="5">
        <v>24</v>
      </c>
      <c r="B25" s="5" t="s">
        <v>120</v>
      </c>
      <c r="C25" s="9" t="s">
        <v>121</v>
      </c>
      <c r="D25" s="9" t="str">
        <f t="shared" si="0"/>
        <v>Jul, 2022</v>
      </c>
      <c r="E25" s="5" t="s">
        <v>11</v>
      </c>
      <c r="F25" s="5" t="s">
        <v>171</v>
      </c>
      <c r="G25" s="5">
        <v>11</v>
      </c>
      <c r="H25" s="2"/>
      <c r="I25" s="2"/>
      <c r="J25" s="3">
        <v>2.63</v>
      </c>
      <c r="K25" s="4">
        <v>0.16700000000000001</v>
      </c>
      <c r="L25" s="3">
        <v>0.87</v>
      </c>
      <c r="M25" s="3">
        <v>0.49</v>
      </c>
      <c r="N25" s="3">
        <v>0.28999999999999998</v>
      </c>
      <c r="O25" s="3">
        <v>17</v>
      </c>
    </row>
    <row r="26" spans="1:15" ht="19" x14ac:dyDescent="0.25">
      <c r="A26" s="5">
        <v>25</v>
      </c>
      <c r="B26" s="5" t="s">
        <v>122</v>
      </c>
      <c r="C26" s="9" t="s">
        <v>123</v>
      </c>
      <c r="D26" s="9" t="str">
        <f t="shared" si="0"/>
        <v>Jul, 2022</v>
      </c>
      <c r="E26" s="5" t="s">
        <v>11</v>
      </c>
      <c r="F26" s="5" t="s">
        <v>171</v>
      </c>
      <c r="G26" s="5">
        <v>11</v>
      </c>
      <c r="H26" s="2"/>
      <c r="I26" s="2"/>
      <c r="J26" s="3">
        <v>2.68</v>
      </c>
      <c r="K26" s="4">
        <v>0.16700000000000001</v>
      </c>
      <c r="L26" s="3">
        <v>0.84</v>
      </c>
      <c r="M26" s="3">
        <v>0.49</v>
      </c>
      <c r="N26" s="3">
        <v>0.28999999999999998</v>
      </c>
      <c r="O26" s="3">
        <v>17</v>
      </c>
    </row>
    <row r="27" spans="1:15" ht="19" x14ac:dyDescent="0.25">
      <c r="A27" s="5">
        <v>26</v>
      </c>
      <c r="B27" s="5" t="s">
        <v>124</v>
      </c>
      <c r="C27" s="9" t="s">
        <v>125</v>
      </c>
      <c r="D27" s="9" t="str">
        <f t="shared" si="0"/>
        <v>Jul, 2022</v>
      </c>
      <c r="E27" s="5" t="s">
        <v>11</v>
      </c>
      <c r="F27" s="5" t="s">
        <v>171</v>
      </c>
      <c r="G27" s="5">
        <v>11</v>
      </c>
      <c r="H27" s="2"/>
      <c r="I27" s="2"/>
      <c r="J27" s="3">
        <v>2.5499999999999998</v>
      </c>
      <c r="K27" s="4">
        <v>0.161</v>
      </c>
      <c r="L27" s="3">
        <v>0.89</v>
      </c>
      <c r="M27" s="3">
        <v>0.53</v>
      </c>
      <c r="N27" s="3">
        <v>0.25</v>
      </c>
      <c r="O27" s="3">
        <v>17</v>
      </c>
    </row>
    <row r="28" spans="1:15" ht="19" x14ac:dyDescent="0.25">
      <c r="A28" s="5">
        <v>27</v>
      </c>
      <c r="B28" s="5" t="s">
        <v>126</v>
      </c>
      <c r="C28" s="9" t="s">
        <v>127</v>
      </c>
      <c r="D28" s="9" t="str">
        <f t="shared" si="0"/>
        <v>Jul, 2022</v>
      </c>
      <c r="E28" s="5" t="s">
        <v>11</v>
      </c>
      <c r="F28" s="5" t="s">
        <v>171</v>
      </c>
      <c r="G28" s="5">
        <v>11</v>
      </c>
      <c r="H28" s="2"/>
      <c r="I28" s="2"/>
      <c r="J28" s="3">
        <v>2.65</v>
      </c>
      <c r="K28" s="4">
        <v>0.154</v>
      </c>
      <c r="L28" s="3">
        <v>0.83</v>
      </c>
      <c r="M28" s="3">
        <v>0.71</v>
      </c>
      <c r="N28" s="3">
        <v>0.25</v>
      </c>
      <c r="O28" s="3">
        <v>14</v>
      </c>
    </row>
    <row r="29" spans="1:15" ht="19" x14ac:dyDescent="0.25">
      <c r="A29" s="5">
        <v>28</v>
      </c>
      <c r="B29" s="5" t="s">
        <v>128</v>
      </c>
      <c r="C29" s="9" t="s">
        <v>129</v>
      </c>
      <c r="D29" s="9" t="str">
        <f t="shared" si="0"/>
        <v>Jul, 2022</v>
      </c>
      <c r="E29" s="5" t="s">
        <v>11</v>
      </c>
      <c r="F29" s="5" t="s">
        <v>171</v>
      </c>
      <c r="G29" s="5">
        <v>11</v>
      </c>
      <c r="H29" s="2"/>
      <c r="I29" s="2"/>
      <c r="J29" s="3">
        <v>2.57</v>
      </c>
      <c r="K29" s="4">
        <v>0.17399999999999999</v>
      </c>
      <c r="L29" s="3">
        <v>0.95</v>
      </c>
      <c r="M29" s="3">
        <v>0.48</v>
      </c>
      <c r="N29" s="3">
        <v>0.28999999999999998</v>
      </c>
      <c r="O29" s="3">
        <v>14</v>
      </c>
    </row>
    <row r="30" spans="1:15" ht="19" x14ac:dyDescent="0.25">
      <c r="A30" s="5">
        <v>29</v>
      </c>
      <c r="B30" s="5" t="s">
        <v>130</v>
      </c>
      <c r="C30" s="9" t="s">
        <v>131</v>
      </c>
      <c r="D30" s="9" t="str">
        <f t="shared" si="0"/>
        <v>Jul, 2022</v>
      </c>
      <c r="E30" s="5" t="s">
        <v>11</v>
      </c>
      <c r="F30" s="5" t="s">
        <v>171</v>
      </c>
      <c r="G30" s="5">
        <v>11</v>
      </c>
      <c r="H30" s="2"/>
      <c r="I30" s="2"/>
      <c r="J30" s="3">
        <v>2.54</v>
      </c>
      <c r="K30" s="4">
        <v>0.16600000000000001</v>
      </c>
      <c r="L30" s="3">
        <v>0.85</v>
      </c>
      <c r="M30" s="3">
        <v>0.49</v>
      </c>
      <c r="N30" s="3">
        <v>0.25</v>
      </c>
      <c r="O30" s="3">
        <v>17</v>
      </c>
    </row>
    <row r="31" spans="1:15" ht="19" x14ac:dyDescent="0.25">
      <c r="A31" s="5">
        <v>30</v>
      </c>
      <c r="B31" s="5" t="s">
        <v>132</v>
      </c>
      <c r="C31" s="9" t="s">
        <v>133</v>
      </c>
      <c r="D31" s="9" t="str">
        <f t="shared" si="0"/>
        <v>Jul, 2022</v>
      </c>
      <c r="E31" s="5" t="s">
        <v>11</v>
      </c>
      <c r="F31" s="5" t="s">
        <v>171</v>
      </c>
      <c r="G31" s="5">
        <v>11</v>
      </c>
      <c r="H31" s="2"/>
      <c r="I31" s="2"/>
      <c r="J31" s="3">
        <v>2.54</v>
      </c>
      <c r="K31" s="4">
        <v>0.16800000000000001</v>
      </c>
      <c r="L31" s="3">
        <v>0.86</v>
      </c>
      <c r="M31" s="3">
        <v>0.48</v>
      </c>
      <c r="N31" s="3">
        <v>0.28999999999999998</v>
      </c>
      <c r="O31" s="3">
        <v>17</v>
      </c>
    </row>
    <row r="32" spans="1:15" ht="19" x14ac:dyDescent="0.25">
      <c r="A32" s="5">
        <v>31</v>
      </c>
      <c r="B32" s="5" t="s">
        <v>134</v>
      </c>
      <c r="C32" s="9" t="s">
        <v>135</v>
      </c>
      <c r="D32" s="9" t="str">
        <f t="shared" si="0"/>
        <v>Jul, 2022</v>
      </c>
      <c r="E32" s="5" t="s">
        <v>11</v>
      </c>
      <c r="F32" s="5" t="s">
        <v>171</v>
      </c>
      <c r="G32" s="5">
        <v>12</v>
      </c>
      <c r="H32" s="2"/>
      <c r="I32" s="2"/>
      <c r="J32" s="3">
        <v>2.54</v>
      </c>
      <c r="K32" s="4">
        <v>0.161</v>
      </c>
      <c r="L32" s="3">
        <v>0.9</v>
      </c>
      <c r="M32" s="3">
        <v>0.6</v>
      </c>
      <c r="N32" s="3">
        <v>0.3</v>
      </c>
      <c r="O32" s="3">
        <v>17</v>
      </c>
    </row>
    <row r="33" spans="1:15" ht="19" x14ac:dyDescent="0.25">
      <c r="A33" s="5">
        <v>32</v>
      </c>
      <c r="B33" s="5" t="s">
        <v>136</v>
      </c>
      <c r="C33" s="9" t="s">
        <v>137</v>
      </c>
      <c r="D33" s="9" t="str">
        <f t="shared" si="0"/>
        <v>Jul, 2022</v>
      </c>
      <c r="E33" s="5" t="s">
        <v>11</v>
      </c>
      <c r="F33" s="5" t="s">
        <v>171</v>
      </c>
      <c r="G33" s="5">
        <v>12</v>
      </c>
      <c r="H33" s="2"/>
      <c r="I33" s="2"/>
      <c r="J33" s="3">
        <v>2.5099999999999998</v>
      </c>
      <c r="K33" s="4">
        <v>0.16700000000000001</v>
      </c>
      <c r="L33" s="3">
        <v>0.85</v>
      </c>
      <c r="M33" s="3">
        <v>0.48</v>
      </c>
      <c r="N33" s="3">
        <v>0.28000000000000003</v>
      </c>
      <c r="O33" s="3">
        <v>18</v>
      </c>
    </row>
    <row r="34" spans="1:15" ht="19" x14ac:dyDescent="0.25">
      <c r="A34" s="5">
        <v>33</v>
      </c>
      <c r="B34" s="5" t="s">
        <v>138</v>
      </c>
      <c r="C34" s="9" t="s">
        <v>139</v>
      </c>
      <c r="D34" s="9" t="str">
        <f t="shared" si="0"/>
        <v>Aug, 2022</v>
      </c>
      <c r="E34" s="5" t="s">
        <v>11</v>
      </c>
      <c r="F34" s="5" t="s">
        <v>171</v>
      </c>
      <c r="G34" s="5">
        <v>12</v>
      </c>
      <c r="H34" s="2"/>
      <c r="I34" s="2"/>
      <c r="J34" s="3">
        <v>2.52</v>
      </c>
      <c r="K34" s="4">
        <v>0.16600000000000001</v>
      </c>
      <c r="L34" s="3">
        <v>0.83</v>
      </c>
      <c r="M34" s="3">
        <v>0.47</v>
      </c>
      <c r="N34" s="3">
        <v>0.28000000000000003</v>
      </c>
      <c r="O34" s="3">
        <v>17</v>
      </c>
    </row>
    <row r="35" spans="1:15" ht="19" x14ac:dyDescent="0.25">
      <c r="A35" s="5">
        <v>34</v>
      </c>
      <c r="B35" s="5" t="s">
        <v>140</v>
      </c>
      <c r="C35" s="9" t="s">
        <v>141</v>
      </c>
      <c r="D35" s="9" t="str">
        <f t="shared" si="0"/>
        <v>Aug, 2022</v>
      </c>
      <c r="E35" s="5" t="s">
        <v>11</v>
      </c>
      <c r="F35" s="5" t="s">
        <v>171</v>
      </c>
      <c r="G35" s="5">
        <v>12</v>
      </c>
      <c r="H35" s="2"/>
      <c r="I35" s="2"/>
      <c r="J35" s="3">
        <v>2.66</v>
      </c>
      <c r="K35" s="4">
        <v>0.16300000000000001</v>
      </c>
      <c r="L35" s="3">
        <v>0.87</v>
      </c>
      <c r="M35" s="3">
        <v>0.5</v>
      </c>
      <c r="N35" s="3">
        <v>0.3</v>
      </c>
      <c r="O35" s="3">
        <v>18</v>
      </c>
    </row>
    <row r="36" spans="1:15" ht="19" x14ac:dyDescent="0.25">
      <c r="A36" s="5">
        <v>35</v>
      </c>
      <c r="B36" s="5" t="s">
        <v>142</v>
      </c>
      <c r="C36" s="9" t="s">
        <v>143</v>
      </c>
      <c r="D36" s="9" t="str">
        <f t="shared" si="0"/>
        <v>Aug, 2022</v>
      </c>
      <c r="E36" s="5" t="s">
        <v>11</v>
      </c>
      <c r="F36" s="5" t="s">
        <v>171</v>
      </c>
      <c r="G36" s="5">
        <v>12</v>
      </c>
      <c r="H36" s="2"/>
      <c r="I36" s="2"/>
      <c r="J36" s="3">
        <v>2.65</v>
      </c>
      <c r="K36" s="4">
        <v>0.16800000000000001</v>
      </c>
      <c r="L36" s="3">
        <v>0.81</v>
      </c>
      <c r="M36" s="3">
        <v>0.45</v>
      </c>
      <c r="N36" s="3">
        <v>0.32</v>
      </c>
      <c r="O36" s="3">
        <v>17</v>
      </c>
    </row>
    <row r="37" spans="1:15" ht="19" x14ac:dyDescent="0.25">
      <c r="A37" s="5">
        <v>36</v>
      </c>
      <c r="B37" s="5" t="s">
        <v>144</v>
      </c>
      <c r="C37" s="9" t="s">
        <v>145</v>
      </c>
      <c r="D37" s="9" t="str">
        <f t="shared" si="0"/>
        <v>Aug, 2022</v>
      </c>
      <c r="E37" s="5" t="s">
        <v>11</v>
      </c>
      <c r="F37" s="5" t="s">
        <v>171</v>
      </c>
      <c r="G37" s="5">
        <v>12</v>
      </c>
      <c r="H37" s="2"/>
      <c r="I37" s="2"/>
      <c r="J37" s="10">
        <v>2.54</v>
      </c>
      <c r="K37" s="11">
        <v>0.17100000000000001</v>
      </c>
      <c r="L37" s="10">
        <v>0.81</v>
      </c>
      <c r="M37" s="10">
        <v>0.45</v>
      </c>
      <c r="N37" s="10">
        <v>0.32</v>
      </c>
      <c r="O37" s="12">
        <v>16</v>
      </c>
    </row>
    <row r="38" spans="1:15" ht="19" x14ac:dyDescent="0.25">
      <c r="A38" s="5">
        <v>37</v>
      </c>
      <c r="B38" s="5" t="s">
        <v>146</v>
      </c>
      <c r="C38" s="9" t="s">
        <v>147</v>
      </c>
      <c r="D38" s="9" t="str">
        <f t="shared" si="0"/>
        <v>Aug, 2022</v>
      </c>
      <c r="E38" s="5" t="s">
        <v>11</v>
      </c>
      <c r="F38" s="5" t="s">
        <v>171</v>
      </c>
      <c r="G38" s="5">
        <v>12</v>
      </c>
      <c r="H38" s="2"/>
      <c r="I38" s="2"/>
      <c r="J38" s="10">
        <v>2.56</v>
      </c>
      <c r="K38" s="11">
        <v>0.17799999999999999</v>
      </c>
      <c r="L38" s="10">
        <v>0.9</v>
      </c>
      <c r="M38" s="10">
        <v>0.62</v>
      </c>
      <c r="N38" s="10">
        <v>0.33</v>
      </c>
      <c r="O38" s="12">
        <v>15</v>
      </c>
    </row>
    <row r="39" spans="1:15" ht="19" x14ac:dyDescent="0.25">
      <c r="A39" s="5">
        <v>38</v>
      </c>
      <c r="B39" s="5" t="s">
        <v>148</v>
      </c>
      <c r="C39" s="9" t="s">
        <v>149</v>
      </c>
      <c r="D39" s="9" t="str">
        <f t="shared" si="0"/>
        <v>Aug, 2022</v>
      </c>
      <c r="E39" s="5" t="s">
        <v>11</v>
      </c>
      <c r="F39" s="5" t="s">
        <v>171</v>
      </c>
      <c r="G39" s="5">
        <v>12</v>
      </c>
      <c r="H39" s="2"/>
      <c r="I39" s="2"/>
      <c r="J39" s="10">
        <v>2.5</v>
      </c>
      <c r="K39" s="11">
        <v>0.16400000000000001</v>
      </c>
      <c r="L39" s="10">
        <v>0.87</v>
      </c>
      <c r="M39" s="10">
        <v>0.49</v>
      </c>
      <c r="N39" s="10">
        <v>0.3</v>
      </c>
      <c r="O39" s="12">
        <v>15</v>
      </c>
    </row>
    <row r="40" spans="1:15" ht="19" x14ac:dyDescent="0.25">
      <c r="A40" s="5">
        <v>39</v>
      </c>
      <c r="B40" s="5" t="s">
        <v>150</v>
      </c>
      <c r="C40" s="9" t="s">
        <v>151</v>
      </c>
      <c r="D40" s="9" t="str">
        <f t="shared" si="0"/>
        <v>Aug, 2022</v>
      </c>
      <c r="E40" s="5" t="s">
        <v>11</v>
      </c>
      <c r="F40" s="5" t="s">
        <v>171</v>
      </c>
      <c r="G40" s="5">
        <v>12</v>
      </c>
      <c r="H40" s="2"/>
      <c r="I40" s="2"/>
      <c r="J40" s="10">
        <v>2.6</v>
      </c>
      <c r="K40" s="11">
        <v>0.17699999999999999</v>
      </c>
      <c r="L40" s="10">
        <v>0.93</v>
      </c>
      <c r="M40" s="10">
        <v>0.79</v>
      </c>
      <c r="N40" s="10">
        <v>0.32</v>
      </c>
      <c r="O40" s="12">
        <v>17</v>
      </c>
    </row>
    <row r="41" spans="1:15" ht="19" x14ac:dyDescent="0.25">
      <c r="A41" s="5">
        <v>40</v>
      </c>
      <c r="B41" s="5" t="s">
        <v>152</v>
      </c>
      <c r="C41" s="9" t="s">
        <v>153</v>
      </c>
      <c r="D41" s="9" t="str">
        <f t="shared" si="0"/>
        <v>Aug, 2022</v>
      </c>
      <c r="E41" s="5" t="s">
        <v>11</v>
      </c>
      <c r="F41" s="5" t="s">
        <v>171</v>
      </c>
      <c r="G41" s="5">
        <v>12</v>
      </c>
      <c r="H41" s="2"/>
      <c r="I41" s="2"/>
      <c r="J41" s="10">
        <v>2.74</v>
      </c>
      <c r="K41" s="11">
        <v>0.16600000000000001</v>
      </c>
      <c r="L41" s="10">
        <v>0.86</v>
      </c>
      <c r="M41" s="10">
        <v>0.49</v>
      </c>
      <c r="N41" s="10">
        <v>0.26</v>
      </c>
      <c r="O41" s="12">
        <v>17</v>
      </c>
    </row>
    <row r="42" spans="1:15" ht="19" x14ac:dyDescent="0.25">
      <c r="A42" s="5">
        <v>42</v>
      </c>
      <c r="B42" s="5" t="s">
        <v>154</v>
      </c>
      <c r="C42" s="9" t="s">
        <v>155</v>
      </c>
      <c r="D42" s="9" t="str">
        <f t="shared" si="0"/>
        <v>Jul, 2022</v>
      </c>
      <c r="E42" s="5" t="s">
        <v>11</v>
      </c>
      <c r="F42" s="5" t="s">
        <v>171</v>
      </c>
      <c r="G42" s="5">
        <v>12</v>
      </c>
      <c r="H42" s="2"/>
      <c r="I42" s="2"/>
      <c r="J42" s="3">
        <v>2.5099999999999998</v>
      </c>
      <c r="K42" s="4">
        <v>0.16700000000000001</v>
      </c>
      <c r="L42" s="3">
        <v>0.87</v>
      </c>
      <c r="M42" s="3">
        <v>0.48</v>
      </c>
      <c r="N42" s="3">
        <v>0.28999999999999998</v>
      </c>
      <c r="O42" s="3">
        <v>15</v>
      </c>
    </row>
    <row r="43" spans="1:15" ht="19" x14ac:dyDescent="0.25">
      <c r="A43" s="5">
        <v>43</v>
      </c>
      <c r="B43" s="5" t="s">
        <v>156</v>
      </c>
      <c r="C43" s="9" t="s">
        <v>157</v>
      </c>
      <c r="D43" s="9" t="str">
        <f t="shared" si="0"/>
        <v>Jul, 2022</v>
      </c>
      <c r="E43" s="5" t="s">
        <v>11</v>
      </c>
      <c r="F43" s="5" t="s">
        <v>171</v>
      </c>
      <c r="G43" s="5">
        <v>12</v>
      </c>
      <c r="H43" s="2"/>
      <c r="I43" s="2"/>
      <c r="J43" s="3">
        <v>2.5499999999999998</v>
      </c>
      <c r="K43" s="4">
        <v>0.16900000000000001</v>
      </c>
      <c r="L43" s="3">
        <v>0.87</v>
      </c>
      <c r="M43" s="3">
        <v>0.41</v>
      </c>
      <c r="N43" s="3">
        <v>0.31</v>
      </c>
      <c r="O43" s="3">
        <v>16</v>
      </c>
    </row>
    <row r="44" spans="1:15" ht="19" x14ac:dyDescent="0.25">
      <c r="A44" s="5">
        <v>44</v>
      </c>
      <c r="B44" s="5" t="s">
        <v>158</v>
      </c>
      <c r="C44" s="9" t="s">
        <v>159</v>
      </c>
      <c r="D44" s="9" t="str">
        <f t="shared" si="0"/>
        <v>Jul, 2022</v>
      </c>
      <c r="E44" s="5" t="s">
        <v>11</v>
      </c>
      <c r="F44" s="5" t="s">
        <v>171</v>
      </c>
      <c r="G44" s="5">
        <v>12</v>
      </c>
      <c r="H44" s="2"/>
      <c r="I44" s="2"/>
      <c r="J44" s="3">
        <v>2.59</v>
      </c>
      <c r="K44" s="4">
        <v>0.15</v>
      </c>
      <c r="L44" s="3">
        <v>0.85</v>
      </c>
      <c r="M44" s="3">
        <v>0.44</v>
      </c>
      <c r="N44" s="3">
        <v>0.23</v>
      </c>
      <c r="O44" s="3">
        <v>15</v>
      </c>
    </row>
    <row r="45" spans="1:15" ht="19" x14ac:dyDescent="0.25">
      <c r="A45" s="5">
        <v>45</v>
      </c>
      <c r="B45" s="5" t="s">
        <v>160</v>
      </c>
      <c r="C45" s="9" t="s">
        <v>161</v>
      </c>
      <c r="D45" s="9" t="str">
        <f t="shared" si="0"/>
        <v>Jul, 2022</v>
      </c>
      <c r="E45" s="5" t="s">
        <v>11</v>
      </c>
      <c r="F45" s="5" t="s">
        <v>171</v>
      </c>
      <c r="G45" s="5">
        <v>12</v>
      </c>
      <c r="H45" s="2"/>
      <c r="I45" s="2"/>
      <c r="J45" s="3">
        <v>2.65</v>
      </c>
      <c r="K45" s="4">
        <v>0.159</v>
      </c>
      <c r="L45" s="3">
        <v>0.9</v>
      </c>
      <c r="M45" s="3">
        <v>0.49</v>
      </c>
      <c r="N45" s="3">
        <v>0.28999999999999998</v>
      </c>
      <c r="O45" s="3">
        <v>17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CF14-DCE2-6247-9447-BFD118A98056}">
  <dimension ref="A1:Q11"/>
  <sheetViews>
    <sheetView zoomScaleNormal="100" workbookViewId="0">
      <selection activeCell="I20" sqref="I20"/>
    </sheetView>
  </sheetViews>
  <sheetFormatPr baseColWidth="10" defaultRowHeight="16" x14ac:dyDescent="0.2"/>
  <cols>
    <col min="1" max="1" width="17" style="6" customWidth="1"/>
    <col min="2" max="2" width="17" style="23" customWidth="1"/>
    <col min="3" max="3" width="23.83203125" style="6" customWidth="1"/>
    <col min="4" max="7" width="17" style="6" customWidth="1"/>
    <col min="8" max="11" width="17" customWidth="1"/>
    <col min="12" max="15" width="16.6640625" customWidth="1"/>
  </cols>
  <sheetData>
    <row r="1" spans="1:17" ht="19" x14ac:dyDescent="0.2">
      <c r="A1" s="1" t="s">
        <v>8</v>
      </c>
      <c r="B1" s="2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22" t="s">
        <v>25</v>
      </c>
      <c r="C2" s="5" t="s">
        <v>24</v>
      </c>
      <c r="D2" s="9" t="s">
        <v>22</v>
      </c>
      <c r="E2" s="5" t="s">
        <v>11</v>
      </c>
      <c r="F2" s="5" t="s">
        <v>171</v>
      </c>
      <c r="G2" s="5">
        <v>10</v>
      </c>
      <c r="H2" s="2"/>
      <c r="I2" s="2"/>
      <c r="J2" s="3">
        <v>2.78</v>
      </c>
      <c r="K2" s="4">
        <v>0.16700000000000001</v>
      </c>
      <c r="L2" s="3">
        <v>1.1000000000000001</v>
      </c>
      <c r="M2" s="3" t="s">
        <v>24</v>
      </c>
      <c r="N2" s="3">
        <v>0.31</v>
      </c>
      <c r="O2" s="3">
        <v>11</v>
      </c>
    </row>
    <row r="3" spans="1:17" ht="19" x14ac:dyDescent="0.25">
      <c r="A3" s="5">
        <v>2</v>
      </c>
      <c r="B3" s="22" t="s">
        <v>162</v>
      </c>
      <c r="C3" s="5" t="s">
        <v>24</v>
      </c>
      <c r="D3" s="9" t="s">
        <v>22</v>
      </c>
      <c r="E3" s="5" t="s">
        <v>11</v>
      </c>
      <c r="F3" s="5" t="s">
        <v>171</v>
      </c>
      <c r="G3" s="5">
        <v>10</v>
      </c>
      <c r="H3" s="2"/>
      <c r="I3" s="2"/>
      <c r="J3" s="3">
        <v>2.73</v>
      </c>
      <c r="K3" s="4">
        <v>0.16900000000000001</v>
      </c>
      <c r="L3" s="3">
        <v>1.1000000000000001</v>
      </c>
      <c r="M3" s="3" t="s">
        <v>24</v>
      </c>
      <c r="N3" s="3">
        <v>0.31</v>
      </c>
      <c r="O3" s="3">
        <v>12</v>
      </c>
      <c r="Q3" s="13"/>
    </row>
    <row r="4" spans="1:17" ht="19" x14ac:dyDescent="0.25">
      <c r="A4" s="5">
        <v>3</v>
      </c>
      <c r="B4" s="22" t="s">
        <v>163</v>
      </c>
      <c r="C4" s="5" t="s">
        <v>24</v>
      </c>
      <c r="D4" s="9" t="s">
        <v>22</v>
      </c>
      <c r="E4" s="5" t="s">
        <v>11</v>
      </c>
      <c r="F4" s="5" t="s">
        <v>171</v>
      </c>
      <c r="G4" s="5">
        <v>10</v>
      </c>
      <c r="H4" s="2"/>
      <c r="I4" s="2"/>
      <c r="J4" s="3">
        <v>2.71</v>
      </c>
      <c r="K4" s="4">
        <v>0.156</v>
      </c>
      <c r="L4" s="3">
        <v>1.07</v>
      </c>
      <c r="M4" s="3" t="s">
        <v>24</v>
      </c>
      <c r="N4" s="3">
        <v>0.28000000000000003</v>
      </c>
      <c r="O4" s="3">
        <v>11</v>
      </c>
      <c r="Q4" s="13"/>
    </row>
    <row r="5" spans="1:17" ht="19" x14ac:dyDescent="0.25">
      <c r="A5" s="5">
        <v>4</v>
      </c>
      <c r="B5" s="22" t="s">
        <v>164</v>
      </c>
      <c r="C5" s="5" t="s">
        <v>24</v>
      </c>
      <c r="D5" s="9" t="s">
        <v>22</v>
      </c>
      <c r="E5" s="5" t="s">
        <v>11</v>
      </c>
      <c r="F5" s="5" t="s">
        <v>171</v>
      </c>
      <c r="G5" s="5">
        <v>10</v>
      </c>
      <c r="H5" s="2"/>
      <c r="I5" s="2"/>
      <c r="J5" s="3">
        <v>2.77</v>
      </c>
      <c r="K5" s="4">
        <v>0.16700000000000001</v>
      </c>
      <c r="L5" s="3">
        <v>1.1299999999999999</v>
      </c>
      <c r="M5" s="3" t="s">
        <v>24</v>
      </c>
      <c r="N5" s="3">
        <v>0.33</v>
      </c>
      <c r="O5" s="3">
        <v>14</v>
      </c>
      <c r="Q5" s="13"/>
    </row>
    <row r="6" spans="1:17" ht="19" x14ac:dyDescent="0.25">
      <c r="A6" s="5">
        <v>5</v>
      </c>
      <c r="B6" s="22" t="s">
        <v>165</v>
      </c>
      <c r="C6" s="5" t="s">
        <v>24</v>
      </c>
      <c r="D6" s="9" t="s">
        <v>21</v>
      </c>
      <c r="E6" s="5" t="s">
        <v>11</v>
      </c>
      <c r="F6" s="5" t="s">
        <v>171</v>
      </c>
      <c r="G6" s="5">
        <v>11</v>
      </c>
      <c r="H6" s="2"/>
      <c r="I6" s="2"/>
      <c r="J6" s="3">
        <v>2.4300000000000002</v>
      </c>
      <c r="K6" s="4">
        <v>0.16700000000000001</v>
      </c>
      <c r="L6" s="3">
        <v>1.02</v>
      </c>
      <c r="M6" s="3" t="s">
        <v>24</v>
      </c>
      <c r="N6" s="3">
        <v>0.33</v>
      </c>
      <c r="O6" s="3">
        <v>12</v>
      </c>
    </row>
    <row r="7" spans="1:17" ht="19" x14ac:dyDescent="0.25">
      <c r="A7" s="5">
        <v>6</v>
      </c>
      <c r="B7" s="22" t="s">
        <v>166</v>
      </c>
      <c r="C7" s="5" t="s">
        <v>24</v>
      </c>
      <c r="D7" s="9" t="s">
        <v>21</v>
      </c>
      <c r="E7" s="5" t="s">
        <v>11</v>
      </c>
      <c r="F7" s="5" t="s">
        <v>171</v>
      </c>
      <c r="G7" s="5">
        <v>11</v>
      </c>
      <c r="H7" s="2"/>
      <c r="I7" s="2"/>
      <c r="J7" s="3">
        <v>2.75</v>
      </c>
      <c r="K7" s="4">
        <v>0.16600000000000001</v>
      </c>
      <c r="L7" s="3">
        <v>1.08</v>
      </c>
      <c r="M7" s="3" t="s">
        <v>24</v>
      </c>
      <c r="N7" s="3">
        <v>0.32</v>
      </c>
      <c r="O7" s="3">
        <v>13</v>
      </c>
    </row>
    <row r="8" spans="1:17" ht="19" x14ac:dyDescent="0.25">
      <c r="A8" s="5">
        <v>7</v>
      </c>
      <c r="B8" s="22" t="s">
        <v>167</v>
      </c>
      <c r="C8" s="5" t="s">
        <v>24</v>
      </c>
      <c r="D8" s="9" t="s">
        <v>21</v>
      </c>
      <c r="E8" s="5" t="s">
        <v>11</v>
      </c>
      <c r="F8" s="5" t="s">
        <v>171</v>
      </c>
      <c r="G8" s="5">
        <v>11</v>
      </c>
      <c r="H8" s="2"/>
      <c r="I8" s="2"/>
      <c r="J8" s="3">
        <v>2.76</v>
      </c>
      <c r="K8" s="4">
        <v>0.17100000000000001</v>
      </c>
      <c r="L8" s="3">
        <v>1.1499999999999999</v>
      </c>
      <c r="M8" s="3" t="s">
        <v>24</v>
      </c>
      <c r="N8" s="3">
        <v>0.3</v>
      </c>
      <c r="O8" s="3">
        <v>14</v>
      </c>
    </row>
    <row r="9" spans="1:17" ht="19" x14ac:dyDescent="0.25">
      <c r="A9" s="5">
        <v>8</v>
      </c>
      <c r="B9" s="22" t="s">
        <v>168</v>
      </c>
      <c r="C9" s="5" t="s">
        <v>24</v>
      </c>
      <c r="D9" s="9" t="s">
        <v>22</v>
      </c>
      <c r="E9" s="5" t="s">
        <v>11</v>
      </c>
      <c r="F9" s="5" t="s">
        <v>171</v>
      </c>
      <c r="G9" s="5">
        <v>11</v>
      </c>
      <c r="H9" s="2"/>
      <c r="I9" s="2"/>
      <c r="J9" s="10">
        <v>2.78</v>
      </c>
      <c r="K9" s="11">
        <v>0.156</v>
      </c>
      <c r="L9" s="10">
        <v>1.1499999999999999</v>
      </c>
      <c r="M9" s="3" t="s">
        <v>24</v>
      </c>
      <c r="N9" s="10">
        <v>0.28000000000000003</v>
      </c>
      <c r="O9" s="12">
        <v>12</v>
      </c>
    </row>
    <row r="10" spans="1:17" ht="19" x14ac:dyDescent="0.25">
      <c r="A10" s="5">
        <v>9</v>
      </c>
      <c r="B10" s="22" t="s">
        <v>169</v>
      </c>
      <c r="C10" s="5" t="s">
        <v>24</v>
      </c>
      <c r="D10" s="9" t="s">
        <v>21</v>
      </c>
      <c r="E10" s="5" t="s">
        <v>11</v>
      </c>
      <c r="F10" s="5" t="s">
        <v>171</v>
      </c>
      <c r="G10" s="5">
        <v>12</v>
      </c>
      <c r="H10" s="2"/>
      <c r="I10" s="2"/>
      <c r="J10" s="3">
        <v>2.75</v>
      </c>
      <c r="K10" s="4">
        <v>0.17699999999999999</v>
      </c>
      <c r="L10" s="3">
        <v>1.1299999999999999</v>
      </c>
      <c r="M10" s="3" t="s">
        <v>24</v>
      </c>
      <c r="N10" s="3">
        <v>0.31</v>
      </c>
      <c r="O10" s="3">
        <v>14</v>
      </c>
    </row>
    <row r="11" spans="1:17" ht="19" x14ac:dyDescent="0.25">
      <c r="A11" s="5">
        <v>10</v>
      </c>
      <c r="B11" s="22" t="s">
        <v>170</v>
      </c>
      <c r="C11" s="5" t="s">
        <v>24</v>
      </c>
      <c r="D11" s="9" t="s">
        <v>21</v>
      </c>
      <c r="E11" s="5" t="s">
        <v>11</v>
      </c>
      <c r="F11" s="5" t="s">
        <v>171</v>
      </c>
      <c r="G11" s="5">
        <v>12</v>
      </c>
      <c r="H11" s="2"/>
      <c r="I11" s="2"/>
      <c r="J11" s="3">
        <v>2.66</v>
      </c>
      <c r="K11" s="4">
        <v>0.16800000000000001</v>
      </c>
      <c r="L11" s="3">
        <v>1.08</v>
      </c>
      <c r="M11" s="3" t="s">
        <v>24</v>
      </c>
      <c r="N11" s="3">
        <v>0.28000000000000003</v>
      </c>
      <c r="O11" s="3">
        <v>12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568-F430-524E-8B4A-710A61F6CE6A}">
  <dimension ref="A1:Q18"/>
  <sheetViews>
    <sheetView zoomScaleNormal="100" workbookViewId="0">
      <selection activeCell="K24" sqref="K24"/>
    </sheetView>
  </sheetViews>
  <sheetFormatPr baseColWidth="10" defaultRowHeight="16" x14ac:dyDescent="0.2"/>
  <cols>
    <col min="1" max="1" width="17" style="6" customWidth="1"/>
    <col min="2" max="2" width="17" style="23" customWidth="1"/>
    <col min="3" max="3" width="23.83203125" style="6" customWidth="1"/>
    <col min="4" max="7" width="17" style="6" customWidth="1"/>
    <col min="8" max="11" width="17" customWidth="1"/>
    <col min="12" max="15" width="16.6640625" customWidth="1"/>
    <col min="17" max="17" width="10.83203125" style="19"/>
  </cols>
  <sheetData>
    <row r="1" spans="1:17" ht="19" x14ac:dyDescent="0.2">
      <c r="A1" s="1" t="s">
        <v>8</v>
      </c>
      <c r="B1" s="21" t="s">
        <v>14</v>
      </c>
      <c r="C1" s="1" t="s">
        <v>15</v>
      </c>
      <c r="D1" s="1" t="s">
        <v>9</v>
      </c>
      <c r="E1" s="1" t="s">
        <v>0</v>
      </c>
      <c r="F1" s="1" t="s">
        <v>1</v>
      </c>
      <c r="G1" s="1" t="s">
        <v>10</v>
      </c>
      <c r="H1" s="7" t="s">
        <v>2</v>
      </c>
      <c r="I1" s="7" t="s">
        <v>3</v>
      </c>
      <c r="J1" s="1" t="s">
        <v>4</v>
      </c>
      <c r="K1" s="1" t="s">
        <v>5</v>
      </c>
      <c r="L1" s="1" t="s">
        <v>6</v>
      </c>
      <c r="M1" s="1" t="s">
        <v>12</v>
      </c>
      <c r="N1" s="1" t="s">
        <v>7</v>
      </c>
      <c r="O1" s="1" t="s">
        <v>13</v>
      </c>
    </row>
    <row r="2" spans="1:17" ht="19" x14ac:dyDescent="0.25">
      <c r="A2" s="5">
        <v>1</v>
      </c>
      <c r="B2" s="22" t="s">
        <v>172</v>
      </c>
      <c r="C2" s="5" t="s">
        <v>24</v>
      </c>
      <c r="D2" s="9" t="s">
        <v>23</v>
      </c>
      <c r="E2" s="5" t="s">
        <v>11</v>
      </c>
      <c r="F2" s="5" t="s">
        <v>171</v>
      </c>
      <c r="G2" s="5">
        <v>10</v>
      </c>
      <c r="H2" s="2"/>
      <c r="I2" s="2"/>
      <c r="J2" s="3">
        <v>2.64</v>
      </c>
      <c r="K2" s="4">
        <v>0.17699999999999999</v>
      </c>
      <c r="L2" s="3">
        <v>1.17</v>
      </c>
      <c r="M2" s="3" t="s">
        <v>24</v>
      </c>
      <c r="N2" s="3">
        <v>0.39</v>
      </c>
      <c r="O2" s="3">
        <v>16.2</v>
      </c>
    </row>
    <row r="3" spans="1:17" ht="19" x14ac:dyDescent="0.25">
      <c r="A3" s="5">
        <v>2</v>
      </c>
      <c r="B3" s="22" t="s">
        <v>173</v>
      </c>
      <c r="C3" s="5" t="s">
        <v>24</v>
      </c>
      <c r="D3" s="9" t="s">
        <v>23</v>
      </c>
      <c r="E3" s="5" t="s">
        <v>11</v>
      </c>
      <c r="F3" s="5" t="s">
        <v>171</v>
      </c>
      <c r="G3" s="5">
        <v>10</v>
      </c>
      <c r="H3" s="2"/>
      <c r="I3" s="2"/>
      <c r="J3" s="3">
        <v>2.75</v>
      </c>
      <c r="K3" s="4">
        <v>0.189</v>
      </c>
      <c r="L3" s="3">
        <v>1.21</v>
      </c>
      <c r="M3" s="3" t="s">
        <v>24</v>
      </c>
      <c r="N3" s="3">
        <v>0.37</v>
      </c>
      <c r="O3" s="3">
        <v>16.100000000000001</v>
      </c>
      <c r="Q3" s="20"/>
    </row>
    <row r="4" spans="1:17" ht="19" x14ac:dyDescent="0.25">
      <c r="A4" s="5">
        <v>3</v>
      </c>
      <c r="B4" s="22" t="s">
        <v>25</v>
      </c>
      <c r="C4" s="5" t="s">
        <v>24</v>
      </c>
      <c r="D4" s="9" t="s">
        <v>23</v>
      </c>
      <c r="E4" s="5" t="s">
        <v>11</v>
      </c>
      <c r="F4" s="5" t="s">
        <v>171</v>
      </c>
      <c r="G4" s="5">
        <v>10</v>
      </c>
      <c r="H4" s="2"/>
      <c r="I4" s="2"/>
      <c r="J4" s="3">
        <v>2.66</v>
      </c>
      <c r="K4" s="4">
        <v>0.189</v>
      </c>
      <c r="L4" s="3">
        <v>1.31</v>
      </c>
      <c r="M4" s="3" t="s">
        <v>24</v>
      </c>
      <c r="N4" s="3">
        <v>0.38</v>
      </c>
      <c r="O4" s="3">
        <v>17.8</v>
      </c>
      <c r="Q4" s="20"/>
    </row>
    <row r="5" spans="1:17" ht="19" x14ac:dyDescent="0.25">
      <c r="A5" s="5">
        <v>4</v>
      </c>
      <c r="B5" s="22" t="s">
        <v>174</v>
      </c>
      <c r="C5" s="5" t="s">
        <v>24</v>
      </c>
      <c r="D5" s="9" t="s">
        <v>23</v>
      </c>
      <c r="E5" s="5" t="s">
        <v>11</v>
      </c>
      <c r="F5" s="5" t="s">
        <v>171</v>
      </c>
      <c r="G5" s="5">
        <v>10</v>
      </c>
      <c r="H5" s="2"/>
      <c r="I5" s="2"/>
      <c r="J5" s="3">
        <v>2.74</v>
      </c>
      <c r="K5" s="4">
        <v>0.17299999999999999</v>
      </c>
      <c r="L5" s="3">
        <v>1.08</v>
      </c>
      <c r="M5" s="3" t="s">
        <v>24</v>
      </c>
      <c r="N5" s="3">
        <v>0.36</v>
      </c>
      <c r="O5" s="3">
        <v>18.2</v>
      </c>
      <c r="Q5" s="20"/>
    </row>
    <row r="6" spans="1:17" ht="19" x14ac:dyDescent="0.25">
      <c r="A6" s="5">
        <v>5</v>
      </c>
      <c r="B6" s="22" t="s">
        <v>175</v>
      </c>
      <c r="C6" s="5" t="s">
        <v>24</v>
      </c>
      <c r="D6" s="9" t="s">
        <v>23</v>
      </c>
      <c r="E6" s="5" t="s">
        <v>11</v>
      </c>
      <c r="F6" s="5" t="s">
        <v>171</v>
      </c>
      <c r="G6" s="5">
        <v>10</v>
      </c>
      <c r="H6" s="2"/>
      <c r="I6" s="2"/>
      <c r="J6" s="3">
        <v>2.7</v>
      </c>
      <c r="K6" s="4">
        <v>0.183</v>
      </c>
      <c r="L6" s="3">
        <v>1.21</v>
      </c>
      <c r="M6" s="3" t="s">
        <v>24</v>
      </c>
      <c r="N6" s="3">
        <v>0.38</v>
      </c>
      <c r="O6" s="3">
        <v>18.3</v>
      </c>
    </row>
    <row r="7" spans="1:17" ht="19" x14ac:dyDescent="0.25">
      <c r="A7" s="5">
        <v>6</v>
      </c>
      <c r="B7" s="22" t="s">
        <v>176</v>
      </c>
      <c r="C7" s="5" t="s">
        <v>24</v>
      </c>
      <c r="D7" s="9" t="s">
        <v>23</v>
      </c>
      <c r="E7" s="5" t="s">
        <v>11</v>
      </c>
      <c r="F7" s="5" t="s">
        <v>171</v>
      </c>
      <c r="G7" s="5">
        <v>10</v>
      </c>
      <c r="H7" s="2"/>
      <c r="I7" s="2"/>
      <c r="J7" s="3">
        <v>2.78</v>
      </c>
      <c r="K7" s="4">
        <v>0.193</v>
      </c>
      <c r="L7" s="3">
        <v>1.36</v>
      </c>
      <c r="M7" s="3" t="s">
        <v>24</v>
      </c>
      <c r="N7" s="3">
        <v>0.37</v>
      </c>
      <c r="O7" s="3">
        <v>16.399999999999999</v>
      </c>
    </row>
    <row r="8" spans="1:17" ht="19" x14ac:dyDescent="0.25">
      <c r="A8" s="5">
        <v>7</v>
      </c>
      <c r="B8" s="22" t="s">
        <v>177</v>
      </c>
      <c r="C8" s="5" t="s">
        <v>24</v>
      </c>
      <c r="D8" s="9" t="s">
        <v>23</v>
      </c>
      <c r="E8" s="5" t="s">
        <v>11</v>
      </c>
      <c r="F8" s="5" t="s">
        <v>171</v>
      </c>
      <c r="G8" s="5">
        <v>10</v>
      </c>
      <c r="H8" s="2"/>
      <c r="I8" s="2"/>
      <c r="J8" s="3">
        <v>2.64</v>
      </c>
      <c r="K8" s="4">
        <v>0.17499999999999999</v>
      </c>
      <c r="L8" s="3">
        <v>1.17</v>
      </c>
      <c r="M8" s="3" t="s">
        <v>24</v>
      </c>
      <c r="N8" s="3">
        <v>0.34</v>
      </c>
      <c r="O8" s="3">
        <v>16.5</v>
      </c>
    </row>
    <row r="9" spans="1:17" ht="19" x14ac:dyDescent="0.25">
      <c r="A9" s="5">
        <v>8</v>
      </c>
      <c r="B9" s="22" t="s">
        <v>178</v>
      </c>
      <c r="C9" s="5" t="s">
        <v>24</v>
      </c>
      <c r="D9" s="9" t="s">
        <v>23</v>
      </c>
      <c r="E9" s="5" t="s">
        <v>11</v>
      </c>
      <c r="F9" s="5" t="s">
        <v>171</v>
      </c>
      <c r="G9" s="5">
        <v>10</v>
      </c>
      <c r="H9" s="2"/>
      <c r="I9" s="2"/>
      <c r="J9" s="10">
        <v>2.78</v>
      </c>
      <c r="K9" s="11">
        <v>0.191</v>
      </c>
      <c r="L9" s="10">
        <v>1.2</v>
      </c>
      <c r="M9" s="3" t="s">
        <v>24</v>
      </c>
      <c r="N9" s="10">
        <v>0.36</v>
      </c>
      <c r="O9" s="12">
        <v>17.7</v>
      </c>
    </row>
    <row r="10" spans="1:17" ht="19" x14ac:dyDescent="0.25">
      <c r="A10" s="5">
        <v>9</v>
      </c>
      <c r="B10" s="22" t="s">
        <v>162</v>
      </c>
      <c r="C10" s="5" t="s">
        <v>24</v>
      </c>
      <c r="D10" s="9" t="s">
        <v>23</v>
      </c>
      <c r="E10" s="5" t="s">
        <v>11</v>
      </c>
      <c r="F10" s="5" t="s">
        <v>171</v>
      </c>
      <c r="G10" s="5">
        <v>10</v>
      </c>
      <c r="H10" s="2"/>
      <c r="I10" s="2"/>
      <c r="J10" s="3">
        <v>2.71</v>
      </c>
      <c r="K10" s="4">
        <v>0.17599999999999999</v>
      </c>
      <c r="L10" s="3">
        <v>1.1499999999999999</v>
      </c>
      <c r="M10" s="3" t="s">
        <v>24</v>
      </c>
      <c r="N10" s="3">
        <v>0.34</v>
      </c>
      <c r="O10" s="3">
        <v>16.100000000000001</v>
      </c>
    </row>
    <row r="11" spans="1:17" ht="19" x14ac:dyDescent="0.25">
      <c r="A11" s="5">
        <v>10</v>
      </c>
      <c r="B11" s="22" t="s">
        <v>179</v>
      </c>
      <c r="C11" s="5" t="s">
        <v>24</v>
      </c>
      <c r="D11" s="9" t="s">
        <v>23</v>
      </c>
      <c r="E11" s="5" t="s">
        <v>11</v>
      </c>
      <c r="F11" s="5" t="s">
        <v>171</v>
      </c>
      <c r="G11" s="5">
        <v>10</v>
      </c>
      <c r="H11" s="2"/>
      <c r="I11" s="2"/>
      <c r="J11" s="3">
        <v>2.7</v>
      </c>
      <c r="K11" s="4">
        <v>0.18099999999999999</v>
      </c>
      <c r="L11" s="3">
        <v>1.1000000000000001</v>
      </c>
      <c r="M11" s="3" t="s">
        <v>24</v>
      </c>
      <c r="N11" s="3">
        <v>0.36</v>
      </c>
      <c r="O11" s="3">
        <v>17.3</v>
      </c>
    </row>
    <row r="12" spans="1:17" ht="19" x14ac:dyDescent="0.25">
      <c r="A12" s="5">
        <v>11</v>
      </c>
      <c r="B12" s="22" t="s">
        <v>180</v>
      </c>
      <c r="C12" s="5" t="s">
        <v>24</v>
      </c>
      <c r="D12" s="9" t="s">
        <v>23</v>
      </c>
      <c r="E12" s="5" t="s">
        <v>11</v>
      </c>
      <c r="F12" s="5" t="s">
        <v>171</v>
      </c>
      <c r="G12" s="5">
        <v>12</v>
      </c>
      <c r="H12" s="2"/>
      <c r="I12" s="2"/>
      <c r="J12" s="3">
        <v>2.4500000000000002</v>
      </c>
      <c r="K12" s="4">
        <v>0.189</v>
      </c>
      <c r="L12" s="3">
        <v>1.2</v>
      </c>
      <c r="M12" s="3" t="s">
        <v>24</v>
      </c>
      <c r="N12" s="3">
        <v>0.39</v>
      </c>
      <c r="O12" s="3">
        <v>16.899999999999999</v>
      </c>
    </row>
    <row r="13" spans="1:17" ht="19" x14ac:dyDescent="0.25">
      <c r="A13" s="5">
        <v>12</v>
      </c>
      <c r="B13" s="22" t="s">
        <v>181</v>
      </c>
      <c r="C13" s="5" t="s">
        <v>24</v>
      </c>
      <c r="D13" s="9" t="s">
        <v>23</v>
      </c>
      <c r="E13" s="5" t="s">
        <v>11</v>
      </c>
      <c r="F13" s="5" t="s">
        <v>171</v>
      </c>
      <c r="G13" s="5">
        <v>12</v>
      </c>
      <c r="H13" s="2"/>
      <c r="I13" s="2"/>
      <c r="J13" s="3">
        <v>2.73</v>
      </c>
      <c r="K13" s="4">
        <v>0.182</v>
      </c>
      <c r="L13" s="3">
        <v>1.1599999999999999</v>
      </c>
      <c r="M13" s="3" t="s">
        <v>24</v>
      </c>
      <c r="N13" s="3">
        <v>0.37</v>
      </c>
      <c r="O13" s="3">
        <v>18.3</v>
      </c>
    </row>
    <row r="14" spans="1:17" ht="19" x14ac:dyDescent="0.25">
      <c r="A14" s="5">
        <v>13</v>
      </c>
      <c r="B14" s="22" t="s">
        <v>182</v>
      </c>
      <c r="C14" s="5" t="s">
        <v>24</v>
      </c>
      <c r="D14" s="9" t="s">
        <v>23</v>
      </c>
      <c r="E14" s="5" t="s">
        <v>11</v>
      </c>
      <c r="F14" s="5" t="s">
        <v>171</v>
      </c>
      <c r="G14" s="5">
        <v>12</v>
      </c>
      <c r="H14" s="2"/>
      <c r="I14" s="2"/>
      <c r="J14" s="3">
        <v>2.71</v>
      </c>
      <c r="K14" s="4">
        <v>0.17799999999999999</v>
      </c>
      <c r="L14" s="3">
        <v>1.1299999999999999</v>
      </c>
      <c r="M14" s="3" t="s">
        <v>24</v>
      </c>
      <c r="N14" s="3">
        <v>0.36</v>
      </c>
      <c r="O14" s="3">
        <v>17.100000000000001</v>
      </c>
    </row>
    <row r="15" spans="1:17" ht="19" x14ac:dyDescent="0.25">
      <c r="A15" s="5">
        <v>14</v>
      </c>
      <c r="B15" s="22" t="s">
        <v>183</v>
      </c>
      <c r="C15" s="5" t="s">
        <v>24</v>
      </c>
      <c r="D15" s="9" t="s">
        <v>23</v>
      </c>
      <c r="E15" s="5" t="s">
        <v>11</v>
      </c>
      <c r="F15" s="5" t="s">
        <v>171</v>
      </c>
      <c r="G15" s="5">
        <v>12</v>
      </c>
      <c r="H15" s="2"/>
      <c r="I15" s="2"/>
      <c r="J15" s="3">
        <v>2.72</v>
      </c>
      <c r="K15" s="4">
        <v>0.17699999999999999</v>
      </c>
      <c r="L15" s="3">
        <v>1.1619999999999999</v>
      </c>
      <c r="M15" s="3" t="s">
        <v>24</v>
      </c>
      <c r="N15" s="3">
        <v>0.37</v>
      </c>
      <c r="O15" s="3">
        <v>15.6</v>
      </c>
    </row>
    <row r="16" spans="1:17" ht="19" x14ac:dyDescent="0.25">
      <c r="A16" s="5">
        <v>15</v>
      </c>
      <c r="B16" s="22" t="s">
        <v>184</v>
      </c>
      <c r="C16" s="5" t="s">
        <v>24</v>
      </c>
      <c r="D16" s="9" t="s">
        <v>23</v>
      </c>
      <c r="E16" s="5" t="s">
        <v>11</v>
      </c>
      <c r="F16" s="5" t="s">
        <v>171</v>
      </c>
      <c r="G16" s="5">
        <v>12</v>
      </c>
      <c r="H16" s="2"/>
      <c r="I16" s="2"/>
      <c r="J16" s="3">
        <v>2.68</v>
      </c>
      <c r="K16" s="4">
        <v>0.17199999999999999</v>
      </c>
      <c r="L16" s="3">
        <v>1.0900000000000001</v>
      </c>
      <c r="M16" s="3" t="s">
        <v>24</v>
      </c>
      <c r="N16" s="3">
        <v>0.35</v>
      </c>
      <c r="O16" s="3">
        <v>18.3</v>
      </c>
    </row>
    <row r="17" spans="1:15" ht="19" x14ac:dyDescent="0.25">
      <c r="A17" s="5">
        <v>16</v>
      </c>
      <c r="B17" s="22" t="s">
        <v>185</v>
      </c>
      <c r="C17" s="5" t="s">
        <v>24</v>
      </c>
      <c r="D17" s="9" t="s">
        <v>23</v>
      </c>
      <c r="E17" s="5" t="s">
        <v>11</v>
      </c>
      <c r="F17" s="5" t="s">
        <v>171</v>
      </c>
      <c r="G17" s="5">
        <v>12</v>
      </c>
      <c r="H17" s="2"/>
      <c r="I17" s="2"/>
      <c r="J17" s="3">
        <v>2.67</v>
      </c>
      <c r="K17" s="4">
        <v>0.19400000000000001</v>
      </c>
      <c r="L17" s="3">
        <v>1.26</v>
      </c>
      <c r="M17" s="3" t="s">
        <v>24</v>
      </c>
      <c r="N17" s="3">
        <v>0.38</v>
      </c>
      <c r="O17" s="3">
        <v>17.100000000000001</v>
      </c>
    </row>
    <row r="18" spans="1:15" ht="19" x14ac:dyDescent="0.25">
      <c r="A18" s="5">
        <v>17</v>
      </c>
      <c r="B18" s="22" t="s">
        <v>186</v>
      </c>
      <c r="C18" s="5" t="s">
        <v>24</v>
      </c>
      <c r="D18" s="9" t="s">
        <v>23</v>
      </c>
      <c r="E18" s="5" t="s">
        <v>11</v>
      </c>
      <c r="F18" s="5" t="s">
        <v>171</v>
      </c>
      <c r="G18" s="5">
        <v>12</v>
      </c>
      <c r="H18" s="2"/>
      <c r="I18" s="2"/>
      <c r="J18" s="3">
        <v>2.67</v>
      </c>
      <c r="K18" s="4">
        <v>0.19</v>
      </c>
      <c r="L18" s="3">
        <v>1.2</v>
      </c>
      <c r="M18" s="3" t="s">
        <v>24</v>
      </c>
      <c r="N18" s="3">
        <v>0.36</v>
      </c>
      <c r="O18" s="3">
        <v>17.8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2026-09-28T04:26:28Z</dcterms:created>
  <dcterms:modified xsi:type="dcterms:W3CDTF">2026-09-30T08:10:52Z</dcterms:modified>
</cp:coreProperties>
</file>