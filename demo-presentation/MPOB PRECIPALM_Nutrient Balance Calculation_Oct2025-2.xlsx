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rsitiaisyahjaafar/Downloads/"/>
    </mc:Choice>
  </mc:AlternateContent>
  <xr:revisionPtr revIDLastSave="0" documentId="13_ncr:1_{877C92A2-90DE-504A-A652-3494FC3D5874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FO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+gX0i8iYwCRbZjTQTP1ezDv6Ewzf88/LVwLi3xEkhqY="/>
    </ext>
  </extLst>
</workbook>
</file>

<file path=xl/calcChain.xml><?xml version="1.0" encoding="utf-8"?>
<calcChain xmlns="http://schemas.openxmlformats.org/spreadsheetml/2006/main">
  <c r="Q29" i="1" l="1"/>
  <c r="R27" i="1"/>
  <c r="Q27" i="1"/>
  <c r="D27" i="1"/>
  <c r="R26" i="1"/>
  <c r="Q26" i="1"/>
  <c r="D26" i="1"/>
  <c r="R25" i="1"/>
  <c r="Q25" i="1"/>
  <c r="D25" i="1"/>
  <c r="R24" i="1"/>
  <c r="Q24" i="1"/>
  <c r="D22" i="1"/>
  <c r="R21" i="1"/>
  <c r="R20" i="1"/>
  <c r="Q20" i="1"/>
  <c r="R19" i="1"/>
  <c r="Q19" i="1"/>
  <c r="R18" i="1"/>
  <c r="Q18" i="1"/>
  <c r="R15" i="1"/>
  <c r="R14" i="1"/>
  <c r="Q14" i="1"/>
  <c r="R13" i="1"/>
  <c r="Q13" i="1"/>
  <c r="R12" i="1"/>
  <c r="Q12" i="1"/>
  <c r="R9" i="1"/>
  <c r="R8" i="1"/>
  <c r="Q8" i="1"/>
  <c r="R7" i="1"/>
  <c r="Q7" i="1"/>
  <c r="R6" i="1"/>
  <c r="Q6" i="1"/>
  <c r="Q21" i="1" l="1"/>
  <c r="Q15" i="1"/>
  <c r="Q9" i="1"/>
</calcChain>
</file>

<file path=xl/sharedStrings.xml><?xml version="1.0" encoding="utf-8"?>
<sst xmlns="http://schemas.openxmlformats.org/spreadsheetml/2006/main" count="122" uniqueCount="72">
  <si>
    <t>GRADING NUTRIENT DEFICIENCIES (K and Mg)</t>
  </si>
  <si>
    <t>INPUT</t>
  </si>
  <si>
    <t>MEAN OPTIMUM LEAF NUTRIENT LEVELS AND RATIOS</t>
  </si>
  <si>
    <t>FERTILIZER ADJUSTMENT</t>
  </si>
  <si>
    <t xml:space="preserve"> =</t>
  </si>
  <si>
    <t>STANDARD</t>
  </si>
  <si>
    <t>A</t>
  </si>
  <si>
    <t>Total Leaf Cation (TLC)</t>
  </si>
  <si>
    <t>Leaf K</t>
  </si>
  <si>
    <t>+</t>
  </si>
  <si>
    <t>Inland Soils</t>
  </si>
  <si>
    <t>Leaf Mg</t>
  </si>
  <si>
    <t>Coastal Soils</t>
  </si>
  <si>
    <t>Leaf Ca</t>
  </si>
  <si>
    <t>x</t>
  </si>
  <si>
    <t>Leaf Nutrients</t>
  </si>
  <si>
    <t>N/K</t>
  </si>
  <si>
    <t>N</t>
  </si>
  <si>
    <t>Nutrient Deficiency rating</t>
  </si>
  <si>
    <t>Potential Yield Response (t/ha/yr)</t>
  </si>
  <si>
    <t>Fertilizer Adjustment (kg/palm/yr)</t>
  </si>
  <si>
    <t>cmol/kg dry matter</t>
  </si>
  <si>
    <t>39.1/1</t>
  </si>
  <si>
    <t>24.3/2</t>
  </si>
  <si>
    <t>40.1/2</t>
  </si>
  <si>
    <t>input</t>
  </si>
  <si>
    <t>Excessive</t>
  </si>
  <si>
    <t xml:space="preserve"> - 0.5 to -1</t>
  </si>
  <si>
    <t>P/N</t>
  </si>
  <si>
    <t>P</t>
  </si>
  <si>
    <t>Satisfactory</t>
  </si>
  <si>
    <t>0 to 1</t>
  </si>
  <si>
    <t>Low</t>
  </si>
  <si>
    <t>K/Mg</t>
  </si>
  <si>
    <t>1 to 2</t>
  </si>
  <si>
    <t>K</t>
  </si>
  <si>
    <t>Mg/N</t>
  </si>
  <si>
    <t>Deficient</t>
  </si>
  <si>
    <t>2 to 3</t>
  </si>
  <si>
    <t>0 to 2</t>
  </si>
  <si>
    <t>TB/N</t>
  </si>
  <si>
    <t>TLC/N</t>
  </si>
  <si>
    <t>Very Deficient</t>
  </si>
  <si>
    <t>&gt; 3</t>
  </si>
  <si>
    <t>0 to 3</t>
  </si>
  <si>
    <t>Mg</t>
  </si>
  <si>
    <t>Deficiency rating of Leaf K and Mg</t>
  </si>
  <si>
    <t>X/TLC</t>
  </si>
  <si>
    <t>Deficiency rating</t>
  </si>
  <si>
    <t>B</t>
  </si>
  <si>
    <t>&lt;25</t>
  </si>
  <si>
    <t>Note:</t>
  </si>
  <si>
    <t>25 - 30</t>
  </si>
  <si>
    <t>SH increase fertilizer rate only if nutrient is classified as deficient</t>
  </si>
  <si>
    <t>&gt; 30</t>
  </si>
  <si>
    <t>Sufficient</t>
  </si>
  <si>
    <t>P/K</t>
  </si>
  <si>
    <t>Larga plantation, increase fertilizer when average over a number of fields are classified as low</t>
  </si>
  <si>
    <t>P/Mg</t>
  </si>
  <si>
    <t>TB/P</t>
  </si>
  <si>
    <t>TLC/P</t>
  </si>
  <si>
    <t>DATA</t>
  </si>
  <si>
    <t>CALCULATED</t>
  </si>
  <si>
    <t>TB/K</t>
  </si>
  <si>
    <t>TLC/K</t>
  </si>
  <si>
    <t>TLC</t>
  </si>
  <si>
    <t>DEFICIENCY RATING</t>
  </si>
  <si>
    <t>K/TLC</t>
  </si>
  <si>
    <t>Mg/TLC</t>
  </si>
  <si>
    <t>Ca/TLC</t>
  </si>
  <si>
    <t>TB/Mg</t>
  </si>
  <si>
    <t>TLC/Mg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</si>
</sst>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7" xfId="0" applyFont="1" applyBorder="1" applyAlignment="1">
      <alignment horizontal="right"/>
    </xf>
    <xf numFmtId="0" fontId="4" fillId="2" borderId="9" xfId="0" applyFont="1" applyFill="1" applyBorder="1" applyAlignment="1">
      <alignment horizontal="right"/>
    </xf>
    <xf numFmtId="0" fontId="4" fillId="0" borderId="14" xfId="0" applyFont="1" applyBorder="1"/>
    <xf numFmtId="0" fontId="2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4" fontId="3" fillId="5" borderId="9" xfId="0" applyNumberFormat="1" applyFont="1" applyFill="1" applyBorder="1" applyAlignment="1">
      <alignment horizontal="right"/>
    </xf>
    <xf numFmtId="164" fontId="4" fillId="2" borderId="9" xfId="0" applyNumberFormat="1" applyFont="1" applyFill="1" applyBorder="1" applyAlignment="1">
      <alignment horizontal="right"/>
    </xf>
    <xf numFmtId="0" fontId="4" fillId="0" borderId="18" xfId="0" applyFont="1" applyBorder="1" applyAlignment="1">
      <alignment horizontal="center" vertical="center"/>
    </xf>
    <xf numFmtId="0" fontId="6" fillId="0" borderId="13" xfId="0" applyFont="1" applyBorder="1"/>
    <xf numFmtId="2" fontId="3" fillId="5" borderId="9" xfId="0" applyNumberFormat="1" applyFont="1" applyFill="1" applyBorder="1" applyAlignment="1">
      <alignment horizontal="right"/>
    </xf>
    <xf numFmtId="0" fontId="4" fillId="0" borderId="19" xfId="0" applyFont="1" applyBorder="1"/>
    <xf numFmtId="0" fontId="2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4" borderId="6" xfId="0" applyFont="1" applyFill="1" applyBorder="1"/>
    <xf numFmtId="0" fontId="4" fillId="4" borderId="17" xfId="0" applyFont="1" applyFill="1" applyBorder="1"/>
    <xf numFmtId="0" fontId="4" fillId="6" borderId="22" xfId="0" applyFont="1" applyFill="1" applyBorder="1"/>
    <xf numFmtId="0" fontId="4" fillId="6" borderId="1" xfId="0" applyFont="1" applyFill="1" applyBorder="1"/>
    <xf numFmtId="0" fontId="4" fillId="6" borderId="27" xfId="0" applyFont="1" applyFill="1" applyBorder="1"/>
    <xf numFmtId="0" fontId="4" fillId="6" borderId="28" xfId="0" applyFont="1" applyFill="1" applyBorder="1"/>
    <xf numFmtId="0" fontId="4" fillId="0" borderId="0" xfId="0" applyFont="1" applyAlignment="1">
      <alignment horizontal="center"/>
    </xf>
    <xf numFmtId="0" fontId="4" fillId="2" borderId="32" xfId="0" applyFont="1" applyFill="1" applyBorder="1"/>
    <xf numFmtId="2" fontId="3" fillId="5" borderId="1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right"/>
    </xf>
    <xf numFmtId="1" fontId="6" fillId="5" borderId="1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23" xfId="0" applyFont="1" applyBorder="1" applyAlignment="1">
      <alignment horizontal="right"/>
    </xf>
    <xf numFmtId="2" fontId="3" fillId="5" borderId="33" xfId="0" applyNumberFormat="1" applyFont="1" applyFill="1" applyBorder="1" applyAlignment="1">
      <alignment horizontal="right"/>
    </xf>
    <xf numFmtId="2" fontId="4" fillId="5" borderId="33" xfId="0" applyNumberFormat="1" applyFont="1" applyFill="1" applyBorder="1" applyAlignment="1">
      <alignment horizontal="right"/>
    </xf>
    <xf numFmtId="1" fontId="4" fillId="0" borderId="0" xfId="0" applyNumberFormat="1" applyFont="1"/>
    <xf numFmtId="0" fontId="4" fillId="0" borderId="3" xfId="0" applyFont="1" applyBorder="1"/>
    <xf numFmtId="0" fontId="4" fillId="0" borderId="16" xfId="0" applyFont="1" applyBorder="1"/>
    <xf numFmtId="2" fontId="4" fillId="2" borderId="33" xfId="0" applyNumberFormat="1" applyFont="1" applyFill="1" applyBorder="1"/>
    <xf numFmtId="0" fontId="4" fillId="2" borderId="3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5" fillId="0" borderId="12" xfId="0" applyFont="1" applyBorder="1"/>
    <xf numFmtId="0" fontId="4" fillId="4" borderId="8" xfId="0" applyFont="1" applyFill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4" fillId="6" borderId="24" xfId="0" applyFont="1" applyFill="1" applyBorder="1" applyAlignment="1">
      <alignment horizontal="center"/>
    </xf>
    <xf numFmtId="0" fontId="5" fillId="0" borderId="25" xfId="0" applyFont="1" applyBorder="1"/>
    <xf numFmtId="0" fontId="5" fillId="0" borderId="26" xfId="0" applyFont="1" applyBorder="1"/>
    <xf numFmtId="0" fontId="4" fillId="6" borderId="29" xfId="0" applyFont="1" applyFill="1" applyBorder="1" applyAlignment="1">
      <alignment horizontal="center"/>
    </xf>
    <xf numFmtId="0" fontId="5" fillId="0" borderId="30" xfId="0" applyFont="1" applyBorder="1"/>
    <xf numFmtId="0" fontId="5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selection activeCell="S36" sqref="S36"/>
    </sheetView>
  </sheetViews>
  <sheetFormatPr baseColWidth="10" defaultColWidth="14.5" defaultRowHeight="15" customHeight="1" x14ac:dyDescent="0.2"/>
  <cols>
    <col min="1" max="1" width="8.6640625" customWidth="1"/>
    <col min="2" max="2" width="20.83203125" customWidth="1"/>
    <col min="3" max="3" width="3.83203125" customWidth="1"/>
    <col min="4" max="4" width="9.1640625" customWidth="1"/>
    <col min="5" max="5" width="1.83203125" customWidth="1"/>
    <col min="6" max="6" width="8.6640625" customWidth="1"/>
    <col min="7" max="7" width="2" customWidth="1"/>
    <col min="8" max="8" width="8.6640625" customWidth="1"/>
    <col min="9" max="9" width="1.83203125" customWidth="1"/>
    <col min="10" max="11" width="8.6640625" customWidth="1"/>
    <col min="12" max="12" width="10.5" customWidth="1"/>
    <col min="13" max="16" width="8.6640625" customWidth="1"/>
    <col min="17" max="17" width="10.1640625" customWidth="1"/>
    <col min="18" max="18" width="10.83203125" customWidth="1"/>
    <col min="19" max="20" width="8.6640625" customWidth="1"/>
    <col min="21" max="21" width="13.83203125" customWidth="1"/>
    <col min="22" max="22" width="16" customWidth="1"/>
    <col min="23" max="23" width="15.1640625" customWidth="1"/>
    <col min="24" max="26" width="8.6640625" customWidth="1"/>
  </cols>
  <sheetData>
    <row r="1" spans="1:23" ht="14.25" customHeight="1" x14ac:dyDescent="0.2"/>
    <row r="2" spans="1:23" ht="14.25" customHeight="1" x14ac:dyDescent="0.2">
      <c r="B2" s="2" t="s">
        <v>0</v>
      </c>
      <c r="L2" s="3" t="s">
        <v>2</v>
      </c>
      <c r="U2" s="1" t="s">
        <v>3</v>
      </c>
    </row>
    <row r="3" spans="1:23" ht="14.25" customHeight="1" x14ac:dyDescent="0.2">
      <c r="L3" s="1" t="s">
        <v>5</v>
      </c>
    </row>
    <row r="4" spans="1:23" ht="42" customHeight="1" x14ac:dyDescent="0.2">
      <c r="A4" s="1" t="s">
        <v>6</v>
      </c>
      <c r="B4" s="6" t="s">
        <v>7</v>
      </c>
      <c r="C4" s="7" t="s">
        <v>4</v>
      </c>
      <c r="D4" s="8" t="s">
        <v>8</v>
      </c>
      <c r="E4" s="50" t="s">
        <v>9</v>
      </c>
      <c r="F4" s="8" t="s">
        <v>11</v>
      </c>
      <c r="G4" s="50" t="s">
        <v>9</v>
      </c>
      <c r="H4" s="8" t="s">
        <v>13</v>
      </c>
      <c r="I4" s="50" t="s">
        <v>14</v>
      </c>
      <c r="J4" s="50">
        <v>1000</v>
      </c>
      <c r="L4" s="9" t="s">
        <v>15</v>
      </c>
      <c r="M4" s="10" t="s">
        <v>10</v>
      </c>
      <c r="N4" s="11" t="s">
        <v>12</v>
      </c>
      <c r="P4" s="9" t="s">
        <v>15</v>
      </c>
      <c r="Q4" s="10" t="s">
        <v>10</v>
      </c>
      <c r="R4" s="11" t="s">
        <v>12</v>
      </c>
      <c r="U4" s="12" t="s">
        <v>18</v>
      </c>
      <c r="V4" s="13" t="s">
        <v>19</v>
      </c>
      <c r="W4" s="14" t="s">
        <v>20</v>
      </c>
    </row>
    <row r="5" spans="1:23" ht="14.25" customHeight="1" x14ac:dyDescent="0.2">
      <c r="B5" s="7" t="s">
        <v>21</v>
      </c>
      <c r="C5" s="7"/>
      <c r="D5" s="15" t="s">
        <v>22</v>
      </c>
      <c r="E5" s="51"/>
      <c r="F5" s="15" t="s">
        <v>23</v>
      </c>
      <c r="G5" s="51"/>
      <c r="H5" s="15" t="s">
        <v>24</v>
      </c>
      <c r="I5" s="51"/>
      <c r="J5" s="51"/>
      <c r="L5" s="16" t="s">
        <v>17</v>
      </c>
      <c r="M5" s="17">
        <v>2.7629999999999999</v>
      </c>
      <c r="N5" s="17">
        <v>2.6030000000000002</v>
      </c>
      <c r="P5" s="16" t="s">
        <v>17</v>
      </c>
      <c r="Q5" s="18">
        <v>2.1280000000000001</v>
      </c>
      <c r="R5" s="18">
        <v>2.6</v>
      </c>
      <c r="S5" s="2" t="s">
        <v>25</v>
      </c>
      <c r="U5" s="19" t="s">
        <v>26</v>
      </c>
      <c r="V5" s="20">
        <v>0</v>
      </c>
      <c r="W5" s="21" t="s">
        <v>27</v>
      </c>
    </row>
    <row r="6" spans="1:23" ht="14.25" customHeight="1" x14ac:dyDescent="0.2">
      <c r="B6" s="7"/>
      <c r="C6" s="7"/>
      <c r="D6" s="7"/>
      <c r="E6" s="7"/>
      <c r="F6" s="7"/>
      <c r="G6" s="7"/>
      <c r="H6" s="7"/>
      <c r="I6" s="7"/>
      <c r="J6" s="7"/>
      <c r="L6" s="16" t="s">
        <v>28</v>
      </c>
      <c r="M6" s="17">
        <v>6.0810000000000003E-2</v>
      </c>
      <c r="N6" s="17">
        <v>6.2269999999999999E-2</v>
      </c>
      <c r="P6" s="16" t="s">
        <v>28</v>
      </c>
      <c r="Q6" s="22">
        <f t="shared" ref="Q6:R6" si="0">Q11/Q5</f>
        <v>6.8139097744360888E-2</v>
      </c>
      <c r="R6" s="22">
        <f t="shared" si="0"/>
        <v>6.2307692307692307E-2</v>
      </c>
      <c r="U6" s="16" t="s">
        <v>30</v>
      </c>
      <c r="V6" s="5" t="s">
        <v>31</v>
      </c>
      <c r="W6" s="24">
        <v>0</v>
      </c>
    </row>
    <row r="7" spans="1:23" ht="14.25" customHeight="1" x14ac:dyDescent="0.2">
      <c r="B7" s="7"/>
      <c r="C7" s="7"/>
      <c r="D7" s="8" t="s">
        <v>8</v>
      </c>
      <c r="E7" s="50" t="s">
        <v>9</v>
      </c>
      <c r="F7" s="8" t="s">
        <v>11</v>
      </c>
      <c r="G7" s="50" t="s">
        <v>9</v>
      </c>
      <c r="H7" s="8" t="s">
        <v>13</v>
      </c>
      <c r="I7" s="50" t="s">
        <v>14</v>
      </c>
      <c r="J7" s="50">
        <v>1000</v>
      </c>
      <c r="L7" s="16" t="s">
        <v>16</v>
      </c>
      <c r="M7" s="17">
        <v>2.5939999999999999</v>
      </c>
      <c r="N7" s="17">
        <v>2.927</v>
      </c>
      <c r="P7" s="16" t="s">
        <v>16</v>
      </c>
      <c r="Q7" s="22">
        <f t="shared" ref="Q7:R7" si="1">Q5/Q17</f>
        <v>2.2376445846477395</v>
      </c>
      <c r="R7" s="22">
        <f t="shared" si="1"/>
        <v>2.8792912513842746</v>
      </c>
      <c r="U7" s="25" t="s">
        <v>32</v>
      </c>
      <c r="V7" s="5" t="s">
        <v>34</v>
      </c>
      <c r="W7" s="24" t="s">
        <v>31</v>
      </c>
    </row>
    <row r="8" spans="1:23" ht="14.25" customHeight="1" x14ac:dyDescent="0.2">
      <c r="B8" s="7"/>
      <c r="C8" s="7"/>
      <c r="D8" s="15">
        <v>39.1</v>
      </c>
      <c r="E8" s="51"/>
      <c r="F8" s="15">
        <v>12.15</v>
      </c>
      <c r="G8" s="51"/>
      <c r="H8" s="15">
        <v>20.05</v>
      </c>
      <c r="I8" s="51"/>
      <c r="J8" s="51"/>
      <c r="L8" s="16" t="s">
        <v>36</v>
      </c>
      <c r="M8" s="17">
        <v>9.7589999999999996E-2</v>
      </c>
      <c r="N8" s="17">
        <v>0.1106</v>
      </c>
      <c r="P8" s="16" t="s">
        <v>36</v>
      </c>
      <c r="Q8" s="22">
        <f t="shared" ref="Q8:R8" si="2">Q23/Q5</f>
        <v>0.1287593984962406</v>
      </c>
      <c r="R8" s="22">
        <f t="shared" si="2"/>
        <v>0.11061538461538462</v>
      </c>
      <c r="U8" s="25" t="s">
        <v>37</v>
      </c>
      <c r="V8" s="5" t="s">
        <v>38</v>
      </c>
      <c r="W8" s="24" t="s">
        <v>39</v>
      </c>
    </row>
    <row r="9" spans="1:23" ht="14.25" customHeight="1" x14ac:dyDescent="0.2">
      <c r="L9" s="16" t="s">
        <v>40</v>
      </c>
      <c r="M9" s="17">
        <v>31.4</v>
      </c>
      <c r="N9" s="17">
        <v>27.55</v>
      </c>
      <c r="P9" s="16" t="s">
        <v>41</v>
      </c>
      <c r="Q9" s="26">
        <f t="shared" ref="Q9:R9" si="3">Q29/Q5</f>
        <v>38.035022967030642</v>
      </c>
      <c r="R9" s="26">
        <f t="shared" si="3"/>
        <v>0</v>
      </c>
      <c r="U9" s="27" t="s">
        <v>42</v>
      </c>
      <c r="V9" s="28" t="s">
        <v>43</v>
      </c>
      <c r="W9" s="29" t="s">
        <v>44</v>
      </c>
    </row>
    <row r="10" spans="1:23" ht="14.25" customHeight="1" x14ac:dyDescent="0.2">
      <c r="B10" s="1" t="s">
        <v>46</v>
      </c>
      <c r="F10" s="30" t="s">
        <v>47</v>
      </c>
      <c r="G10" s="31"/>
      <c r="H10" s="52" t="s">
        <v>48</v>
      </c>
      <c r="I10" s="53"/>
      <c r="J10" s="54"/>
      <c r="L10" s="16"/>
      <c r="M10" s="17"/>
      <c r="N10" s="17"/>
      <c r="P10" s="16"/>
      <c r="Q10" s="17"/>
      <c r="R10" s="17"/>
    </row>
    <row r="11" spans="1:23" ht="14.25" customHeight="1" x14ac:dyDescent="0.2">
      <c r="D11" s="1" t="s">
        <v>49</v>
      </c>
      <c r="F11" s="32" t="s">
        <v>50</v>
      </c>
      <c r="G11" s="33"/>
      <c r="H11" s="55" t="s">
        <v>37</v>
      </c>
      <c r="I11" s="56"/>
      <c r="J11" s="57"/>
      <c r="L11" s="16" t="s">
        <v>29</v>
      </c>
      <c r="M11" s="17">
        <v>0.1678</v>
      </c>
      <c r="N11" s="17">
        <v>0.16200000000000001</v>
      </c>
      <c r="P11" s="16" t="s">
        <v>29</v>
      </c>
      <c r="Q11" s="23">
        <v>0.14499999999999999</v>
      </c>
      <c r="R11" s="18">
        <v>0.16200000000000001</v>
      </c>
      <c r="S11" s="2" t="s">
        <v>25</v>
      </c>
      <c r="U11" s="1" t="s">
        <v>51</v>
      </c>
    </row>
    <row r="12" spans="1:23" ht="14.25" customHeight="1" x14ac:dyDescent="0.2">
      <c r="F12" s="32" t="s">
        <v>52</v>
      </c>
      <c r="G12" s="33"/>
      <c r="H12" s="55" t="s">
        <v>32</v>
      </c>
      <c r="I12" s="56"/>
      <c r="J12" s="57"/>
      <c r="L12" s="16" t="s">
        <v>28</v>
      </c>
      <c r="M12" s="17">
        <v>6.0810000000000003E-2</v>
      </c>
      <c r="N12" s="17">
        <v>0.62270000000000003</v>
      </c>
      <c r="P12" s="16" t="s">
        <v>28</v>
      </c>
      <c r="Q12" s="22">
        <f t="shared" ref="Q12:R12" si="4">Q11/Q5</f>
        <v>6.8139097744360888E-2</v>
      </c>
      <c r="R12" s="22">
        <f t="shared" si="4"/>
        <v>6.2307692307692307E-2</v>
      </c>
      <c r="U12" s="1" t="s">
        <v>53</v>
      </c>
    </row>
    <row r="13" spans="1:23" ht="14.25" customHeight="1" x14ac:dyDescent="0.2">
      <c r="F13" s="34" t="s">
        <v>54</v>
      </c>
      <c r="G13" s="35"/>
      <c r="H13" s="58" t="s">
        <v>55</v>
      </c>
      <c r="I13" s="59"/>
      <c r="J13" s="60"/>
      <c r="L13" s="16" t="s">
        <v>56</v>
      </c>
      <c r="M13" s="17">
        <v>0.1575</v>
      </c>
      <c r="N13" s="17">
        <v>0.18179999999999999</v>
      </c>
      <c r="P13" s="16" t="s">
        <v>56</v>
      </c>
      <c r="Q13" s="22">
        <f t="shared" ref="Q13:R13" si="5">Q11/Q17</f>
        <v>0.15247108307045215</v>
      </c>
      <c r="R13" s="22">
        <f t="shared" si="5"/>
        <v>0.17940199335548174</v>
      </c>
      <c r="U13" s="1" t="s">
        <v>57</v>
      </c>
    </row>
    <row r="14" spans="1:23" ht="14.25" customHeight="1" x14ac:dyDescent="0.2">
      <c r="L14" s="16" t="s">
        <v>58</v>
      </c>
      <c r="M14" s="17">
        <v>0.6462</v>
      </c>
      <c r="N14" s="17">
        <v>0.58650000000000002</v>
      </c>
      <c r="P14" s="16" t="s">
        <v>58</v>
      </c>
      <c r="Q14" s="22">
        <f t="shared" ref="Q14:R14" si="6">Q11/Q23</f>
        <v>0.52919708029197077</v>
      </c>
      <c r="R14" s="22">
        <f t="shared" si="6"/>
        <v>0.56328233657858129</v>
      </c>
    </row>
    <row r="15" spans="1:23" ht="14.25" customHeight="1" x14ac:dyDescent="0.2">
      <c r="L15" s="16" t="s">
        <v>59</v>
      </c>
      <c r="M15" s="17">
        <v>516.5</v>
      </c>
      <c r="N15" s="17">
        <v>443.8</v>
      </c>
      <c r="P15" s="16" t="s">
        <v>60</v>
      </c>
      <c r="Q15" s="26">
        <f t="shared" ref="Q15:R15" si="7">Q29/Q11</f>
        <v>558.19675085407732</v>
      </c>
      <c r="R15" s="26">
        <f t="shared" si="7"/>
        <v>0</v>
      </c>
    </row>
    <row r="16" spans="1:23" ht="14.25" customHeight="1" x14ac:dyDescent="0.2">
      <c r="B16" s="4" t="s">
        <v>61</v>
      </c>
      <c r="D16" s="5" t="s">
        <v>1</v>
      </c>
      <c r="L16" s="16"/>
      <c r="M16" s="17"/>
      <c r="N16" s="17"/>
      <c r="P16" s="16"/>
      <c r="Q16" s="17"/>
      <c r="R16" s="17"/>
    </row>
    <row r="17" spans="2:19" ht="14.25" customHeight="1" x14ac:dyDescent="0.2">
      <c r="B17" s="4" t="s">
        <v>8</v>
      </c>
      <c r="C17" s="36" t="s">
        <v>4</v>
      </c>
      <c r="D17" s="37">
        <v>0.95099999999999996</v>
      </c>
      <c r="L17" s="16" t="s">
        <v>35</v>
      </c>
      <c r="M17" s="17">
        <v>1.087</v>
      </c>
      <c r="N17" s="17">
        <v>0.90300000000000002</v>
      </c>
      <c r="P17" s="16" t="s">
        <v>35</v>
      </c>
      <c r="Q17" s="18">
        <v>0.95099999999999996</v>
      </c>
      <c r="R17" s="18">
        <v>0.90300000000000002</v>
      </c>
      <c r="S17" s="2" t="s">
        <v>25</v>
      </c>
    </row>
    <row r="18" spans="2:19" ht="14.25" customHeight="1" x14ac:dyDescent="0.2">
      <c r="B18" s="4" t="s">
        <v>11</v>
      </c>
      <c r="C18" s="36" t="s">
        <v>4</v>
      </c>
      <c r="D18" s="37">
        <v>0.27400000000000002</v>
      </c>
      <c r="L18" s="16" t="s">
        <v>16</v>
      </c>
      <c r="M18" s="17">
        <v>2.5939999999999999</v>
      </c>
      <c r="N18" s="17">
        <v>2.927</v>
      </c>
      <c r="P18" s="16" t="s">
        <v>16</v>
      </c>
      <c r="Q18" s="22">
        <f t="shared" ref="Q18:R18" si="8">Q5/Q17</f>
        <v>2.2376445846477395</v>
      </c>
      <c r="R18" s="22">
        <f t="shared" si="8"/>
        <v>2.8792912513842746</v>
      </c>
    </row>
    <row r="19" spans="2:19" ht="14.25" customHeight="1" x14ac:dyDescent="0.2">
      <c r="B19" s="4" t="s">
        <v>13</v>
      </c>
      <c r="C19" s="36" t="s">
        <v>4</v>
      </c>
      <c r="D19" s="37">
        <v>0.68300000000000005</v>
      </c>
      <c r="L19" s="16" t="s">
        <v>56</v>
      </c>
      <c r="M19" s="17">
        <v>0.1575</v>
      </c>
      <c r="N19" s="17">
        <v>0.18179999999999999</v>
      </c>
      <c r="P19" s="16" t="s">
        <v>56</v>
      </c>
      <c r="Q19" s="22">
        <f t="shared" ref="Q19:R19" si="9">Q11/Q17</f>
        <v>0.15247108307045215</v>
      </c>
      <c r="R19" s="22">
        <f t="shared" si="9"/>
        <v>0.17940199335548174</v>
      </c>
    </row>
    <row r="20" spans="2:19" ht="14.25" customHeight="1" x14ac:dyDescent="0.2">
      <c r="L20" s="16" t="s">
        <v>33</v>
      </c>
      <c r="M20" s="17">
        <v>4.2149999999999999</v>
      </c>
      <c r="N20" s="17">
        <v>3.323</v>
      </c>
      <c r="P20" s="16" t="s">
        <v>33</v>
      </c>
      <c r="Q20" s="22">
        <f t="shared" ref="Q20:R20" si="10">Q17/Q23</f>
        <v>3.4708029197080288</v>
      </c>
      <c r="R20" s="22">
        <f t="shared" si="10"/>
        <v>3.1397774687065367</v>
      </c>
    </row>
    <row r="21" spans="2:19" ht="14.25" customHeight="1" x14ac:dyDescent="0.2">
      <c r="B21" s="4" t="s">
        <v>62</v>
      </c>
      <c r="L21" s="16" t="s">
        <v>63</v>
      </c>
      <c r="M21" s="17">
        <v>81.010000000000005</v>
      </c>
      <c r="N21" s="17">
        <v>80.67</v>
      </c>
      <c r="P21" s="16" t="s">
        <v>64</v>
      </c>
      <c r="Q21" s="26">
        <f t="shared" ref="Q21:R21" si="11">Q29/Q17</f>
        <v>85.108863169128512</v>
      </c>
      <c r="R21" s="26">
        <f t="shared" si="11"/>
        <v>0</v>
      </c>
    </row>
    <row r="22" spans="2:19" ht="14.25" customHeight="1" x14ac:dyDescent="0.2">
      <c r="B22" s="4" t="s">
        <v>65</v>
      </c>
      <c r="D22" s="38">
        <f>(D17/39.1+D18/12.15+D19/20.05)*1000</f>
        <v>80.938528873841207</v>
      </c>
      <c r="F22" s="1" t="s">
        <v>6</v>
      </c>
      <c r="L22" s="16"/>
      <c r="M22" s="17"/>
      <c r="N22" s="17"/>
      <c r="P22" s="16"/>
      <c r="Q22" s="17"/>
      <c r="R22" s="17"/>
    </row>
    <row r="23" spans="2:19" ht="14.25" customHeight="1" x14ac:dyDescent="0.2">
      <c r="L23" s="16" t="s">
        <v>45</v>
      </c>
      <c r="M23" s="17">
        <v>0.26900000000000002</v>
      </c>
      <c r="N23" s="17">
        <v>0.28760000000000002</v>
      </c>
      <c r="P23" s="16" t="s">
        <v>45</v>
      </c>
      <c r="Q23" s="18">
        <v>0.27400000000000002</v>
      </c>
      <c r="R23" s="18">
        <v>0.28760000000000002</v>
      </c>
      <c r="S23" s="2" t="s">
        <v>25</v>
      </c>
    </row>
    <row r="24" spans="2:19" ht="14.25" customHeight="1" x14ac:dyDescent="0.2">
      <c r="B24" s="4" t="s">
        <v>66</v>
      </c>
      <c r="D24" s="36" t="s">
        <v>47</v>
      </c>
      <c r="F24" s="1" t="s">
        <v>49</v>
      </c>
      <c r="L24" s="16" t="s">
        <v>36</v>
      </c>
      <c r="M24" s="17">
        <v>9.7589999999999996E-2</v>
      </c>
      <c r="N24" s="17">
        <v>0.1106</v>
      </c>
      <c r="P24" s="16" t="s">
        <v>36</v>
      </c>
      <c r="Q24" s="22">
        <f t="shared" ref="Q24:R24" si="12">Q23/Q5</f>
        <v>0.1287593984962406</v>
      </c>
      <c r="R24" s="39">
        <f t="shared" si="12"/>
        <v>0.11061538461538462</v>
      </c>
    </row>
    <row r="25" spans="2:19" ht="14.25" customHeight="1" x14ac:dyDescent="0.2">
      <c r="B25" s="4" t="s">
        <v>67</v>
      </c>
      <c r="D25" s="40">
        <f>(D17/39.1)*1000</f>
        <v>24.322250639386187</v>
      </c>
      <c r="L25" s="16" t="s">
        <v>58</v>
      </c>
      <c r="M25" s="17">
        <v>0.6462</v>
      </c>
      <c r="N25" s="17">
        <v>0.58650000000000002</v>
      </c>
      <c r="P25" s="16" t="s">
        <v>58</v>
      </c>
      <c r="Q25" s="22">
        <f t="shared" ref="Q25:R25" si="13">Q11/Q5</f>
        <v>6.8139097744360888E-2</v>
      </c>
      <c r="R25" s="39">
        <f t="shared" si="13"/>
        <v>6.2307692307692307E-2</v>
      </c>
    </row>
    <row r="26" spans="2:19" ht="14.25" customHeight="1" x14ac:dyDescent="0.2">
      <c r="B26" s="4" t="s">
        <v>68</v>
      </c>
      <c r="D26" s="40">
        <f>(D18/12.15)*1000</f>
        <v>22.551440329218106</v>
      </c>
      <c r="L26" s="16" t="s">
        <v>33</v>
      </c>
      <c r="M26" s="17">
        <v>4.2149999999999999</v>
      </c>
      <c r="N26" s="17">
        <v>3.323</v>
      </c>
      <c r="P26" s="16" t="s">
        <v>33</v>
      </c>
      <c r="Q26" s="22">
        <f t="shared" ref="Q26:R26" si="14">Q17/Q23</f>
        <v>3.4708029197080288</v>
      </c>
      <c r="R26" s="39">
        <f t="shared" si="14"/>
        <v>3.1397774687065367</v>
      </c>
    </row>
    <row r="27" spans="2:19" ht="14.25" customHeight="1" x14ac:dyDescent="0.2">
      <c r="B27" s="4" t="s">
        <v>69</v>
      </c>
      <c r="D27" s="41">
        <f>(D19/20.05)*1000</f>
        <v>34.064837905236907</v>
      </c>
      <c r="L27" s="27" t="s">
        <v>70</v>
      </c>
      <c r="M27" s="42">
        <v>331.6</v>
      </c>
      <c r="N27" s="42">
        <v>257.5</v>
      </c>
      <c r="P27" s="27" t="s">
        <v>71</v>
      </c>
      <c r="Q27" s="43">
        <f t="shared" ref="Q27:R27" si="15">Q29/Q23</f>
        <v>295.39609078044236</v>
      </c>
      <c r="R27" s="44">
        <f t="shared" si="15"/>
        <v>0</v>
      </c>
    </row>
    <row r="28" spans="2:19" ht="14.25" customHeight="1" x14ac:dyDescent="0.2">
      <c r="D28" s="45"/>
      <c r="P28" s="19"/>
      <c r="Q28" s="46"/>
      <c r="R28" s="47"/>
    </row>
    <row r="29" spans="2:19" ht="14.25" customHeight="1" x14ac:dyDescent="0.2">
      <c r="O29" s="1" t="s">
        <v>6</v>
      </c>
      <c r="P29" s="27" t="s">
        <v>65</v>
      </c>
      <c r="Q29" s="48">
        <f>D22</f>
        <v>80.938528873841207</v>
      </c>
      <c r="R29" s="49"/>
      <c r="S29" s="2" t="s">
        <v>25</v>
      </c>
    </row>
    <row r="30" spans="2:19" ht="14.25" customHeight="1" x14ac:dyDescent="0.2"/>
    <row r="31" spans="2:19" ht="14.25" customHeight="1" x14ac:dyDescent="0.2"/>
    <row r="32" spans="2:1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2">
    <mergeCell ref="E4:E5"/>
    <mergeCell ref="G4:G5"/>
    <mergeCell ref="I4:I5"/>
    <mergeCell ref="J4:J5"/>
    <mergeCell ref="E7:E8"/>
    <mergeCell ref="G7:G8"/>
    <mergeCell ref="I7:I8"/>
    <mergeCell ref="J7:J8"/>
    <mergeCell ref="H10:J10"/>
    <mergeCell ref="H11:J11"/>
    <mergeCell ref="H12:J12"/>
    <mergeCell ref="H13:J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A.AFANDI</dc:creator>
  <cp:lastModifiedBy>Siti Aisyah Jaafar</cp:lastModifiedBy>
  <dcterms:created xsi:type="dcterms:W3CDTF">2023-03-23T02:30:52Z</dcterms:created>
  <dcterms:modified xsi:type="dcterms:W3CDTF">2026-08-17T03:48:36Z</dcterms:modified>
</cp:coreProperties>
</file>