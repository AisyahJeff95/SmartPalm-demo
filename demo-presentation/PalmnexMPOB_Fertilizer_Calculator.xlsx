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drsitiaisyahjaafar/SmartPalm-demo/demo5-qt-python/"/>
    </mc:Choice>
  </mc:AlternateContent>
  <xr:revisionPtr revIDLastSave="0" documentId="13_ncr:1_{A6E3738A-E678-324A-8A4B-7F25FAF19D3A}" xr6:coauthVersionLast="47" xr6:coauthVersionMax="47" xr10:uidLastSave="{00000000-0000-0000-0000-000000000000}"/>
  <bookViews>
    <workbookView xWindow="0" yWindow="660" windowWidth="34560" windowHeight="19860" activeTab="2" xr2:uid="{00000000-000D-0000-FFFF-FFFF00000000}"/>
  </bookViews>
  <sheets>
    <sheet name="1_MEDS_Baseline_Grid" sheetId="1" r:id="rId1"/>
    <sheet name="2_MPOB_Foster_Nutrient_Balance" sheetId="2" r:id="rId2"/>
    <sheet name="3_Final_Fertilizer_Rec" sheetId="3" r:id="rId3"/>
    <sheet name="4_Current_Usage_Analysi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3" l="1"/>
  <c r="C6" i="3"/>
  <c r="AA21" i="2"/>
  <c r="AA20" i="2"/>
  <c r="AA19" i="2"/>
  <c r="AA18" i="2"/>
  <c r="X18" i="2"/>
  <c r="K72" i="1"/>
  <c r="K71" i="1"/>
  <c r="J33" i="1"/>
  <c r="J36" i="1"/>
  <c r="K36" i="1"/>
  <c r="B20" i="1"/>
  <c r="B26" i="4"/>
  <c r="D20" i="4"/>
  <c r="D19" i="4"/>
  <c r="D18" i="4"/>
  <c r="D17" i="4"/>
  <c r="B12" i="4"/>
  <c r="R27" i="2"/>
  <c r="D27" i="2"/>
  <c r="H27" i="2" s="1"/>
  <c r="R26" i="2"/>
  <c r="Q26" i="2"/>
  <c r="D26" i="2"/>
  <c r="H26" i="2" s="1"/>
  <c r="R25" i="2"/>
  <c r="Q25" i="2"/>
  <c r="D25" i="2"/>
  <c r="H25" i="2" s="1"/>
  <c r="R24" i="2"/>
  <c r="Q24" i="2"/>
  <c r="D22" i="2"/>
  <c r="Q29" i="2" s="1"/>
  <c r="W21" i="2"/>
  <c r="X21" i="2" s="1"/>
  <c r="V21" i="2"/>
  <c r="R21" i="2"/>
  <c r="W20" i="2"/>
  <c r="V20" i="2"/>
  <c r="X20" i="2" s="1"/>
  <c r="R20" i="2"/>
  <c r="Q20" i="2"/>
  <c r="W19" i="2"/>
  <c r="V19" i="2"/>
  <c r="X19" i="2" s="1"/>
  <c r="R19" i="2"/>
  <c r="Q19" i="2"/>
  <c r="W18" i="2"/>
  <c r="V18" i="2"/>
  <c r="R18" i="2"/>
  <c r="Q18" i="2"/>
  <c r="R15" i="2"/>
  <c r="R14" i="2"/>
  <c r="Q14" i="2"/>
  <c r="R13" i="2"/>
  <c r="Q13" i="2"/>
  <c r="R12" i="2"/>
  <c r="Q12" i="2"/>
  <c r="R9" i="2"/>
  <c r="R8" i="2"/>
  <c r="Q8" i="2"/>
  <c r="R7" i="2"/>
  <c r="Q7" i="2"/>
  <c r="R6" i="2"/>
  <c r="Q6" i="2"/>
  <c r="B62" i="1"/>
  <c r="D9" i="3"/>
  <c r="D7" i="3"/>
  <c r="C26" i="4" l="1"/>
  <c r="D26" i="4" s="1"/>
  <c r="C20" i="4"/>
  <c r="C19" i="4"/>
  <c r="C17" i="4"/>
  <c r="C18" i="4"/>
  <c r="Q15" i="2"/>
  <c r="Q21" i="2"/>
  <c r="Q9" i="2"/>
  <c r="Q27" i="2"/>
  <c r="Y21" i="2"/>
  <c r="Z21" i="2"/>
  <c r="E9" i="3" s="1"/>
  <c r="Y20" i="2"/>
  <c r="Z20" i="2"/>
  <c r="Y19" i="2"/>
  <c r="Z19" i="2"/>
  <c r="E7" i="3" s="1"/>
  <c r="Z18" i="2"/>
  <c r="Y18" i="2"/>
  <c r="G38" i="1"/>
  <c r="G56" i="1" s="1"/>
  <c r="G74" i="1" s="1"/>
  <c r="I26" i="1"/>
  <c r="I44" i="1" s="1"/>
  <c r="I62" i="1" s="1"/>
  <c r="J38" i="1"/>
  <c r="J56" i="1" s="1"/>
  <c r="J74" i="1" s="1"/>
  <c r="H38" i="1"/>
  <c r="H56" i="1" s="1"/>
  <c r="H74" i="1" s="1"/>
  <c r="F38" i="1"/>
  <c r="F56" i="1" s="1"/>
  <c r="F74" i="1" s="1"/>
  <c r="D38" i="1"/>
  <c r="D56" i="1" s="1"/>
  <c r="D74" i="1" s="1"/>
  <c r="C38" i="1"/>
  <c r="C56" i="1" s="1"/>
  <c r="C74" i="1" s="1"/>
  <c r="B38" i="1"/>
  <c r="B56" i="1" s="1"/>
  <c r="B74" i="1" s="1"/>
  <c r="L37" i="1"/>
  <c r="L55" i="1" s="1"/>
  <c r="L73" i="1" s="1"/>
  <c r="K37" i="1"/>
  <c r="K55" i="1" s="1"/>
  <c r="K73" i="1" s="1"/>
  <c r="J37" i="1"/>
  <c r="J55" i="1" s="1"/>
  <c r="J73" i="1" s="1"/>
  <c r="I37" i="1"/>
  <c r="I55" i="1" s="1"/>
  <c r="I73" i="1" s="1"/>
  <c r="H37" i="1"/>
  <c r="H55" i="1" s="1"/>
  <c r="H73" i="1" s="1"/>
  <c r="G37" i="1"/>
  <c r="G55" i="1" s="1"/>
  <c r="G73" i="1" s="1"/>
  <c r="F37" i="1"/>
  <c r="F55" i="1" s="1"/>
  <c r="F73" i="1" s="1"/>
  <c r="E37" i="1"/>
  <c r="E55" i="1" s="1"/>
  <c r="E73" i="1" s="1"/>
  <c r="D37" i="1"/>
  <c r="D55" i="1" s="1"/>
  <c r="D73" i="1" s="1"/>
  <c r="C37" i="1"/>
  <c r="C55" i="1" s="1"/>
  <c r="C73" i="1" s="1"/>
  <c r="B37" i="1"/>
  <c r="B55" i="1" s="1"/>
  <c r="B73" i="1" s="1"/>
  <c r="L36" i="1"/>
  <c r="L54" i="1" s="1"/>
  <c r="L72" i="1" s="1"/>
  <c r="K54" i="1"/>
  <c r="J54" i="1"/>
  <c r="J72" i="1" s="1"/>
  <c r="I36" i="1"/>
  <c r="I54" i="1" s="1"/>
  <c r="I72" i="1" s="1"/>
  <c r="H36" i="1"/>
  <c r="H54" i="1" s="1"/>
  <c r="H72" i="1" s="1"/>
  <c r="G36" i="1"/>
  <c r="G54" i="1" s="1"/>
  <c r="G72" i="1" s="1"/>
  <c r="F36" i="1"/>
  <c r="F54" i="1" s="1"/>
  <c r="F72" i="1" s="1"/>
  <c r="E36" i="1"/>
  <c r="E54" i="1" s="1"/>
  <c r="E72" i="1" s="1"/>
  <c r="D36" i="1"/>
  <c r="D54" i="1" s="1"/>
  <c r="D72" i="1" s="1"/>
  <c r="C36" i="1"/>
  <c r="C54" i="1" s="1"/>
  <c r="C72" i="1" s="1"/>
  <c r="B36" i="1"/>
  <c r="B54" i="1" s="1"/>
  <c r="B72" i="1" s="1"/>
  <c r="J35" i="1"/>
  <c r="J53" i="1" s="1"/>
  <c r="J71" i="1" s="1"/>
  <c r="I35" i="1"/>
  <c r="I53" i="1" s="1"/>
  <c r="I71" i="1" s="1"/>
  <c r="F35" i="1"/>
  <c r="F53" i="1" s="1"/>
  <c r="F71" i="1" s="1"/>
  <c r="D35" i="1"/>
  <c r="D53" i="1" s="1"/>
  <c r="D71" i="1" s="1"/>
  <c r="L34" i="1"/>
  <c r="L52" i="1" s="1"/>
  <c r="L70" i="1" s="1"/>
  <c r="J34" i="1"/>
  <c r="J52" i="1" s="1"/>
  <c r="J70" i="1" s="1"/>
  <c r="F34" i="1"/>
  <c r="F52" i="1" s="1"/>
  <c r="F70" i="1" s="1"/>
  <c r="E34" i="1"/>
  <c r="E52" i="1" s="1"/>
  <c r="E70" i="1" s="1"/>
  <c r="B34" i="1"/>
  <c r="B52" i="1" s="1"/>
  <c r="B70" i="1" s="1"/>
  <c r="K33" i="1"/>
  <c r="K51" i="1" s="1"/>
  <c r="K69" i="1" s="1"/>
  <c r="H33" i="1"/>
  <c r="H51" i="1" s="1"/>
  <c r="H69" i="1" s="1"/>
  <c r="E33" i="1"/>
  <c r="E51" i="1" s="1"/>
  <c r="E69" i="1" s="1"/>
  <c r="C33" i="1"/>
  <c r="C51" i="1" s="1"/>
  <c r="C69" i="1" s="1"/>
  <c r="J32" i="1"/>
  <c r="J50" i="1" s="1"/>
  <c r="J68" i="1" s="1"/>
  <c r="H32" i="1"/>
  <c r="H50" i="1" s="1"/>
  <c r="H68" i="1" s="1"/>
  <c r="L30" i="1"/>
  <c r="L48" i="1" s="1"/>
  <c r="L66" i="1" s="1"/>
  <c r="J30" i="1"/>
  <c r="J48" i="1" s="1"/>
  <c r="J66" i="1" s="1"/>
  <c r="G30" i="1"/>
  <c r="G48" i="1" s="1"/>
  <c r="G66" i="1" s="1"/>
  <c r="E30" i="1"/>
  <c r="E48" i="1" s="1"/>
  <c r="E66" i="1" s="1"/>
  <c r="B30" i="1"/>
  <c r="B48" i="1" s="1"/>
  <c r="B66" i="1" s="1"/>
  <c r="K29" i="1"/>
  <c r="K47" i="1" s="1"/>
  <c r="K65" i="1" s="1"/>
  <c r="I29" i="1"/>
  <c r="I47" i="1" s="1"/>
  <c r="I65" i="1" s="1"/>
  <c r="D29" i="1"/>
  <c r="D47" i="1" s="1"/>
  <c r="D65" i="1" s="1"/>
  <c r="K28" i="1"/>
  <c r="K46" i="1" s="1"/>
  <c r="K64" i="1" s="1"/>
  <c r="H28" i="1"/>
  <c r="H46" i="1" s="1"/>
  <c r="H64" i="1" s="1"/>
  <c r="F28" i="1"/>
  <c r="F46" i="1" s="1"/>
  <c r="F64" i="1" s="1"/>
  <c r="D28" i="1"/>
  <c r="D46" i="1" s="1"/>
  <c r="D64" i="1" s="1"/>
  <c r="L27" i="1"/>
  <c r="L45" i="1" s="1"/>
  <c r="L63" i="1" s="1"/>
  <c r="H27" i="1"/>
  <c r="H45" i="1" s="1"/>
  <c r="H63" i="1" s="1"/>
  <c r="E27" i="1"/>
  <c r="E45" i="1" s="1"/>
  <c r="E63" i="1" s="1"/>
  <c r="L26" i="1"/>
  <c r="L44" i="1" s="1"/>
  <c r="L62" i="1" s="1"/>
  <c r="J26" i="1"/>
  <c r="J44" i="1" s="1"/>
  <c r="J62" i="1" s="1"/>
  <c r="G26" i="1"/>
  <c r="G44" i="1" s="1"/>
  <c r="G62" i="1" s="1"/>
  <c r="C26" i="1"/>
  <c r="C44" i="1" s="1"/>
  <c r="C62" i="1" s="1"/>
  <c r="K38" i="1"/>
  <c r="K56" i="1" s="1"/>
  <c r="K74" i="1" s="1"/>
  <c r="I38" i="1"/>
  <c r="I56" i="1" s="1"/>
  <c r="I74" i="1" s="1"/>
  <c r="B27" i="4"/>
  <c r="B28" i="4" s="1"/>
  <c r="B29" i="4" s="1"/>
  <c r="E38" i="1"/>
  <c r="E56" i="1" s="1"/>
  <c r="E74" i="1" s="1"/>
  <c r="L35" i="1"/>
  <c r="L53" i="1" s="1"/>
  <c r="L71" i="1" s="1"/>
  <c r="K35" i="1"/>
  <c r="K53" i="1" s="1"/>
  <c r="H35" i="1"/>
  <c r="H53" i="1" s="1"/>
  <c r="H71" i="1" s="1"/>
  <c r="E35" i="1"/>
  <c r="E53" i="1" s="1"/>
  <c r="E71" i="1" s="1"/>
  <c r="C35" i="1"/>
  <c r="C53" i="1" s="1"/>
  <c r="C71" i="1" s="1"/>
  <c r="L38" i="1"/>
  <c r="L56" i="1" s="1"/>
  <c r="L74" i="1" s="1"/>
  <c r="K34" i="1"/>
  <c r="K52" i="1" s="1"/>
  <c r="K70" i="1" s="1"/>
  <c r="H34" i="1"/>
  <c r="H52" i="1" s="1"/>
  <c r="H70" i="1" s="1"/>
  <c r="C34" i="1"/>
  <c r="C52" i="1" s="1"/>
  <c r="C70" i="1" s="1"/>
  <c r="J51" i="1"/>
  <c r="J69" i="1" s="1"/>
  <c r="F33" i="1"/>
  <c r="F51" i="1" s="1"/>
  <c r="F69" i="1" s="1"/>
  <c r="L32" i="1"/>
  <c r="L50" i="1" s="1"/>
  <c r="L68" i="1" s="1"/>
  <c r="C32" i="1"/>
  <c r="C50" i="1" s="1"/>
  <c r="C68" i="1" s="1"/>
  <c r="K31" i="1"/>
  <c r="K49" i="1" s="1"/>
  <c r="K67" i="1" s="1"/>
  <c r="I31" i="1"/>
  <c r="I49" i="1" s="1"/>
  <c r="I67" i="1" s="1"/>
  <c r="F31" i="1"/>
  <c r="F49" i="1" s="1"/>
  <c r="F67" i="1" s="1"/>
  <c r="C31" i="1"/>
  <c r="C49" i="1" s="1"/>
  <c r="C67" i="1" s="1"/>
  <c r="I30" i="1"/>
  <c r="I48" i="1" s="1"/>
  <c r="I66" i="1" s="1"/>
  <c r="F30" i="1"/>
  <c r="F48" i="1" s="1"/>
  <c r="F66" i="1" s="1"/>
  <c r="D30" i="1"/>
  <c r="D48" i="1" s="1"/>
  <c r="D66" i="1" s="1"/>
  <c r="L29" i="1"/>
  <c r="L47" i="1" s="1"/>
  <c r="L65" i="1" s="1"/>
  <c r="J29" i="1"/>
  <c r="J47" i="1" s="1"/>
  <c r="J65" i="1" s="1"/>
  <c r="H29" i="1"/>
  <c r="H47" i="1" s="1"/>
  <c r="H65" i="1" s="1"/>
  <c r="E29" i="1"/>
  <c r="E47" i="1" s="1"/>
  <c r="E65" i="1" s="1"/>
  <c r="B29" i="1"/>
  <c r="B47" i="1" s="1"/>
  <c r="B65" i="1" s="1"/>
  <c r="L28" i="1"/>
  <c r="L46" i="1" s="1"/>
  <c r="L64" i="1" s="1"/>
  <c r="J28" i="1"/>
  <c r="J46" i="1" s="1"/>
  <c r="J64" i="1" s="1"/>
  <c r="I28" i="1"/>
  <c r="I46" i="1" s="1"/>
  <c r="I64" i="1" s="1"/>
  <c r="G28" i="1"/>
  <c r="G46" i="1" s="1"/>
  <c r="G64" i="1" s="1"/>
  <c r="B28" i="1"/>
  <c r="B46" i="1" s="1"/>
  <c r="B64" i="1" s="1"/>
  <c r="K27" i="1"/>
  <c r="K45" i="1" s="1"/>
  <c r="K63" i="1" s="1"/>
  <c r="I27" i="1"/>
  <c r="I45" i="1" s="1"/>
  <c r="I63" i="1" s="1"/>
  <c r="G27" i="1"/>
  <c r="G45" i="1" s="1"/>
  <c r="G63" i="1" s="1"/>
  <c r="F27" i="1"/>
  <c r="F45" i="1" s="1"/>
  <c r="F63" i="1" s="1"/>
  <c r="C27" i="1"/>
  <c r="C45" i="1" s="1"/>
  <c r="C63" i="1" s="1"/>
  <c r="K26" i="1"/>
  <c r="K44" i="1" s="1"/>
  <c r="K62" i="1" s="1"/>
  <c r="H26" i="1"/>
  <c r="H44" i="1" s="1"/>
  <c r="H62" i="1" s="1"/>
  <c r="F26" i="1"/>
  <c r="F44" i="1" s="1"/>
  <c r="F62" i="1" s="1"/>
  <c r="D26" i="1"/>
  <c r="D44" i="1" s="1"/>
  <c r="D62" i="1" s="1"/>
  <c r="G35" i="1"/>
  <c r="G53" i="1" s="1"/>
  <c r="G71" i="1" s="1"/>
  <c r="I34" i="1"/>
  <c r="I52" i="1" s="1"/>
  <c r="I70" i="1" s="1"/>
  <c r="G34" i="1"/>
  <c r="G52" i="1" s="1"/>
  <c r="G70" i="1" s="1"/>
  <c r="D34" i="1"/>
  <c r="D52" i="1" s="1"/>
  <c r="D70" i="1" s="1"/>
  <c r="L33" i="1"/>
  <c r="L51" i="1" s="1"/>
  <c r="L69" i="1" s="1"/>
  <c r="I33" i="1"/>
  <c r="I51" i="1" s="1"/>
  <c r="I69" i="1" s="1"/>
  <c r="G33" i="1"/>
  <c r="G51" i="1" s="1"/>
  <c r="G69" i="1" s="1"/>
  <c r="D33" i="1"/>
  <c r="D51" i="1" s="1"/>
  <c r="D69" i="1" s="1"/>
  <c r="B26" i="1"/>
  <c r="E26" i="1"/>
  <c r="E44" i="1" s="1"/>
  <c r="E62" i="1" s="1"/>
  <c r="B33" i="1"/>
  <c r="B51" i="1" s="1"/>
  <c r="B69" i="1" s="1"/>
  <c r="K32" i="1"/>
  <c r="K50" i="1" s="1"/>
  <c r="K68" i="1" s="1"/>
  <c r="I32" i="1"/>
  <c r="I50" i="1" s="1"/>
  <c r="I68" i="1" s="1"/>
  <c r="G32" i="1"/>
  <c r="G50" i="1" s="1"/>
  <c r="G68" i="1" s="1"/>
  <c r="F32" i="1"/>
  <c r="F50" i="1" s="1"/>
  <c r="F68" i="1" s="1"/>
  <c r="E32" i="1"/>
  <c r="E50" i="1" s="1"/>
  <c r="E68" i="1" s="1"/>
  <c r="D32" i="1"/>
  <c r="D50" i="1" s="1"/>
  <c r="D68" i="1" s="1"/>
  <c r="B32" i="1"/>
  <c r="B50" i="1" s="1"/>
  <c r="B68" i="1" s="1"/>
  <c r="L31" i="1"/>
  <c r="L49" i="1" s="1"/>
  <c r="L67" i="1" s="1"/>
  <c r="J31" i="1"/>
  <c r="J49" i="1" s="1"/>
  <c r="J67" i="1" s="1"/>
  <c r="H31" i="1"/>
  <c r="H49" i="1" s="1"/>
  <c r="H67" i="1" s="1"/>
  <c r="G31" i="1"/>
  <c r="G49" i="1" s="1"/>
  <c r="G67" i="1" s="1"/>
  <c r="E31" i="1"/>
  <c r="E49" i="1" s="1"/>
  <c r="E67" i="1" s="1"/>
  <c r="D31" i="1"/>
  <c r="D49" i="1" s="1"/>
  <c r="D67" i="1" s="1"/>
  <c r="B31" i="1"/>
  <c r="B49" i="1" s="1"/>
  <c r="B67" i="1" s="1"/>
  <c r="K30" i="1"/>
  <c r="K48" i="1" s="1"/>
  <c r="K66" i="1" s="1"/>
  <c r="H30" i="1"/>
  <c r="H48" i="1" s="1"/>
  <c r="H66" i="1" s="1"/>
  <c r="C30" i="1"/>
  <c r="C48" i="1" s="1"/>
  <c r="C66" i="1" s="1"/>
  <c r="G29" i="1"/>
  <c r="G47" i="1" s="1"/>
  <c r="G65" i="1" s="1"/>
  <c r="F29" i="1"/>
  <c r="F47" i="1" s="1"/>
  <c r="F65" i="1" s="1"/>
  <c r="C29" i="1"/>
  <c r="C47" i="1" s="1"/>
  <c r="C65" i="1" s="1"/>
  <c r="E28" i="1"/>
  <c r="E46" i="1" s="1"/>
  <c r="E64" i="1" s="1"/>
  <c r="C28" i="1"/>
  <c r="C46" i="1" s="1"/>
  <c r="C64" i="1" s="1"/>
  <c r="J27" i="1"/>
  <c r="J45" i="1" s="1"/>
  <c r="J63" i="1" s="1"/>
  <c r="D27" i="1"/>
  <c r="D45" i="1" s="1"/>
  <c r="D63" i="1" s="1"/>
  <c r="B27" i="1"/>
  <c r="B45" i="1" s="1"/>
  <c r="B63" i="1" s="1"/>
  <c r="B35" i="1"/>
  <c r="B53" i="1" s="1"/>
  <c r="B71" i="1" s="1"/>
  <c r="E8" i="3"/>
  <c r="B20" i="4" l="1"/>
  <c r="E20" i="4" s="1"/>
  <c r="F9" i="3"/>
  <c r="F7" i="3"/>
  <c r="B18" i="4"/>
  <c r="E18" i="4" s="1"/>
  <c r="B44" i="1"/>
  <c r="B19" i="4"/>
  <c r="E19" i="4" s="1"/>
  <c r="F8" i="3"/>
  <c r="F20" i="4" l="1"/>
  <c r="H20" i="4"/>
  <c r="I20" i="4" s="1"/>
  <c r="G9" i="3"/>
  <c r="I9" i="3"/>
  <c r="G7" i="3"/>
  <c r="I7" i="3"/>
  <c r="F18" i="4"/>
  <c r="H18" i="4"/>
  <c r="I18" i="4" s="1"/>
  <c r="E6" i="3"/>
  <c r="H19" i="4"/>
  <c r="I19" i="4" s="1"/>
  <c r="F19" i="4"/>
  <c r="I8" i="3"/>
  <c r="G8" i="3"/>
  <c r="B17" i="4" l="1"/>
  <c r="E17" i="4" s="1"/>
  <c r="F6" i="3"/>
  <c r="H17" i="4" l="1"/>
  <c r="I17" i="4" s="1"/>
  <c r="F17" i="4"/>
  <c r="I6" i="3"/>
  <c r="C27" i="4"/>
  <c r="G6" i="3"/>
  <c r="D27" i="4" l="1"/>
  <c r="C28" i="4"/>
  <c r="D28" i="4" l="1"/>
  <c r="C29" i="4"/>
  <c r="D29" i="4" s="1"/>
</calcChain>
</file>

<file path=xl/sharedStrings.xml><?xml version="1.0" encoding="utf-8"?>
<sst xmlns="http://schemas.openxmlformats.org/spreadsheetml/2006/main" count="258" uniqueCount="184">
  <si>
    <t>INTEGRATED RECOMMENDATION SUMMARY TABLE (MEDS BASELINE + SATELLITE DEFICIT ADJUSTMENT)</t>
  </si>
  <si>
    <t>Soil Analysis</t>
  </si>
  <si>
    <t>Element</t>
  </si>
  <si>
    <t>Satellite Leaf (%)</t>
  </si>
  <si>
    <t>MEDS Baseline Rate (kg/palm)</t>
  </si>
  <si>
    <t>MPOB Foster Optimum Benchmarks in Sheet 2 (%)</t>
  </si>
  <si>
    <t>Satellite Adj (kg/palm)</t>
  </si>
  <si>
    <t>Final Rec (kg/palm)</t>
  </si>
  <si>
    <t>Final Rec (kg/ha)</t>
  </si>
  <si>
    <t>Recommended Commercial Product</t>
  </si>
  <si>
    <t>Product Rate (kg/palm)</t>
  </si>
  <si>
    <t>Nitrogen (N)</t>
  </si>
  <si>
    <t>Ammonium Sulphate (SA - 21% N)</t>
  </si>
  <si>
    <t>Phosphorus (P)</t>
  </si>
  <si>
    <t>Rock Phosphate (CIRP - 13% P)</t>
  </si>
  <si>
    <t>Potassium (K)</t>
  </si>
  <si>
    <t>Muriate of Potash (MOP - 50% K)</t>
  </si>
  <si>
    <t>Magnesium (Mg)</t>
  </si>
  <si>
    <t>Kieserite (16% Mg)</t>
  </si>
  <si>
    <t>EXACT AGRONOMIC STRUCTURE &amp; LINKING EXPLANATION:</t>
  </si>
  <si>
    <t>1. Nitrogen (N) &amp; Potassium (K):</t>
  </si>
  <si>
    <t>Baseline rates come EXCLUSIVELY from the MEDS Engine ('1_MEDS_Baseline_Grid'). Deficits are adjusted from Satellite Leaf % readings against target thresholds.</t>
  </si>
  <si>
    <t>2. Phosphorus (P) &amp; Magnesium (Mg):</t>
  </si>
  <si>
    <t>Baseline rates come EXCLUSIVELY from MPOB Foster Guidelines ('2_MPOB_Foster_Nutrient_Balance'). MEDS does not calculate P and Mg baseline, so the MEDS Baseline Rate cell is intentionally blank/grayed out.</t>
  </si>
  <si>
    <t>3. Satellite Deficit Adjustment (kg/palm):</t>
  </si>
  <si>
    <t>Calculated automatically from Satellite Leaf % vs. Target Leaf % using MPOB Foster deficiency ratings.</t>
  </si>
  <si>
    <t>4. Final Recommendation (kg/palm):</t>
  </si>
  <si>
    <t>N &amp; K = MEDS Baseline + Satellite Adj | P &amp; Mg = MPOB Baseline + Satellite Adj.</t>
  </si>
  <si>
    <t>5. Final Recommendation (kg/ha):</t>
  </si>
  <si>
    <t>MPOB PALMNEX - MEDS ECONOMIC YIELD RESPONSE ENGINE (EXACT SYSTEM MATCH)</t>
  </si>
  <si>
    <t>PARAMETER INPUTS (SOIL, CLIMATE &amp; ECONOMICS)</t>
  </si>
  <si>
    <t>Palm Age (Years)</t>
  </si>
  <si>
    <t>years</t>
  </si>
  <si>
    <t>Planting Density (Palms/ha)</t>
  </si>
  <si>
    <t>palms/ha</t>
  </si>
  <si>
    <t>Soil Drainage Class (1-5)</t>
  </si>
  <si>
    <t>class (1=well drained)</t>
  </si>
  <si>
    <t>Soil Consistency Class (1-4)</t>
  </si>
  <si>
    <t>class</t>
  </si>
  <si>
    <t>Slope Class (degrees)</t>
  </si>
  <si>
    <t>deg</t>
  </si>
  <si>
    <t>Root Impedance Class</t>
  </si>
  <si>
    <t>Soil Organic Matter (%)</t>
  </si>
  <si>
    <t>%</t>
  </si>
  <si>
    <t>Silt Content (%)</t>
  </si>
  <si>
    <t>Extractable K (cmol/kg)</t>
  </si>
  <si>
    <t>cmol/kg</t>
  </si>
  <si>
    <t>Total Extractable Bases</t>
  </si>
  <si>
    <t>Annual Rainfall (mm/year)</t>
  </si>
  <si>
    <t>mm/year</t>
  </si>
  <si>
    <t>FFB Price (RM/tonne)</t>
  </si>
  <si>
    <t>RM/tonne</t>
  </si>
  <si>
    <t>Ammonium Sulphate Cost (SA)</t>
  </si>
  <si>
    <t>Muriate of Potash Cost (KCl)</t>
  </si>
  <si>
    <t>Calculated Baseline Yield Y0 (t/ha/yr):</t>
  </si>
  <si>
    <t>1. MEDS FFB YIELD PREDICTION SURFACE Y(N,K) [t/ha/yr]</t>
  </si>
  <si>
    <t>N \ K (kg/palm)</t>
  </si>
  <si>
    <t>2. MEDS REVENUE GAIN SURFACE [RM/ha/yr]</t>
  </si>
  <si>
    <t>3. MEDS COST-TO-REVENUE RATIO (CRR) GRID [Target CRR ≈ 0.30]</t>
  </si>
  <si>
    <t>GRADING NUTRIENT DEFICIENCIES (K and Mg)</t>
  </si>
  <si>
    <t>MEAN OPTIMUM LEAF NUTRIENT LEVELS AND RATIOS</t>
  </si>
  <si>
    <t>FERTILIZER ADJUSTMENT</t>
  </si>
  <si>
    <t>STANDARD</t>
  </si>
  <si>
    <t>A</t>
  </si>
  <si>
    <t>Total Leaf Cation (TLC)</t>
  </si>
  <si>
    <t xml:space="preserve"> =</t>
  </si>
  <si>
    <t>Leaf K</t>
  </si>
  <si>
    <t>+</t>
  </si>
  <si>
    <t>Leaf Mg</t>
  </si>
  <si>
    <t>Leaf Ca</t>
  </si>
  <si>
    <t>x</t>
  </si>
  <si>
    <t>Leaf Nutrients</t>
  </si>
  <si>
    <t>Inland Soils</t>
  </si>
  <si>
    <t>Coastal Soils</t>
  </si>
  <si>
    <t>Nutrient Deficiency rating</t>
  </si>
  <si>
    <t>Potential Yield Response (t/ha/yr)</t>
  </si>
  <si>
    <t>Fertilizer Adjustment (kg/palm/yr)</t>
  </si>
  <si>
    <t>cmol/kg dry matter</t>
  </si>
  <si>
    <t>39.1/1</t>
  </si>
  <si>
    <t>24.3/2</t>
  </si>
  <si>
    <t>40.1/2</t>
  </si>
  <si>
    <t>N</t>
  </si>
  <si>
    <t>input</t>
  </si>
  <si>
    <t>Excessive</t>
  </si>
  <si>
    <t xml:space="preserve"> - 0.5 to -1</t>
  </si>
  <si>
    <t>P/N</t>
  </si>
  <si>
    <t>Satisfactory</t>
  </si>
  <si>
    <t>0 to 1</t>
  </si>
  <si>
    <t>N/K</t>
  </si>
  <si>
    <t>Low</t>
  </si>
  <si>
    <t>1 to 2</t>
  </si>
  <si>
    <t>Mg/N</t>
  </si>
  <si>
    <t>Deficient</t>
  </si>
  <si>
    <t>2 to 3</t>
  </si>
  <si>
    <t>0 to 2</t>
  </si>
  <si>
    <t>TB/N</t>
  </si>
  <si>
    <t>TLC/N</t>
  </si>
  <si>
    <t>Very Deficient</t>
  </si>
  <si>
    <t>&gt; 3</t>
  </si>
  <si>
    <t>0 to 3</t>
  </si>
  <si>
    <t>Deficiency rating of Leaf K and Mg</t>
  </si>
  <si>
    <t>X/TLC</t>
  </si>
  <si>
    <t>Deficiency rating</t>
  </si>
  <si>
    <t>B</t>
  </si>
  <si>
    <t>&lt;25</t>
  </si>
  <si>
    <t>P</t>
  </si>
  <si>
    <t>Note:</t>
  </si>
  <si>
    <t>25 - 30</t>
  </si>
  <si>
    <t>SH increase fertilizer rate only if nutrient is classified as deficient</t>
  </si>
  <si>
    <t>&gt; 30</t>
  </si>
  <si>
    <t>Sufficient</t>
  </si>
  <si>
    <t>P/K</t>
  </si>
  <si>
    <t>Larga plantation, increase fertilizer when average over a number of fields are classified as low</t>
  </si>
  <si>
    <t>P/Mg</t>
  </si>
  <si>
    <t>TB/P</t>
  </si>
  <si>
    <t>TLC/P</t>
  </si>
  <si>
    <t>AUTOMATIC SATELLITE LEAF DIAGNOSIS &amp; FERTILIZER ADJUSTMENT CALCULATOR</t>
  </si>
  <si>
    <t>DATA</t>
  </si>
  <si>
    <t>INPUT</t>
  </si>
  <si>
    <t>K</t>
  </si>
  <si>
    <t>Satellite Leaf %</t>
  </si>
  <si>
    <t>Inland Optimum Target %</t>
  </si>
  <si>
    <t>Ratio (Sat/Target)</t>
  </si>
  <si>
    <t>Nutrient Deficiency Rating</t>
  </si>
  <si>
    <t>K/Mg</t>
  </si>
  <si>
    <t>CALCULATED</t>
  </si>
  <si>
    <t>TB/K</t>
  </si>
  <si>
    <t>TLC/K</t>
  </si>
  <si>
    <t>TLC</t>
  </si>
  <si>
    <t>Mg</t>
  </si>
  <si>
    <t>DEFICIENCY RATING</t>
  </si>
  <si>
    <t>K/TLC</t>
  </si>
  <si>
    <t>Mg/TLC</t>
  </si>
  <si>
    <t>Ca/TLC</t>
  </si>
  <si>
    <t>TB/Mg</t>
  </si>
  <si>
    <t>TLC/Mg</t>
  </si>
  <si>
    <t>MPOB PALMNEX - CURRENT FERTILIZER USAGE &amp; VARIANCE ANALYSIS (METHOD 1 &amp; METHOD 2)</t>
  </si>
  <si>
    <t>1. CURRENT ESTATE FERTILIZER USAGE INPUTS</t>
  </si>
  <si>
    <t>Oxide Conversion to Pure Element</t>
  </si>
  <si>
    <t>Current Compound Fertilizer Grade</t>
  </si>
  <si>
    <t>NPK 17/17/17/3</t>
  </si>
  <si>
    <t>Grade Specs</t>
  </si>
  <si>
    <t>Compound Nitrogen Content (N %)</t>
  </si>
  <si>
    <t>% N</t>
  </si>
  <si>
    <t>Compound Phosphate Content (P2O5 %)</t>
  </si>
  <si>
    <t>% P2O5 (7.42% P)</t>
  </si>
  <si>
    <t>Compound Potash Content (K2O %)</t>
  </si>
  <si>
    <t>% K2O (14.11% K)</t>
  </si>
  <si>
    <t>Compound Magnesium Content (MgO %)</t>
  </si>
  <si>
    <t>% MgO (1.81% Mg)</t>
  </si>
  <si>
    <t>Current Application Rate (kg/ha/year)</t>
  </si>
  <si>
    <t>kg/ha/yr</t>
  </si>
  <si>
    <t>Current Compound Price (RM/tonne)</t>
  </si>
  <si>
    <t>Planting Density (palms/ha)</t>
  </si>
  <si>
    <t>2. METHOD 1: NET TOP-UP &amp; GAP ANALYSIS (TARGET REC vs CURRENT APPLIED)</t>
  </si>
  <si>
    <t>Straight Fertilizer Recommendations</t>
  </si>
  <si>
    <t>Target Rec Rate (kg/palm)</t>
  </si>
  <si>
    <t>Current Applied Rate (kg/palm)</t>
  </si>
  <si>
    <t>Current Applied Rate (kg/ha)</t>
  </si>
  <si>
    <t>Net Top-Up Needed (kg/palm)</t>
  </si>
  <si>
    <t>Net Top-Up Needed (kg/ha)</t>
  </si>
  <si>
    <t>Recommended Straight Top-Up Product</t>
  </si>
  <si>
    <t>Additional Product Needed (kg/palm)</t>
  </si>
  <si>
    <t>Additional Product Needed (kg/ha)</t>
  </si>
  <si>
    <t>3. METHOD 2: ESTATE FINANCIAL SPEND &amp; NET REVENUE VARIANCE ANALYSIS</t>
  </si>
  <si>
    <t>Financial Metric</t>
  </si>
  <si>
    <t>Current Estate Regime (680 kg/ha NPK 17/17/17/3)</t>
  </si>
  <si>
    <t>Target Recommended Regime (Straight Fertilizers)</t>
  </si>
  <si>
    <t>Financial Variance (Gain / Savings)</t>
  </si>
  <si>
    <t>Calculation Rationale &amp; Formula</t>
  </si>
  <si>
    <t>Annual Fertilizer Cost (RM/ha/yr)</t>
  </si>
  <si>
    <t>Calculates total annual fertilizer expenditure per hectare.</t>
  </si>
  <si>
    <t>Predicted FFB Yield (t/ha/yr)</t>
  </si>
  <si>
    <t>Predicts annual FFB harvest tonnes per hectare.</t>
  </si>
  <si>
    <t>Gross FFB Revenue (RM/ha/yr)</t>
  </si>
  <si>
    <t>Gross sales revenue = FFB Yield x FFB Price (RM 800/t).</t>
  </si>
  <si>
    <t>NET ANNUAL PROFIT (RM/ha/yr)</t>
  </si>
  <si>
    <t>NET PROFIT GAIN = Gross Revenue Gain minus Fertilizer Cost Variance.</t>
  </si>
  <si>
    <t>(INLAND) - for example</t>
  </si>
  <si>
    <t xml:space="preserve">Ratio = X / Target  </t>
  </si>
  <si>
    <t>This equation from LEFT</t>
  </si>
  <si>
    <t>This indicator is from TOP table.</t>
  </si>
  <si>
    <t>This value is from the LEFT side table.</t>
  </si>
  <si>
    <t>We chose this in OPENS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</si>
</sst>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\+0.00;\-0.00"/>
  </numFmts>
  <fonts count="21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b/>
      <sz val="11"/>
      <color rgb="FF1E3A8A"/>
      <name val="Segoe UI"/>
    </font>
    <font>
      <b/>
      <sz val="10"/>
      <name val="Segoe UI"/>
    </font>
    <font>
      <i/>
      <sz val="9"/>
      <color rgb="FF475569"/>
      <name val="Segoe UI"/>
    </font>
    <font>
      <b/>
      <sz val="10"/>
      <color rgb="FFFFFFFF"/>
      <name val="Segoe UI"/>
    </font>
    <font>
      <sz val="10"/>
      <name val="Segoe UI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1E3A8A"/>
      <name val="Segoe UI"/>
    </font>
    <font>
      <b/>
      <sz val="10"/>
      <color rgb="FFFFFFFF"/>
      <name val="Segoe UI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FFFF"/>
      <name val="Segoe UI"/>
    </font>
    <font>
      <i/>
      <sz val="9"/>
      <color rgb="FF475569"/>
      <name val="Segoe UI"/>
    </font>
    <font>
      <b/>
      <sz val="10"/>
      <color rgb="FFFFFFFF"/>
      <name val="Segoe UI"/>
    </font>
    <font>
      <b/>
      <sz val="18"/>
      <color rgb="FF1E3A8A"/>
      <name val="Segoe UI"/>
    </font>
    <font>
      <b/>
      <sz val="14"/>
      <color rgb="FFFFFFFF"/>
      <name val="Segoe UI"/>
    </font>
    <font>
      <b/>
      <sz val="11"/>
      <color rgb="FF1E3A8A"/>
      <name val="Segoe UI"/>
    </font>
    <font>
      <b/>
      <sz val="10"/>
      <color rgb="FFFFFFFF"/>
      <name val="Segoe UI"/>
    </font>
  </fonts>
  <fills count="30">
    <fill>
      <patternFill patternType="none"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FEF08A"/>
        <bgColor rgb="FFFEF08A"/>
      </patternFill>
    </fill>
    <fill>
      <patternFill patternType="solid">
        <fgColor rgb="FFE2E8F0"/>
        <bgColor rgb="FFE2E8F0"/>
      </patternFill>
    </fill>
    <fill>
      <patternFill patternType="solid">
        <fgColor rgb="FF1E40AF"/>
        <bgColor rgb="FF1E40AF"/>
      </patternFill>
    </fill>
    <fill>
      <patternFill patternType="solid">
        <fgColor rgb="FFF1F5F9"/>
        <bgColor rgb="FFF1F5F9"/>
      </patternFill>
    </fill>
    <fill>
      <patternFill patternType="solid">
        <fgColor rgb="FFD1FAE5"/>
        <bgColor rgb="FFD1FAE5"/>
      </patternFill>
    </fill>
    <fill>
      <patternFill patternType="solid">
        <fgColor rgb="FF047857"/>
        <bgColor rgb="FF047857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47857"/>
        <bgColor rgb="FF047857"/>
      </patternFill>
    </fill>
    <fill>
      <patternFill patternType="solid">
        <fgColor rgb="FFFEF08A"/>
        <bgColor rgb="FFFEF08A"/>
      </patternFill>
    </fill>
    <fill>
      <patternFill patternType="solid">
        <fgColor theme="9"/>
        <bgColor indexed="64"/>
      </patternFill>
    </fill>
    <fill>
      <patternFill patternType="solid">
        <fgColor rgb="FF0F172A"/>
        <bgColor rgb="FF0F172A"/>
      </patternFill>
    </fill>
    <fill>
      <patternFill patternType="solid">
        <fgColor rgb="FFFEF08A"/>
        <bgColor rgb="FFFEF08A"/>
      </patternFill>
    </fill>
    <fill>
      <patternFill patternType="solid">
        <fgColor rgb="FF047857"/>
        <bgColor rgb="FF047857"/>
      </patternFill>
    </fill>
    <fill>
      <patternFill patternType="solid">
        <fgColor rgb="FFD1FAE5"/>
        <bgColor rgb="FFD1FAE5"/>
      </patternFill>
    </fill>
    <fill>
      <patternFill patternType="solid">
        <fgColor rgb="FF5B21B6"/>
        <bgColor rgb="FF5B21B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1FAE5"/>
      </patternFill>
    </fill>
    <fill>
      <patternFill patternType="solid">
        <fgColor rgb="FF0F172A"/>
        <bgColor rgb="FF0F172A"/>
      </patternFill>
    </fill>
    <fill>
      <patternFill patternType="solid">
        <fgColor rgb="FF047857"/>
        <bgColor rgb="FF047857"/>
      </patternFill>
    </fill>
    <fill>
      <patternFill patternType="solid">
        <fgColor rgb="FFEAB308"/>
        <bgColor rgb="FFEAB308"/>
      </patternFill>
    </fill>
    <fill>
      <patternFill patternType="solid">
        <fgColor rgb="FFFEF08A"/>
        <bgColor rgb="FFFEF08A"/>
      </patternFill>
    </fill>
    <fill>
      <patternFill patternType="solid">
        <fgColor rgb="FFF1F5F9"/>
        <bgColor rgb="FFF1F5F9"/>
      </patternFill>
    </fill>
    <fill>
      <patternFill patternType="solid">
        <fgColor rgb="FFD1FAE5"/>
        <bgColor rgb="FFD1FAE5"/>
      </patternFill>
    </fill>
    <fill>
      <patternFill patternType="solid">
        <fgColor rgb="FFFEF08A"/>
        <bgColor rgb="FFFEF08A"/>
      </patternFill>
    </fill>
  </fills>
  <borders count="28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CBD5E1"/>
      </bottom>
      <diagonal/>
    </border>
    <border>
      <left style="medium">
        <color indexed="64"/>
      </left>
      <right style="medium">
        <color indexed="64"/>
      </right>
      <top style="thin">
        <color rgb="FFCBD5E1"/>
      </top>
      <bottom style="thin">
        <color rgb="FFCBD5E1"/>
      </bottom>
      <diagonal/>
    </border>
    <border>
      <left style="medium">
        <color indexed="64"/>
      </left>
      <right style="medium">
        <color indexed="64"/>
      </right>
      <top style="thin">
        <color rgb="FFCBD5E1"/>
      </top>
      <bottom style="medium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rgb="FFCBD5E1"/>
      </right>
      <top style="thin">
        <color indexed="64"/>
      </top>
      <bottom style="thin">
        <color rgb="FFCBD5E1"/>
      </bottom>
      <diagonal/>
    </border>
    <border>
      <left style="thin">
        <color rgb="FFCBD5E1"/>
      </left>
      <right style="thin">
        <color indexed="64"/>
      </right>
      <top style="thin">
        <color indexed="64"/>
      </top>
      <bottom style="thin">
        <color rgb="FFCBD5E1"/>
      </bottom>
      <diagonal/>
    </border>
    <border>
      <left style="thin">
        <color indexed="64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indexed="64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rgb="FFCBD5E1"/>
      </right>
      <top style="thin">
        <color rgb="FFCBD5E1"/>
      </top>
      <bottom style="thin">
        <color indexed="64"/>
      </bottom>
      <diagonal/>
    </border>
    <border>
      <left style="thin">
        <color rgb="FFCBD5E1"/>
      </left>
      <right style="thin">
        <color indexed="64"/>
      </right>
      <top style="thin">
        <color rgb="FFCBD5E1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indexed="64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indexed="64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2" fillId="0" borderId="0" xfId="0" applyFont="1"/>
    <xf numFmtId="0" fontId="3" fillId="0" borderId="0" xfId="0" applyFont="1"/>
    <xf numFmtId="0" fontId="3" fillId="3" borderId="1" xfId="0" applyFont="1" applyFill="1" applyBorder="1" applyAlignment="1">
      <alignment horizontal="center"/>
    </xf>
    <xf numFmtId="0" fontId="4" fillId="0" borderId="0" xfId="0" applyFont="1"/>
    <xf numFmtId="2" fontId="3" fillId="4" borderId="1" xfId="0" applyNumberFormat="1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2" fontId="6" fillId="0" borderId="1" xfId="0" applyNumberFormat="1" applyFont="1" applyBorder="1" applyAlignment="1">
      <alignment horizontal="right"/>
    </xf>
    <xf numFmtId="2" fontId="3" fillId="7" borderId="1" xfId="0" applyNumberFormat="1" applyFont="1" applyFill="1" applyBorder="1" applyAlignment="1">
      <alignment horizontal="right"/>
    </xf>
    <xf numFmtId="0" fontId="5" fillId="8" borderId="0" xfId="0" applyFont="1" applyFill="1" applyAlignment="1">
      <alignment horizontal="center"/>
    </xf>
    <xf numFmtId="0" fontId="6" fillId="0" borderId="1" xfId="0" applyFont="1" applyBorder="1" applyAlignment="1">
      <alignment horizontal="right"/>
    </xf>
    <xf numFmtId="0" fontId="3" fillId="7" borderId="1" xfId="0" applyFont="1" applyFill="1" applyBorder="1" applyAlignment="1">
      <alignment horizontal="right"/>
    </xf>
    <xf numFmtId="0" fontId="3" fillId="3" borderId="0" xfId="0" applyFont="1" applyFill="1"/>
    <xf numFmtId="164" fontId="0" fillId="0" borderId="0" xfId="0" applyNumberFormat="1"/>
    <xf numFmtId="2" fontId="0" fillId="0" borderId="0" xfId="0" applyNumberFormat="1"/>
    <xf numFmtId="164" fontId="3" fillId="3" borderId="0" xfId="0" applyNumberFormat="1" applyFont="1" applyFill="1"/>
    <xf numFmtId="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7" fillId="9" borderId="0" xfId="0" applyFont="1" applyFill="1"/>
    <xf numFmtId="0" fontId="7" fillId="0" borderId="0" xfId="0" applyFont="1"/>
    <xf numFmtId="0" fontId="7" fillId="10" borderId="2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1" borderId="6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8" fillId="0" borderId="0" xfId="0" applyFont="1"/>
    <xf numFmtId="0" fontId="9" fillId="0" borderId="8" xfId="0" applyFont="1" applyBorder="1" applyAlignment="1">
      <alignment horizontal="center" vertical="center"/>
    </xf>
    <xf numFmtId="0" fontId="8" fillId="12" borderId="8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9" fillId="9" borderId="8" xfId="0" applyFont="1" applyFill="1" applyBorder="1" applyAlignment="1">
      <alignment horizontal="center" vertical="center"/>
    </xf>
    <xf numFmtId="0" fontId="10" fillId="0" borderId="0" xfId="0" applyFont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11" fillId="13" borderId="9" xfId="0" applyFont="1" applyFill="1" applyBorder="1" applyAlignment="1">
      <alignment horizontal="center" wrapText="1"/>
    </xf>
    <xf numFmtId="0" fontId="13" fillId="0" borderId="0" xfId="0" applyFont="1" applyAlignment="1">
      <alignment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15" borderId="0" xfId="0" applyFont="1" applyFill="1"/>
    <xf numFmtId="0" fontId="11" fillId="13" borderId="14" xfId="0" applyFont="1" applyFill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0" fillId="9" borderId="8" xfId="0" applyFill="1" applyBorder="1" applyAlignment="1">
      <alignment horizontal="center" vertical="center"/>
    </xf>
    <xf numFmtId="2" fontId="3" fillId="0" borderId="15" xfId="0" applyNumberFormat="1" applyFont="1" applyBorder="1" applyAlignment="1">
      <alignment horizontal="right"/>
    </xf>
    <xf numFmtId="2" fontId="3" fillId="0" borderId="16" xfId="0" applyNumberFormat="1" applyFont="1" applyBorder="1" applyAlignment="1">
      <alignment horizontal="right"/>
    </xf>
    <xf numFmtId="2" fontId="3" fillId="0" borderId="17" xfId="0" applyNumberFormat="1" applyFont="1" applyBorder="1" applyAlignment="1">
      <alignment horizontal="right"/>
    </xf>
    <xf numFmtId="0" fontId="3" fillId="17" borderId="18" xfId="0" applyFont="1" applyFill="1" applyBorder="1" applyAlignment="1">
      <alignment horizontal="center"/>
    </xf>
    <xf numFmtId="0" fontId="15" fillId="0" borderId="0" xfId="0" applyFont="1"/>
    <xf numFmtId="10" fontId="3" fillId="17" borderId="18" xfId="0" applyNumberFormat="1" applyFont="1" applyFill="1" applyBorder="1" applyAlignment="1">
      <alignment horizontal="center"/>
    </xf>
    <xf numFmtId="4" fontId="3" fillId="17" borderId="18" xfId="0" applyNumberFormat="1" applyFont="1" applyFill="1" applyBorder="1" applyAlignment="1">
      <alignment horizontal="center"/>
    </xf>
    <xf numFmtId="0" fontId="3" fillId="0" borderId="18" xfId="0" applyFont="1" applyBorder="1" applyAlignment="1">
      <alignment horizontal="left"/>
    </xf>
    <xf numFmtId="2" fontId="6" fillId="0" borderId="18" xfId="0" applyNumberFormat="1" applyFont="1" applyBorder="1" applyAlignment="1">
      <alignment horizontal="right"/>
    </xf>
    <xf numFmtId="0" fontId="16" fillId="20" borderId="18" xfId="0" applyFont="1" applyFill="1" applyBorder="1" applyAlignment="1">
      <alignment horizontal="center"/>
    </xf>
    <xf numFmtId="0" fontId="3" fillId="0" borderId="18" xfId="0" applyFont="1" applyBorder="1"/>
    <xf numFmtId="0" fontId="6" fillId="0" borderId="18" xfId="0" applyFont="1" applyBorder="1" applyAlignment="1">
      <alignment horizontal="right"/>
    </xf>
    <xf numFmtId="0" fontId="3" fillId="19" borderId="18" xfId="0" applyFont="1" applyFill="1" applyBorder="1" applyAlignment="1">
      <alignment horizontal="right"/>
    </xf>
    <xf numFmtId="0" fontId="15" fillId="0" borderId="18" xfId="0" applyFont="1" applyBorder="1" applyAlignment="1">
      <alignment horizontal="left"/>
    </xf>
    <xf numFmtId="166" fontId="3" fillId="19" borderId="18" xfId="0" applyNumberFormat="1" applyFont="1" applyFill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13" fillId="0" borderId="0" xfId="0" applyFont="1" applyAlignment="1">
      <alignment wrapText="1"/>
    </xf>
    <xf numFmtId="0" fontId="5" fillId="18" borderId="18" xfId="0" applyFont="1" applyFill="1" applyBorder="1" applyAlignment="1">
      <alignment horizontal="center" vertical="center" wrapText="1"/>
    </xf>
    <xf numFmtId="0" fontId="16" fillId="18" borderId="18" xfId="0" applyFont="1" applyFill="1" applyBorder="1" applyAlignment="1">
      <alignment horizontal="center" vertical="center" wrapText="1"/>
    </xf>
    <xf numFmtId="0" fontId="16" fillId="18" borderId="13" xfId="0" applyFont="1" applyFill="1" applyBorder="1" applyAlignment="1">
      <alignment horizontal="center" vertical="center" wrapText="1"/>
    </xf>
    <xf numFmtId="4" fontId="6" fillId="0" borderId="13" xfId="0" applyNumberFormat="1" applyFont="1" applyBorder="1" applyAlignment="1">
      <alignment horizontal="right"/>
    </xf>
    <xf numFmtId="0" fontId="16" fillId="18" borderId="19" xfId="0" applyFont="1" applyFill="1" applyBorder="1" applyAlignment="1">
      <alignment horizontal="center" vertical="center" wrapText="1"/>
    </xf>
    <xf numFmtId="0" fontId="16" fillId="18" borderId="20" xfId="0" applyFont="1" applyFill="1" applyBorder="1" applyAlignment="1">
      <alignment horizontal="center" vertical="center" wrapText="1"/>
    </xf>
    <xf numFmtId="2" fontId="3" fillId="19" borderId="21" xfId="0" applyNumberFormat="1" applyFont="1" applyFill="1" applyBorder="1" applyAlignment="1">
      <alignment horizontal="right"/>
    </xf>
    <xf numFmtId="4" fontId="3" fillId="19" borderId="22" xfId="0" applyNumberFormat="1" applyFont="1" applyFill="1" applyBorder="1" applyAlignment="1">
      <alignment horizontal="right"/>
    </xf>
    <xf numFmtId="2" fontId="3" fillId="19" borderId="23" xfId="0" applyNumberFormat="1" applyFont="1" applyFill="1" applyBorder="1" applyAlignment="1">
      <alignment horizontal="right"/>
    </xf>
    <xf numFmtId="4" fontId="3" fillId="19" borderId="24" xfId="0" applyNumberFormat="1" applyFont="1" applyFill="1" applyBorder="1" applyAlignment="1">
      <alignment horizontal="right"/>
    </xf>
    <xf numFmtId="2" fontId="6" fillId="21" borderId="18" xfId="0" applyNumberFormat="1" applyFont="1" applyFill="1" applyBorder="1" applyAlignment="1">
      <alignment horizontal="right"/>
    </xf>
    <xf numFmtId="0" fontId="16" fillId="18" borderId="25" xfId="0" applyFont="1" applyFill="1" applyBorder="1" applyAlignment="1">
      <alignment horizontal="center" vertical="center" wrapText="1"/>
    </xf>
    <xf numFmtId="0" fontId="6" fillId="21" borderId="21" xfId="0" applyFont="1" applyFill="1" applyBorder="1" applyAlignment="1">
      <alignment horizontal="left"/>
    </xf>
    <xf numFmtId="4" fontId="3" fillId="22" borderId="22" xfId="0" applyNumberFormat="1" applyFont="1" applyFill="1" applyBorder="1" applyAlignment="1">
      <alignment horizontal="right"/>
    </xf>
    <xf numFmtId="0" fontId="6" fillId="21" borderId="23" xfId="0" applyFont="1" applyFill="1" applyBorder="1" applyAlignment="1">
      <alignment horizontal="left"/>
    </xf>
    <xf numFmtId="2" fontId="6" fillId="21" borderId="26" xfId="0" applyNumberFormat="1" applyFont="1" applyFill="1" applyBorder="1" applyAlignment="1">
      <alignment horizontal="right"/>
    </xf>
    <xf numFmtId="4" fontId="3" fillId="22" borderId="24" xfId="0" applyNumberFormat="1" applyFont="1" applyFill="1" applyBorder="1" applyAlignment="1">
      <alignment horizontal="right"/>
    </xf>
    <xf numFmtId="0" fontId="17" fillId="0" borderId="0" xfId="0" applyFont="1"/>
    <xf numFmtId="0" fontId="19" fillId="0" borderId="0" xfId="0" applyFont="1"/>
    <xf numFmtId="0" fontId="20" fillId="24" borderId="27" xfId="0" applyFont="1" applyFill="1" applyBorder="1" applyAlignment="1">
      <alignment horizontal="center" vertical="center" wrapText="1"/>
    </xf>
    <xf numFmtId="0" fontId="20" fillId="25" borderId="27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left"/>
    </xf>
    <xf numFmtId="165" fontId="6" fillId="26" borderId="27" xfId="0" applyNumberFormat="1" applyFont="1" applyFill="1" applyBorder="1" applyAlignment="1">
      <alignment horizontal="right"/>
    </xf>
    <xf numFmtId="2" fontId="6" fillId="0" borderId="27" xfId="0" applyNumberFormat="1" applyFont="1" applyBorder="1" applyAlignment="1">
      <alignment horizontal="right"/>
    </xf>
    <xf numFmtId="165" fontId="6" fillId="27" borderId="27" xfId="0" applyNumberFormat="1" applyFont="1" applyFill="1" applyBorder="1" applyAlignment="1">
      <alignment horizontal="right"/>
    </xf>
    <xf numFmtId="2" fontId="3" fillId="28" borderId="27" xfId="0" applyNumberFormat="1" applyFont="1" applyFill="1" applyBorder="1" applyAlignment="1">
      <alignment horizontal="right"/>
    </xf>
    <xf numFmtId="4" fontId="3" fillId="28" borderId="27" xfId="0" applyNumberFormat="1" applyFont="1" applyFill="1" applyBorder="1" applyAlignment="1">
      <alignment horizontal="right"/>
    </xf>
    <xf numFmtId="0" fontId="6" fillId="0" borderId="27" xfId="0" applyFont="1" applyBorder="1" applyAlignment="1">
      <alignment horizontal="left"/>
    </xf>
    <xf numFmtId="2" fontId="3" fillId="29" borderId="27" xfId="0" applyNumberFormat="1" applyFont="1" applyFill="1" applyBorder="1" applyAlignment="1">
      <alignment horizontal="right"/>
    </xf>
    <xf numFmtId="0" fontId="6" fillId="0" borderId="0" xfId="0" applyFont="1"/>
    <xf numFmtId="0" fontId="0" fillId="0" borderId="0" xfId="0" applyAlignment="1">
      <alignment wrapText="1"/>
    </xf>
    <xf numFmtId="0" fontId="0" fillId="0" borderId="0" xfId="0"/>
    <xf numFmtId="0" fontId="18" fillId="2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9" borderId="0" xfId="0" applyFont="1" applyFill="1"/>
    <xf numFmtId="0" fontId="14" fillId="16" borderId="0" xfId="0" applyFont="1" applyFill="1" applyAlignment="1">
      <alignment horizontal="center" vertical="center"/>
    </xf>
    <xf numFmtId="0" fontId="11" fillId="13" borderId="9" xfId="0" applyFont="1" applyFill="1" applyBorder="1" applyAlignment="1">
      <alignment horizontal="center" vertical="center" wrapText="1"/>
    </xf>
    <xf numFmtId="0" fontId="5" fillId="13" borderId="9" xfId="0" applyFont="1" applyFill="1" applyBorder="1" applyAlignment="1">
      <alignment horizontal="center" vertical="center" wrapText="1"/>
    </xf>
    <xf numFmtId="165" fontId="3" fillId="14" borderId="9" xfId="0" applyNumberFormat="1" applyFont="1" applyFill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/>
    </xf>
    <xf numFmtId="165" fontId="6" fillId="9" borderId="9" xfId="0" applyNumberFormat="1" applyFont="1" applyFill="1" applyBorder="1" applyAlignment="1">
      <alignment horizontal="center" vertical="center"/>
    </xf>
    <xf numFmtId="10" fontId="3" fillId="0" borderId="1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opLeftCell="A10" workbookViewId="0">
      <selection activeCell="K73" sqref="K73"/>
    </sheetView>
  </sheetViews>
  <sheetFormatPr baseColWidth="10" defaultColWidth="8.83203125" defaultRowHeight="15" x14ac:dyDescent="0.2"/>
  <cols>
    <col min="1" max="1" width="41.33203125" customWidth="1"/>
    <col min="2" max="2" width="12" customWidth="1"/>
    <col min="3" max="3" width="26" customWidth="1"/>
    <col min="4" max="14" width="12" customWidth="1"/>
  </cols>
  <sheetData>
    <row r="1" spans="1:14" ht="35" customHeight="1" x14ac:dyDescent="0.2">
      <c r="A1" s="101" t="s">
        <v>29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</row>
    <row r="3" spans="1:14" ht="16" customHeight="1" x14ac:dyDescent="0.25">
      <c r="A3" s="1" t="s">
        <v>30</v>
      </c>
    </row>
    <row r="5" spans="1:14" x14ac:dyDescent="0.2">
      <c r="A5" s="2" t="s">
        <v>31</v>
      </c>
      <c r="B5" s="3">
        <v>12</v>
      </c>
      <c r="C5" s="4" t="s">
        <v>32</v>
      </c>
    </row>
    <row r="6" spans="1:14" x14ac:dyDescent="0.2">
      <c r="A6" s="2" t="s">
        <v>33</v>
      </c>
      <c r="B6" s="3">
        <v>148</v>
      </c>
      <c r="C6" s="4" t="s">
        <v>34</v>
      </c>
    </row>
    <row r="7" spans="1:14" x14ac:dyDescent="0.2">
      <c r="A7" s="2" t="s">
        <v>35</v>
      </c>
      <c r="B7" s="3">
        <v>1</v>
      </c>
      <c r="C7" s="4" t="s">
        <v>36</v>
      </c>
    </row>
    <row r="8" spans="1:14" x14ac:dyDescent="0.2">
      <c r="A8" s="2" t="s">
        <v>37</v>
      </c>
      <c r="B8" s="3">
        <v>1</v>
      </c>
      <c r="C8" s="4" t="s">
        <v>38</v>
      </c>
    </row>
    <row r="9" spans="1:14" x14ac:dyDescent="0.2">
      <c r="A9" s="2" t="s">
        <v>39</v>
      </c>
      <c r="B9" s="3">
        <v>0.5</v>
      </c>
      <c r="C9" s="4" t="s">
        <v>40</v>
      </c>
    </row>
    <row r="10" spans="1:14" x14ac:dyDescent="0.2">
      <c r="A10" s="2" t="s">
        <v>41</v>
      </c>
      <c r="B10" s="3">
        <v>0.2</v>
      </c>
      <c r="C10" s="4" t="s">
        <v>38</v>
      </c>
    </row>
    <row r="11" spans="1:14" x14ac:dyDescent="0.2">
      <c r="A11" s="2" t="s">
        <v>42</v>
      </c>
      <c r="B11" s="3">
        <v>2</v>
      </c>
      <c r="C11" s="4" t="s">
        <v>43</v>
      </c>
    </row>
    <row r="12" spans="1:14" x14ac:dyDescent="0.2">
      <c r="A12" s="2" t="s">
        <v>44</v>
      </c>
      <c r="B12" s="3">
        <v>18</v>
      </c>
      <c r="C12" s="4" t="s">
        <v>43</v>
      </c>
    </row>
    <row r="13" spans="1:14" x14ac:dyDescent="0.2">
      <c r="A13" s="2" t="s">
        <v>45</v>
      </c>
      <c r="B13" s="3">
        <v>0.13</v>
      </c>
      <c r="C13" s="4" t="s">
        <v>46</v>
      </c>
    </row>
    <row r="14" spans="1:14" x14ac:dyDescent="0.2">
      <c r="A14" s="2" t="s">
        <v>47</v>
      </c>
      <c r="B14" s="3">
        <v>1.3</v>
      </c>
      <c r="C14" s="4" t="s">
        <v>46</v>
      </c>
    </row>
    <row r="15" spans="1:14" x14ac:dyDescent="0.2">
      <c r="A15" s="2" t="s">
        <v>48</v>
      </c>
      <c r="B15" s="3">
        <v>2000</v>
      </c>
      <c r="C15" s="4" t="s">
        <v>49</v>
      </c>
    </row>
    <row r="16" spans="1:14" x14ac:dyDescent="0.2">
      <c r="A16" s="2" t="s">
        <v>50</v>
      </c>
      <c r="B16" s="3">
        <v>800</v>
      </c>
      <c r="C16" s="4" t="s">
        <v>51</v>
      </c>
    </row>
    <row r="17" spans="1:12" x14ac:dyDescent="0.2">
      <c r="A17" s="2" t="s">
        <v>52</v>
      </c>
      <c r="B17" s="3">
        <v>1200</v>
      </c>
      <c r="C17" s="4" t="s">
        <v>51</v>
      </c>
    </row>
    <row r="18" spans="1:12" x14ac:dyDescent="0.2">
      <c r="A18" s="2" t="s">
        <v>53</v>
      </c>
      <c r="B18" s="3">
        <v>1600</v>
      </c>
      <c r="C18" s="4" t="s">
        <v>51</v>
      </c>
    </row>
    <row r="20" spans="1:12" ht="16" customHeight="1" x14ac:dyDescent="0.25">
      <c r="A20" s="1" t="s">
        <v>54</v>
      </c>
      <c r="B20" s="5">
        <f>ROUND(14.38 * ((9.823 - 5.221*B7 + 4.3*B11 + 50.04*(B13/B14)) / 18.206) * ((93.81 - 1.652*B5 - 0.1957*B6 - 9.101*B7 - 0.0116*B13) / 35.919892), 2)</f>
        <v>14.38</v>
      </c>
    </row>
    <row r="23" spans="1:12" ht="16" customHeight="1" x14ac:dyDescent="0.25">
      <c r="A23" s="1" t="s">
        <v>55</v>
      </c>
    </row>
    <row r="25" spans="1:12" x14ac:dyDescent="0.2">
      <c r="A25" s="6" t="s">
        <v>56</v>
      </c>
      <c r="B25" s="6">
        <v>0</v>
      </c>
      <c r="C25" s="6">
        <v>0.5</v>
      </c>
      <c r="D25" s="6">
        <v>1</v>
      </c>
      <c r="E25" s="6">
        <v>1.5</v>
      </c>
      <c r="F25" s="6">
        <v>2</v>
      </c>
      <c r="G25" s="6">
        <v>2.5</v>
      </c>
      <c r="H25" s="6">
        <v>3</v>
      </c>
      <c r="I25" s="6">
        <v>3.5</v>
      </c>
      <c r="J25" s="6">
        <v>4</v>
      </c>
      <c r="K25" s="6">
        <v>4.5</v>
      </c>
      <c r="L25" s="6">
        <v>5</v>
      </c>
    </row>
    <row r="26" spans="1:12" x14ac:dyDescent="0.2">
      <c r="A26" s="7">
        <v>0</v>
      </c>
      <c r="B26" s="8">
        <f>$B$20 + (0 / $B$16)</f>
        <v>14.38</v>
      </c>
      <c r="C26" s="8">
        <f>$B$20 + (376 / $B$16)</f>
        <v>14.850000000000001</v>
      </c>
      <c r="D26" s="8">
        <f>$B$20 + (680 / $B$16)</f>
        <v>15.23</v>
      </c>
      <c r="E26" s="8">
        <f>$B$20 + (888 / $B$16)</f>
        <v>15.49</v>
      </c>
      <c r="F26" s="8">
        <f>$B$20 + (1040 / $B$16)</f>
        <v>15.680000000000001</v>
      </c>
      <c r="G26" s="8">
        <f>$B$20 + (1136 / $B$16)</f>
        <v>15.8</v>
      </c>
      <c r="H26" s="8">
        <f>$B$20 + (1184 / $B$16)</f>
        <v>15.860000000000001</v>
      </c>
      <c r="I26" s="8">
        <f>$B$20 + (1200 / $B$16)</f>
        <v>15.88</v>
      </c>
      <c r="J26" s="8">
        <f>$B$20 + (1184 / $B$16)</f>
        <v>15.860000000000001</v>
      </c>
      <c r="K26" s="8">
        <f>$B$20 + (1144 / $B$16)</f>
        <v>15.81</v>
      </c>
      <c r="L26" s="8">
        <f>$B$20 + (1080 / $B$16)</f>
        <v>15.73</v>
      </c>
    </row>
    <row r="27" spans="1:12" x14ac:dyDescent="0.2">
      <c r="A27" s="7">
        <v>0.5</v>
      </c>
      <c r="B27" s="8">
        <f>$B$20 + (672 / $B$16)</f>
        <v>15.22</v>
      </c>
      <c r="C27" s="8">
        <f>$B$20 + (1104 / $B$16)</f>
        <v>15.760000000000002</v>
      </c>
      <c r="D27" s="8">
        <f>$B$20 + (1472 / $B$16)</f>
        <v>16.220000000000002</v>
      </c>
      <c r="E27" s="8">
        <f>$B$20 + (1728 / $B$16)</f>
        <v>16.54</v>
      </c>
      <c r="F27" s="8">
        <f>$B$20 + (1936 / $B$16)</f>
        <v>16.8</v>
      </c>
      <c r="G27" s="8">
        <f>$B$20 + (2080 / $B$16)</f>
        <v>16.98</v>
      </c>
      <c r="H27" s="8">
        <f>$B$20 + (2184 / $B$16)</f>
        <v>17.11</v>
      </c>
      <c r="I27" s="8">
        <f>$B$20 + (2240 / $B$16)</f>
        <v>17.18</v>
      </c>
      <c r="J27" s="8">
        <f>$B$20 + (2264 / $B$16)</f>
        <v>17.21</v>
      </c>
      <c r="K27" s="8">
        <f>$B$20 + (2264 / $B$16)</f>
        <v>17.21</v>
      </c>
      <c r="L27" s="8">
        <f>$B$20 + (2240 / $B$16)</f>
        <v>17.18</v>
      </c>
    </row>
    <row r="28" spans="1:12" x14ac:dyDescent="0.2">
      <c r="A28" s="7">
        <v>1</v>
      </c>
      <c r="B28" s="8">
        <f>$B$20 + (1216 / $B$16)</f>
        <v>15.9</v>
      </c>
      <c r="C28" s="8">
        <f>$B$20 + (1712 / $B$16)</f>
        <v>16.52</v>
      </c>
      <c r="D28" s="8">
        <f>$B$20 + (2136 / $B$16)</f>
        <v>17.05</v>
      </c>
      <c r="E28" s="8">
        <f>$B$20 + (2448 / $B$16)</f>
        <v>17.440000000000001</v>
      </c>
      <c r="F28" s="8">
        <f>$B$20 + (2720 / $B$16)</f>
        <v>17.78</v>
      </c>
      <c r="G28" s="8">
        <f>$B$20 + (2904 / $B$16)</f>
        <v>18.010000000000002</v>
      </c>
      <c r="H28" s="8">
        <f>$B$20 + (3056 / $B$16)</f>
        <v>18.2</v>
      </c>
      <c r="I28" s="8">
        <f>$B$20 + (3160 / $B$16)</f>
        <v>18.330000000000002</v>
      </c>
      <c r="J28" s="8">
        <f>$B$20 + (3232 / $B$16)</f>
        <v>18.420000000000002</v>
      </c>
      <c r="K28" s="8">
        <f>$B$20 + (3272 / $B$16)</f>
        <v>18.47</v>
      </c>
      <c r="L28" s="8">
        <f>$B$20 + (3288 / $B$16)</f>
        <v>18.490000000000002</v>
      </c>
    </row>
    <row r="29" spans="1:12" x14ac:dyDescent="0.2">
      <c r="A29" s="7">
        <v>1.5</v>
      </c>
      <c r="B29" s="8">
        <f>$B$20 + (1552 / $B$16)</f>
        <v>16.32</v>
      </c>
      <c r="C29" s="8">
        <f>$B$20 + (2088 / $B$16)</f>
        <v>16.990000000000002</v>
      </c>
      <c r="D29" s="8">
        <f>$B$20 + (2568 / $B$16)</f>
        <v>17.59</v>
      </c>
      <c r="E29" s="8">
        <f>$B$20 + (2928 / $B$16)</f>
        <v>18.04</v>
      </c>
      <c r="F29" s="8">
        <f>$B$20 + (3240 / $B$16)</f>
        <v>18.43</v>
      </c>
      <c r="G29" s="8">
        <f>$B$20 + (3472 / $B$16)</f>
        <v>18.72</v>
      </c>
      <c r="H29" s="8">
        <f>$B$20 + (3664 / $B$16)</f>
        <v>18.96</v>
      </c>
      <c r="I29" s="8">
        <f>$B$20 + (3808 / $B$16)</f>
        <v>19.14</v>
      </c>
      <c r="J29" s="8">
        <f>$B$20 + (3912 / $B$16)</f>
        <v>19.27</v>
      </c>
      <c r="K29" s="8">
        <f>$B$20 + (3984 / $B$16)</f>
        <v>19.36</v>
      </c>
      <c r="L29" s="8">
        <f>$B$20 + (4032 / $B$16)</f>
        <v>19.420000000000002</v>
      </c>
    </row>
    <row r="30" spans="1:12" x14ac:dyDescent="0.2">
      <c r="A30" s="7">
        <v>2</v>
      </c>
      <c r="B30" s="8">
        <f>$B$20 + (1800 / $B$16)</f>
        <v>16.630000000000003</v>
      </c>
      <c r="C30" s="8">
        <f>$B$20 + (2392 / $B$16)</f>
        <v>17.37</v>
      </c>
      <c r="D30" s="8">
        <f>$B$20 + (2920 / $B$16)</f>
        <v>18.03</v>
      </c>
      <c r="E30" s="8">
        <f>$B$20 + (3328 / $B$16)</f>
        <v>18.54</v>
      </c>
      <c r="F30" s="8">
        <f>$B$20 + (3688 / $B$16)</f>
        <v>18.990000000000002</v>
      </c>
      <c r="G30" s="8">
        <f>$B$20 + (3960 / $B$16)</f>
        <v>19.330000000000002</v>
      </c>
      <c r="H30" s="8">
        <f>$B$20 + (4200 / $B$16)</f>
        <v>19.630000000000003</v>
      </c>
      <c r="I30" s="8">
        <f>$B$20 + (4376 / $B$16)</f>
        <v>19.850000000000001</v>
      </c>
      <c r="J30" s="8">
        <f>$B$20 + (4528 / $B$16)</f>
        <v>20.04</v>
      </c>
      <c r="K30" s="8">
        <f>$B$20 + (4632 / $B$16)</f>
        <v>20.170000000000002</v>
      </c>
      <c r="L30" s="8">
        <f>$B$20 + (4712 / $B$16)</f>
        <v>20.27</v>
      </c>
    </row>
    <row r="31" spans="1:12" x14ac:dyDescent="0.2">
      <c r="A31" s="7">
        <v>2.5</v>
      </c>
      <c r="B31" s="8">
        <f>$B$20 + (1944 / $B$16)</f>
        <v>16.810000000000002</v>
      </c>
      <c r="C31" s="8">
        <f>$B$20 + (2576 / $B$16)</f>
        <v>17.600000000000001</v>
      </c>
      <c r="D31" s="8">
        <f>$B$20 + (3144 / $B$16)</f>
        <v>18.310000000000002</v>
      </c>
      <c r="E31" s="8">
        <f>$B$20 + (3592 / $B$16)</f>
        <v>18.87</v>
      </c>
      <c r="F31" s="8">
        <f>$B$20 + (3992 / $B$16)</f>
        <v>19.37</v>
      </c>
      <c r="G31" s="8">
        <f>$B$20 + (4296 / $B$16)</f>
        <v>19.75</v>
      </c>
      <c r="H31" s="8">
        <f>$B$20 + (4568 / $B$16)</f>
        <v>20.09</v>
      </c>
      <c r="I31" s="8">
        <f>$B$20 + (4776 / $B$16)</f>
        <v>20.350000000000001</v>
      </c>
      <c r="J31" s="8">
        <f>$B$20 + (4952 / $B$16)</f>
        <v>20.57</v>
      </c>
      <c r="K31" s="8">
        <f>$B$20 + (5088 / $B$16)</f>
        <v>20.740000000000002</v>
      </c>
      <c r="L31" s="8">
        <f>$B$20 + (5200 / $B$16)</f>
        <v>20.880000000000003</v>
      </c>
    </row>
    <row r="32" spans="1:12" x14ac:dyDescent="0.2">
      <c r="A32" s="7">
        <v>3</v>
      </c>
      <c r="B32" s="8">
        <f>$B$20 + (2032 / $B$16)</f>
        <v>16.920000000000002</v>
      </c>
      <c r="C32" s="8">
        <f>$B$20 + (2704 / $B$16)</f>
        <v>17.760000000000002</v>
      </c>
      <c r="D32" s="8">
        <f>$B$20 + (3320 / $B$16)</f>
        <v>18.53</v>
      </c>
      <c r="E32" s="8">
        <f>$B$20 + (3808 / $B$16)</f>
        <v>19.14</v>
      </c>
      <c r="F32" s="8">
        <f>$B$20 + (4240 / $B$16)</f>
        <v>19.68</v>
      </c>
      <c r="G32" s="8">
        <f>$B$20 + (4584 / $B$16)</f>
        <v>20.11</v>
      </c>
      <c r="H32" s="8">
        <f>$B$20 + (4896 / $B$16)</f>
        <v>20.5</v>
      </c>
      <c r="I32" s="8">
        <f>$B$20 + (5136 / $B$16)</f>
        <v>20.8</v>
      </c>
      <c r="J32" s="8">
        <f>$B$20 + (5344 / $B$16)</f>
        <v>21.060000000000002</v>
      </c>
      <c r="K32" s="8">
        <f>$B$20 + (5504 / $B$16)</f>
        <v>21.26</v>
      </c>
      <c r="L32" s="8">
        <f>$B$20 + (5648 / $B$16)</f>
        <v>21.44</v>
      </c>
    </row>
    <row r="33" spans="1:12" x14ac:dyDescent="0.2">
      <c r="A33" s="7">
        <v>3.5</v>
      </c>
      <c r="B33" s="8">
        <f>$B$20 + (2064 / $B$16)</f>
        <v>16.96</v>
      </c>
      <c r="C33" s="8">
        <f>$B$20 + (2776 / $B$16)</f>
        <v>17.850000000000001</v>
      </c>
      <c r="D33" s="8">
        <f>$B$20 + (3424 / $B$16)</f>
        <v>18.66</v>
      </c>
      <c r="E33" s="8">
        <f>$B$20 + (3944 / $B$16)</f>
        <v>19.310000000000002</v>
      </c>
      <c r="F33" s="8">
        <f>$B$20 + (4408 / $B$16)</f>
        <v>19.89</v>
      </c>
      <c r="G33" s="8">
        <f>$B$20 + (4784 / $B$16)</f>
        <v>20.36</v>
      </c>
      <c r="H33" s="8">
        <f>$B$20 + (5120 / $B$16)</f>
        <v>20.78</v>
      </c>
      <c r="I33" s="8">
        <f>$B$20 + (5384 / $B$16)</f>
        <v>21.11</v>
      </c>
      <c r="J33" s="8">
        <f>$B$20 + (5624 / $B$16)</f>
        <v>21.41</v>
      </c>
      <c r="K33" s="8">
        <f>$B$20 + (5808 / $B$16)</f>
        <v>21.64</v>
      </c>
      <c r="L33" s="8">
        <f>$B$20 + (5968 / $B$16)</f>
        <v>21.84</v>
      </c>
    </row>
    <row r="34" spans="1:12" x14ac:dyDescent="0.2">
      <c r="A34" s="7">
        <v>4</v>
      </c>
      <c r="B34" s="8">
        <f>$B$20 + (2072 / $B$16)</f>
        <v>16.97</v>
      </c>
      <c r="C34" s="8">
        <f>$B$20 + (2816 / $B$16)</f>
        <v>17.900000000000002</v>
      </c>
      <c r="D34" s="8">
        <f>$B$20 + (3504 / $B$16)</f>
        <v>18.760000000000002</v>
      </c>
      <c r="E34" s="8">
        <f>$B$20 + (4048 / $B$16)</f>
        <v>19.440000000000001</v>
      </c>
      <c r="F34" s="8">
        <f>$B$20 + (4552 / $B$16)</f>
        <v>20.07</v>
      </c>
      <c r="G34" s="8">
        <f>$B$20 + (4952 / $B$16)</f>
        <v>20.57</v>
      </c>
      <c r="H34" s="8">
        <f>$B$20 + (5320 / $B$16)</f>
        <v>21.03</v>
      </c>
      <c r="I34" s="8">
        <f>$B$20 + (5608 / $B$16)</f>
        <v>21.39</v>
      </c>
      <c r="J34" s="8">
        <f>$B$20 + (5872 / $B$16)</f>
        <v>21.72</v>
      </c>
      <c r="K34" s="8">
        <f>$B$20 + (6080 / $B$16)</f>
        <v>21.98</v>
      </c>
      <c r="L34" s="8">
        <f>$B$20 + (6264 / $B$16)</f>
        <v>22.21</v>
      </c>
    </row>
    <row r="35" spans="1:12" x14ac:dyDescent="0.2">
      <c r="A35" s="7">
        <v>4.5</v>
      </c>
      <c r="B35" s="8">
        <f>$B$20 + (2056 / $B$16)</f>
        <v>16.95</v>
      </c>
      <c r="C35" s="8">
        <f>$B$20 + (2832 / $B$16)</f>
        <v>17.920000000000002</v>
      </c>
      <c r="D35" s="8">
        <f>$B$20 + (3544 / $B$16)</f>
        <v>18.810000000000002</v>
      </c>
      <c r="E35" s="8">
        <f>$B$20 + (4120 / $B$16)</f>
        <v>19.53</v>
      </c>
      <c r="F35" s="8">
        <f>$B$20 + (4640 / $B$16)</f>
        <v>20.18</v>
      </c>
      <c r="G35" s="8">
        <f>$B$20 + (5064 / $B$16)</f>
        <v>20.71</v>
      </c>
      <c r="H35" s="8">
        <f>$B$20 + (5456 / $B$16)</f>
        <v>21.200000000000003</v>
      </c>
      <c r="I35" s="8">
        <f>$B$20 + (5768 / $B$16)</f>
        <v>21.59</v>
      </c>
      <c r="J35" s="8">
        <f>$B$20 + (6048 / $B$16)</f>
        <v>21.94</v>
      </c>
      <c r="K35" s="8">
        <f>$B$20 + (6272 / $B$16)</f>
        <v>22.22</v>
      </c>
      <c r="L35" s="8">
        <f>$B$20 + (6480 / $B$16)</f>
        <v>22.48</v>
      </c>
    </row>
    <row r="36" spans="1:12" x14ac:dyDescent="0.2">
      <c r="A36" s="7">
        <v>5</v>
      </c>
      <c r="B36" s="8">
        <f>$B$20 + (2024 / $B$16)</f>
        <v>16.91</v>
      </c>
      <c r="C36" s="8">
        <f>$B$20 + (2824 / $B$16)</f>
        <v>17.91</v>
      </c>
      <c r="D36" s="8">
        <f>$B$20 + (3568 / $B$16)</f>
        <v>18.84</v>
      </c>
      <c r="E36" s="8">
        <f>$B$20 + (4168 / $B$16)</f>
        <v>19.59</v>
      </c>
      <c r="F36" s="8">
        <f>$B$20 + (4720 / $B$16)</f>
        <v>20.28</v>
      </c>
      <c r="G36" s="8">
        <f>$B$20 + (5160 / $B$16)</f>
        <v>20.830000000000002</v>
      </c>
      <c r="H36" s="8">
        <f>$B$20 + (5576 / $B$16)</f>
        <v>21.35</v>
      </c>
      <c r="I36" s="8">
        <f>$B$20 + (5904 / $B$16)</f>
        <v>21.76</v>
      </c>
      <c r="J36" s="8">
        <f>$B$20 + (6208 / $B$16)</f>
        <v>22.14</v>
      </c>
      <c r="K36" s="9">
        <f>$B$20 + (6456 / $B$16)</f>
        <v>22.450000000000003</v>
      </c>
      <c r="L36" s="8">
        <f>$B$20 + (6680 / $B$16)</f>
        <v>22.73</v>
      </c>
    </row>
    <row r="37" spans="1:12" x14ac:dyDescent="0.2">
      <c r="A37" s="7">
        <v>5.5</v>
      </c>
      <c r="B37" s="8">
        <f>$B$20 + (1984 / $B$16)</f>
        <v>16.86</v>
      </c>
      <c r="C37" s="8">
        <f>$B$20 + (2808 / $B$16)</f>
        <v>17.89</v>
      </c>
      <c r="D37" s="8">
        <f>$B$20 + (3568 / $B$16)</f>
        <v>18.84</v>
      </c>
      <c r="E37" s="8">
        <f>$B$20 + (4192 / $B$16)</f>
        <v>19.62</v>
      </c>
      <c r="F37" s="8">
        <f>$B$20 + (4760 / $B$16)</f>
        <v>20.330000000000002</v>
      </c>
      <c r="G37" s="8">
        <f>$B$20 + (5224 / $B$16)</f>
        <v>20.91</v>
      </c>
      <c r="H37" s="8">
        <f>$B$20 + (5656 / $B$16)</f>
        <v>21.450000000000003</v>
      </c>
      <c r="I37" s="8">
        <f>$B$20 + (6008 / $B$16)</f>
        <v>21.89</v>
      </c>
      <c r="J37" s="8">
        <f>$B$20 + (6328 / $B$16)</f>
        <v>22.29</v>
      </c>
      <c r="K37" s="8">
        <f>$B$20 + (6584 / $B$16)</f>
        <v>22.61</v>
      </c>
      <c r="L37" s="8">
        <f>$B$20 + (6824 / $B$16)</f>
        <v>22.91</v>
      </c>
    </row>
    <row r="38" spans="1:12" x14ac:dyDescent="0.2">
      <c r="A38" s="7">
        <v>6</v>
      </c>
      <c r="B38" s="8">
        <f>$B$20 + (1936 / $B$16)</f>
        <v>16.8</v>
      </c>
      <c r="C38" s="8">
        <f>$B$20 + (2776 / $B$16)</f>
        <v>17.850000000000001</v>
      </c>
      <c r="D38" s="8">
        <f>$B$20 + (3568 / $B$16)</f>
        <v>18.84</v>
      </c>
      <c r="E38" s="8">
        <f>$B$20 + (4208 / $B$16)</f>
        <v>19.64</v>
      </c>
      <c r="F38" s="8">
        <f>$B$20 + (4800 / $B$16)</f>
        <v>20.380000000000003</v>
      </c>
      <c r="G38" s="8">
        <f>$B$20 + (5280 / $B$16)</f>
        <v>20.98</v>
      </c>
      <c r="H38" s="8">
        <f>$B$20 + (5728 / $B$16)</f>
        <v>21.54</v>
      </c>
      <c r="I38" s="8">
        <f>$B$20 + (6096 / $B$16)</f>
        <v>22</v>
      </c>
      <c r="J38" s="8">
        <f>$B$20 + (6432 / $B$16)</f>
        <v>22.42</v>
      </c>
      <c r="K38" s="8">
        <f>$B$20 + (6704 / $B$16)</f>
        <v>22.76</v>
      </c>
      <c r="L38" s="8">
        <f>$B$20 + (6960 / $B$16)</f>
        <v>23.08</v>
      </c>
    </row>
    <row r="41" spans="1:12" ht="16" customHeight="1" x14ac:dyDescent="0.25">
      <c r="A41" s="1" t="s">
        <v>57</v>
      </c>
    </row>
    <row r="43" spans="1:12" x14ac:dyDescent="0.2">
      <c r="A43" s="10" t="s">
        <v>56</v>
      </c>
      <c r="B43" s="10">
        <v>0</v>
      </c>
      <c r="C43" s="10">
        <v>0.5</v>
      </c>
      <c r="D43" s="10">
        <v>1</v>
      </c>
      <c r="E43" s="10">
        <v>1.5</v>
      </c>
      <c r="F43" s="10">
        <v>2</v>
      </c>
      <c r="G43" s="10">
        <v>2.5</v>
      </c>
      <c r="H43" s="10">
        <v>3</v>
      </c>
      <c r="I43" s="10">
        <v>3.5</v>
      </c>
      <c r="J43" s="10">
        <v>4</v>
      </c>
      <c r="K43" s="10">
        <v>4.5</v>
      </c>
      <c r="L43" s="10">
        <v>5</v>
      </c>
    </row>
    <row r="44" spans="1:12" x14ac:dyDescent="0.2">
      <c r="A44" s="7">
        <v>0</v>
      </c>
      <c r="B44" s="11">
        <f t="shared" ref="B44:L44" si="0">ROUND((B26 - $B$20) * $B$16, 0)</f>
        <v>0</v>
      </c>
      <c r="C44" s="11">
        <f t="shared" si="0"/>
        <v>376</v>
      </c>
      <c r="D44" s="11">
        <f t="shared" si="0"/>
        <v>680</v>
      </c>
      <c r="E44" s="11">
        <f t="shared" si="0"/>
        <v>888</v>
      </c>
      <c r="F44" s="11">
        <f t="shared" si="0"/>
        <v>1040</v>
      </c>
      <c r="G44" s="11">
        <f t="shared" si="0"/>
        <v>1136</v>
      </c>
      <c r="H44" s="11">
        <f t="shared" si="0"/>
        <v>1184</v>
      </c>
      <c r="I44" s="11">
        <f t="shared" si="0"/>
        <v>1200</v>
      </c>
      <c r="J44" s="11">
        <f t="shared" si="0"/>
        <v>1184</v>
      </c>
      <c r="K44" s="11">
        <f t="shared" si="0"/>
        <v>1144</v>
      </c>
      <c r="L44" s="11">
        <f t="shared" si="0"/>
        <v>1080</v>
      </c>
    </row>
    <row r="45" spans="1:12" x14ac:dyDescent="0.2">
      <c r="A45" s="7">
        <v>0.5</v>
      </c>
      <c r="B45" s="11">
        <f t="shared" ref="B45:L45" si="1">ROUND((B27 - $B$20) * $B$16, 0)</f>
        <v>672</v>
      </c>
      <c r="C45" s="11">
        <f t="shared" si="1"/>
        <v>1104</v>
      </c>
      <c r="D45" s="11">
        <f t="shared" si="1"/>
        <v>1472</v>
      </c>
      <c r="E45" s="11">
        <f t="shared" si="1"/>
        <v>1728</v>
      </c>
      <c r="F45" s="11">
        <f t="shared" si="1"/>
        <v>1936</v>
      </c>
      <c r="G45" s="11">
        <f t="shared" si="1"/>
        <v>2080</v>
      </c>
      <c r="H45" s="11">
        <f t="shared" si="1"/>
        <v>2184</v>
      </c>
      <c r="I45" s="11">
        <f t="shared" si="1"/>
        <v>2240</v>
      </c>
      <c r="J45" s="11">
        <f t="shared" si="1"/>
        <v>2264</v>
      </c>
      <c r="K45" s="11">
        <f t="shared" si="1"/>
        <v>2264</v>
      </c>
      <c r="L45" s="11">
        <f t="shared" si="1"/>
        <v>2240</v>
      </c>
    </row>
    <row r="46" spans="1:12" x14ac:dyDescent="0.2">
      <c r="A46" s="7">
        <v>1</v>
      </c>
      <c r="B46" s="11">
        <f t="shared" ref="B46:L46" si="2">ROUND((B28 - $B$20) * $B$16, 0)</f>
        <v>1216</v>
      </c>
      <c r="C46" s="11">
        <f t="shared" si="2"/>
        <v>1712</v>
      </c>
      <c r="D46" s="11">
        <f t="shared" si="2"/>
        <v>2136</v>
      </c>
      <c r="E46" s="11">
        <f t="shared" si="2"/>
        <v>2448</v>
      </c>
      <c r="F46" s="11">
        <f t="shared" si="2"/>
        <v>2720</v>
      </c>
      <c r="G46" s="11">
        <f t="shared" si="2"/>
        <v>2904</v>
      </c>
      <c r="H46" s="11">
        <f t="shared" si="2"/>
        <v>3056</v>
      </c>
      <c r="I46" s="11">
        <f t="shared" si="2"/>
        <v>3160</v>
      </c>
      <c r="J46" s="11">
        <f t="shared" si="2"/>
        <v>3232</v>
      </c>
      <c r="K46" s="11">
        <f t="shared" si="2"/>
        <v>3272</v>
      </c>
      <c r="L46" s="11">
        <f t="shared" si="2"/>
        <v>3288</v>
      </c>
    </row>
    <row r="47" spans="1:12" x14ac:dyDescent="0.2">
      <c r="A47" s="7">
        <v>1.5</v>
      </c>
      <c r="B47" s="11">
        <f t="shared" ref="B47:L47" si="3">ROUND((B29 - $B$20) * $B$16, 0)</f>
        <v>1552</v>
      </c>
      <c r="C47" s="11">
        <f t="shared" si="3"/>
        <v>2088</v>
      </c>
      <c r="D47" s="11">
        <f t="shared" si="3"/>
        <v>2568</v>
      </c>
      <c r="E47" s="11">
        <f t="shared" si="3"/>
        <v>2928</v>
      </c>
      <c r="F47" s="11">
        <f t="shared" si="3"/>
        <v>3240</v>
      </c>
      <c r="G47" s="11">
        <f t="shared" si="3"/>
        <v>3472</v>
      </c>
      <c r="H47" s="11">
        <f t="shared" si="3"/>
        <v>3664</v>
      </c>
      <c r="I47" s="11">
        <f t="shared" si="3"/>
        <v>3808</v>
      </c>
      <c r="J47" s="11">
        <f t="shared" si="3"/>
        <v>3912</v>
      </c>
      <c r="K47" s="11">
        <f t="shared" si="3"/>
        <v>3984</v>
      </c>
      <c r="L47" s="11">
        <f t="shared" si="3"/>
        <v>4032</v>
      </c>
    </row>
    <row r="48" spans="1:12" x14ac:dyDescent="0.2">
      <c r="A48" s="7">
        <v>2</v>
      </c>
      <c r="B48" s="11">
        <f t="shared" ref="B48:L48" si="4">ROUND((B30 - $B$20) * $B$16, 0)</f>
        <v>1800</v>
      </c>
      <c r="C48" s="11">
        <f t="shared" si="4"/>
        <v>2392</v>
      </c>
      <c r="D48" s="11">
        <f t="shared" si="4"/>
        <v>2920</v>
      </c>
      <c r="E48" s="11">
        <f t="shared" si="4"/>
        <v>3328</v>
      </c>
      <c r="F48" s="11">
        <f t="shared" si="4"/>
        <v>3688</v>
      </c>
      <c r="G48" s="11">
        <f t="shared" si="4"/>
        <v>3960</v>
      </c>
      <c r="H48" s="11">
        <f t="shared" si="4"/>
        <v>4200</v>
      </c>
      <c r="I48" s="11">
        <f t="shared" si="4"/>
        <v>4376</v>
      </c>
      <c r="J48" s="11">
        <f t="shared" si="4"/>
        <v>4528</v>
      </c>
      <c r="K48" s="11">
        <f t="shared" si="4"/>
        <v>4632</v>
      </c>
      <c r="L48" s="11">
        <f t="shared" si="4"/>
        <v>4712</v>
      </c>
    </row>
    <row r="49" spans="1:12" x14ac:dyDescent="0.2">
      <c r="A49" s="7">
        <v>2.5</v>
      </c>
      <c r="B49" s="11">
        <f t="shared" ref="B49:L49" si="5">ROUND((B31 - $B$20) * $B$16, 0)</f>
        <v>1944</v>
      </c>
      <c r="C49" s="11">
        <f t="shared" si="5"/>
        <v>2576</v>
      </c>
      <c r="D49" s="11">
        <f t="shared" si="5"/>
        <v>3144</v>
      </c>
      <c r="E49" s="11">
        <f t="shared" si="5"/>
        <v>3592</v>
      </c>
      <c r="F49" s="11">
        <f t="shared" si="5"/>
        <v>3992</v>
      </c>
      <c r="G49" s="11">
        <f t="shared" si="5"/>
        <v>4296</v>
      </c>
      <c r="H49" s="11">
        <f t="shared" si="5"/>
        <v>4568</v>
      </c>
      <c r="I49" s="11">
        <f t="shared" si="5"/>
        <v>4776</v>
      </c>
      <c r="J49" s="11">
        <f t="shared" si="5"/>
        <v>4952</v>
      </c>
      <c r="K49" s="11">
        <f t="shared" si="5"/>
        <v>5088</v>
      </c>
      <c r="L49" s="11">
        <f t="shared" si="5"/>
        <v>5200</v>
      </c>
    </row>
    <row r="50" spans="1:12" x14ac:dyDescent="0.2">
      <c r="A50" s="7">
        <v>3</v>
      </c>
      <c r="B50" s="11">
        <f t="shared" ref="B50:L50" si="6">ROUND((B32 - $B$20) * $B$16, 0)</f>
        <v>2032</v>
      </c>
      <c r="C50" s="11">
        <f t="shared" si="6"/>
        <v>2704</v>
      </c>
      <c r="D50" s="11">
        <f t="shared" si="6"/>
        <v>3320</v>
      </c>
      <c r="E50" s="11">
        <f t="shared" si="6"/>
        <v>3808</v>
      </c>
      <c r="F50" s="11">
        <f t="shared" si="6"/>
        <v>4240</v>
      </c>
      <c r="G50" s="11">
        <f t="shared" si="6"/>
        <v>4584</v>
      </c>
      <c r="H50" s="11">
        <f t="shared" si="6"/>
        <v>4896</v>
      </c>
      <c r="I50" s="11">
        <f t="shared" si="6"/>
        <v>5136</v>
      </c>
      <c r="J50" s="11">
        <f t="shared" si="6"/>
        <v>5344</v>
      </c>
      <c r="K50" s="11">
        <f t="shared" si="6"/>
        <v>5504</v>
      </c>
      <c r="L50" s="11">
        <f t="shared" si="6"/>
        <v>5648</v>
      </c>
    </row>
    <row r="51" spans="1:12" x14ac:dyDescent="0.2">
      <c r="A51" s="7">
        <v>3.5</v>
      </c>
      <c r="B51" s="11">
        <f t="shared" ref="B51:L51" si="7">ROUND((B33 - $B$20) * $B$16, 0)</f>
        <v>2064</v>
      </c>
      <c r="C51" s="11">
        <f t="shared" si="7"/>
        <v>2776</v>
      </c>
      <c r="D51" s="11">
        <f t="shared" si="7"/>
        <v>3424</v>
      </c>
      <c r="E51" s="11">
        <f t="shared" si="7"/>
        <v>3944</v>
      </c>
      <c r="F51" s="11">
        <f t="shared" si="7"/>
        <v>4408</v>
      </c>
      <c r="G51" s="11">
        <f t="shared" si="7"/>
        <v>4784</v>
      </c>
      <c r="H51" s="11">
        <f t="shared" si="7"/>
        <v>5120</v>
      </c>
      <c r="I51" s="11">
        <f t="shared" si="7"/>
        <v>5384</v>
      </c>
      <c r="J51" s="11">
        <f t="shared" si="7"/>
        <v>5624</v>
      </c>
      <c r="K51" s="11">
        <f t="shared" si="7"/>
        <v>5808</v>
      </c>
      <c r="L51" s="11">
        <f t="shared" si="7"/>
        <v>5968</v>
      </c>
    </row>
    <row r="52" spans="1:12" x14ac:dyDescent="0.2">
      <c r="A52" s="7">
        <v>4</v>
      </c>
      <c r="B52" s="11">
        <f t="shared" ref="B52:L52" si="8">ROUND((B34 - $B$20) * $B$16, 0)</f>
        <v>2072</v>
      </c>
      <c r="C52" s="11">
        <f t="shared" si="8"/>
        <v>2816</v>
      </c>
      <c r="D52" s="11">
        <f t="shared" si="8"/>
        <v>3504</v>
      </c>
      <c r="E52" s="11">
        <f t="shared" si="8"/>
        <v>4048</v>
      </c>
      <c r="F52" s="11">
        <f t="shared" si="8"/>
        <v>4552</v>
      </c>
      <c r="G52" s="11">
        <f t="shared" si="8"/>
        <v>4952</v>
      </c>
      <c r="H52" s="11">
        <f t="shared" si="8"/>
        <v>5320</v>
      </c>
      <c r="I52" s="11">
        <f t="shared" si="8"/>
        <v>5608</v>
      </c>
      <c r="J52" s="11">
        <f t="shared" si="8"/>
        <v>5872</v>
      </c>
      <c r="K52" s="11">
        <f t="shared" si="8"/>
        <v>6080</v>
      </c>
      <c r="L52" s="11">
        <f t="shared" si="8"/>
        <v>6264</v>
      </c>
    </row>
    <row r="53" spans="1:12" x14ac:dyDescent="0.2">
      <c r="A53" s="7">
        <v>4.5</v>
      </c>
      <c r="B53" s="11">
        <f t="shared" ref="B53:L53" si="9">ROUND((B35 - $B$20) * $B$16, 0)</f>
        <v>2056</v>
      </c>
      <c r="C53" s="11">
        <f t="shared" si="9"/>
        <v>2832</v>
      </c>
      <c r="D53" s="11">
        <f t="shared" si="9"/>
        <v>3544</v>
      </c>
      <c r="E53" s="11">
        <f t="shared" si="9"/>
        <v>4120</v>
      </c>
      <c r="F53" s="11">
        <f t="shared" si="9"/>
        <v>4640</v>
      </c>
      <c r="G53" s="11">
        <f t="shared" si="9"/>
        <v>5064</v>
      </c>
      <c r="H53" s="11">
        <f t="shared" si="9"/>
        <v>5456</v>
      </c>
      <c r="I53" s="11">
        <f t="shared" si="9"/>
        <v>5768</v>
      </c>
      <c r="J53" s="11">
        <f t="shared" si="9"/>
        <v>6048</v>
      </c>
      <c r="K53" s="11">
        <f t="shared" si="9"/>
        <v>6272</v>
      </c>
      <c r="L53" s="11">
        <f t="shared" si="9"/>
        <v>6480</v>
      </c>
    </row>
    <row r="54" spans="1:12" x14ac:dyDescent="0.2">
      <c r="A54" s="7">
        <v>5</v>
      </c>
      <c r="B54" s="11">
        <f t="shared" ref="B54:L54" si="10">ROUND((B36 - $B$20) * $B$16, 0)</f>
        <v>2024</v>
      </c>
      <c r="C54" s="11">
        <f t="shared" si="10"/>
        <v>2824</v>
      </c>
      <c r="D54" s="11">
        <f t="shared" si="10"/>
        <v>3568</v>
      </c>
      <c r="E54" s="11">
        <f t="shared" si="10"/>
        <v>4168</v>
      </c>
      <c r="F54" s="11">
        <f t="shared" si="10"/>
        <v>4720</v>
      </c>
      <c r="G54" s="11">
        <f t="shared" si="10"/>
        <v>5160</v>
      </c>
      <c r="H54" s="11">
        <f t="shared" si="10"/>
        <v>5576</v>
      </c>
      <c r="I54" s="11">
        <f t="shared" si="10"/>
        <v>5904</v>
      </c>
      <c r="J54" s="11">
        <f t="shared" si="10"/>
        <v>6208</v>
      </c>
      <c r="K54" s="12">
        <f t="shared" si="10"/>
        <v>6456</v>
      </c>
      <c r="L54" s="11">
        <f t="shared" si="10"/>
        <v>6680</v>
      </c>
    </row>
    <row r="55" spans="1:12" x14ac:dyDescent="0.2">
      <c r="A55" s="7">
        <v>5.5</v>
      </c>
      <c r="B55" s="11">
        <f t="shared" ref="B55:L55" si="11">ROUND((B37 - $B$20) * $B$16, 0)</f>
        <v>1984</v>
      </c>
      <c r="C55" s="11">
        <f t="shared" si="11"/>
        <v>2808</v>
      </c>
      <c r="D55" s="11">
        <f t="shared" si="11"/>
        <v>3568</v>
      </c>
      <c r="E55" s="11">
        <f t="shared" si="11"/>
        <v>4192</v>
      </c>
      <c r="F55" s="11">
        <f t="shared" si="11"/>
        <v>4760</v>
      </c>
      <c r="G55" s="11">
        <f t="shared" si="11"/>
        <v>5224</v>
      </c>
      <c r="H55" s="11">
        <f t="shared" si="11"/>
        <v>5656</v>
      </c>
      <c r="I55" s="11">
        <f t="shared" si="11"/>
        <v>6008</v>
      </c>
      <c r="J55" s="11">
        <f t="shared" si="11"/>
        <v>6328</v>
      </c>
      <c r="K55" s="11">
        <f t="shared" si="11"/>
        <v>6584</v>
      </c>
      <c r="L55" s="11">
        <f t="shared" si="11"/>
        <v>6824</v>
      </c>
    </row>
    <row r="56" spans="1:12" x14ac:dyDescent="0.2">
      <c r="A56" s="7">
        <v>6</v>
      </c>
      <c r="B56" s="11">
        <f t="shared" ref="B56:L56" si="12">ROUND((B38 - $B$20) * $B$16, 0)</f>
        <v>1936</v>
      </c>
      <c r="C56" s="11">
        <f t="shared" si="12"/>
        <v>2776</v>
      </c>
      <c r="D56" s="11">
        <f t="shared" si="12"/>
        <v>3568</v>
      </c>
      <c r="E56" s="11">
        <f t="shared" si="12"/>
        <v>4208</v>
      </c>
      <c r="F56" s="11">
        <f t="shared" si="12"/>
        <v>4800</v>
      </c>
      <c r="G56" s="11">
        <f t="shared" si="12"/>
        <v>5280</v>
      </c>
      <c r="H56" s="11">
        <f t="shared" si="12"/>
        <v>5728</v>
      </c>
      <c r="I56" s="11">
        <f t="shared" si="12"/>
        <v>6096</v>
      </c>
      <c r="J56" s="11">
        <f t="shared" si="12"/>
        <v>6432</v>
      </c>
      <c r="K56" s="11">
        <f t="shared" si="12"/>
        <v>6704</v>
      </c>
      <c r="L56" s="11">
        <f t="shared" si="12"/>
        <v>6960</v>
      </c>
    </row>
    <row r="59" spans="1:12" ht="16" customHeight="1" x14ac:dyDescent="0.25">
      <c r="A59" s="1" t="s">
        <v>58</v>
      </c>
    </row>
    <row r="61" spans="1:12" x14ac:dyDescent="0.2">
      <c r="A61" s="6" t="s">
        <v>56</v>
      </c>
      <c r="B61" s="6">
        <v>0</v>
      </c>
      <c r="C61" s="6">
        <v>0.5</v>
      </c>
      <c r="D61" s="6">
        <v>1</v>
      </c>
      <c r="E61" s="6">
        <v>1.5</v>
      </c>
      <c r="F61" s="6">
        <v>2</v>
      </c>
      <c r="G61" s="6">
        <v>2.5</v>
      </c>
      <c r="H61" s="6">
        <v>3</v>
      </c>
      <c r="I61" s="6">
        <v>3.5</v>
      </c>
      <c r="J61" s="6">
        <v>4</v>
      </c>
      <c r="K61" s="6">
        <v>4.5</v>
      </c>
      <c r="L61" s="6">
        <v>5</v>
      </c>
    </row>
    <row r="62" spans="1:12" x14ac:dyDescent="0.2">
      <c r="A62" s="7">
        <v>0</v>
      </c>
      <c r="B62" s="8">
        <f>0</f>
        <v>0</v>
      </c>
      <c r="C62" s="8">
        <f>IF(C44&gt;0, ((A62*$B$6*$B$17/1000) + (C61*$B$6*$B$18/1000))/C44, 0)</f>
        <v>0.31489361702127661</v>
      </c>
      <c r="D62" s="8">
        <f>IF(D44&gt;0, ((A62*$B$6*$B$17/1000) + (D61*$B$6*$B$18/1000))/D44, 0)</f>
        <v>0.34823529411764709</v>
      </c>
      <c r="E62" s="8">
        <f>IF(E44&gt;0, ((A62*$B$6*$B$17/1000) + (E61*$B$6*$B$18/1000))/E44, 0)</f>
        <v>0.39999999999999997</v>
      </c>
      <c r="F62" s="8">
        <f>IF(F44&gt;0, ((A62*$B$6*$B$17/1000) + (F61*$B$6*$B$18/1000))/F44, 0)</f>
        <v>0.45538461538461539</v>
      </c>
      <c r="G62" s="8">
        <f>IF(G44&gt;0, ((A62*$B$6*$B$17/1000) + (G61*$B$6*$B$18/1000))/G44, 0)</f>
        <v>0.52112676056338025</v>
      </c>
      <c r="H62" s="8">
        <f>IF(H44&gt;0, ((A62*$B$6*$B$17/1000) + (H61*$B$6*$B$18/1000))/H44, 0)</f>
        <v>0.6</v>
      </c>
      <c r="I62" s="8">
        <f>IF(I44&gt;0, ((A62*$B$6*$B$17/1000) + (I61*$B$6*$B$18/1000))/I44, 0)</f>
        <v>0.69066666666666665</v>
      </c>
      <c r="J62" s="8">
        <f>IF(J44&gt;0, ((A62*$B$6*$B$17/1000) + (J61*$B$6*$B$18/1000))/J44, 0)</f>
        <v>0.8</v>
      </c>
      <c r="K62" s="8">
        <f>IF(K44&gt;0, ((A62*$B$6*$B$17/1000) + (K61*$B$6*$B$18/1000))/K44, 0)</f>
        <v>0.93146853146853137</v>
      </c>
      <c r="L62" s="8">
        <f>IF(L44&gt;0, ((A62*$B$6*$B$17/1000) + (L61*$B$6*$B$18/1000))/L44, 0)</f>
        <v>1.0962962962962963</v>
      </c>
    </row>
    <row r="63" spans="1:12" x14ac:dyDescent="0.2">
      <c r="A63" s="7">
        <v>0.5</v>
      </c>
      <c r="B63" s="8">
        <f>IF(B45&gt;0, ((A63*$B$6*$B$17/1000) + (B61*$B$6*$B$18/1000))/B45, 0)</f>
        <v>0.13214285714285715</v>
      </c>
      <c r="C63" s="8">
        <f>IF(C45&gt;0, ((A63*$B$6*$B$17/1000) + (C61*$B$6*$B$18/1000))/C45, 0)</f>
        <v>0.18768115942028984</v>
      </c>
      <c r="D63" s="8">
        <f>IF(D45&gt;0, ((A63*$B$6*$B$17/1000) + (D61*$B$6*$B$18/1000))/D45, 0)</f>
        <v>0.22119565217391307</v>
      </c>
      <c r="E63" s="8">
        <f>IF(E45&gt;0, ((A63*$B$6*$B$17/1000) + (E61*$B$6*$B$18/1000))/E45, 0)</f>
        <v>0.25694444444444442</v>
      </c>
      <c r="F63" s="8">
        <f>IF(F45&gt;0, ((A63*$B$6*$B$17/1000) + (F61*$B$6*$B$18/1000))/F45, 0)</f>
        <v>0.29049586776859504</v>
      </c>
      <c r="G63" s="8">
        <f>IF(G45&gt;0, ((A63*$B$6*$B$17/1000) + (G61*$B$6*$B$18/1000))/G45, 0)</f>
        <v>0.3273076923076923</v>
      </c>
      <c r="H63" s="8">
        <f>IF(H45&gt;0, ((A63*$B$6*$B$17/1000) + (H61*$B$6*$B$18/1000))/H45, 0)</f>
        <v>0.36593406593406591</v>
      </c>
      <c r="I63" s="8">
        <f>IF(I45&gt;0, ((A63*$B$6*$B$17/1000) + (I61*$B$6*$B$18/1000))/I45, 0)</f>
        <v>0.40964285714285709</v>
      </c>
      <c r="J63" s="8">
        <f>IF(J45&gt;0, ((A63*$B$6*$B$17/1000) + (J61*$B$6*$B$18/1000))/J45, 0)</f>
        <v>0.4575971731448763</v>
      </c>
      <c r="K63" s="8">
        <f>IF(K45&gt;0, ((A63*$B$6*$B$17/1000) + (K61*$B$6*$B$18/1000))/K45, 0)</f>
        <v>0.50989399293286208</v>
      </c>
      <c r="L63" s="8">
        <f>IF(L45&gt;0, ((A63*$B$6*$B$17/1000) + (L61*$B$6*$B$18/1000))/L45, 0)</f>
        <v>0.56821428571428567</v>
      </c>
    </row>
    <row r="64" spans="1:12" x14ac:dyDescent="0.2">
      <c r="A64" s="7">
        <v>1</v>
      </c>
      <c r="B64" s="8">
        <f>IF(B46&gt;0, ((A64*$B$6*$B$17/1000) + (B61*$B$6*$B$18/1000))/B46, 0)</f>
        <v>0.14605263157894735</v>
      </c>
      <c r="C64" s="8">
        <f>IF(C46&gt;0, ((A64*$B$6*$B$17/1000) + (C61*$B$6*$B$18/1000))/C46, 0)</f>
        <v>0.17289719626168223</v>
      </c>
      <c r="D64" s="8">
        <f>IF(D46&gt;0, ((A64*$B$6*$B$17/1000) + (D61*$B$6*$B$18/1000))/D46, 0)</f>
        <v>0.19400749063670411</v>
      </c>
      <c r="E64" s="8">
        <f>IF(E46&gt;0, ((A64*$B$6*$B$17/1000) + (E61*$B$6*$B$18/1000))/E46, 0)</f>
        <v>0.21764705882352939</v>
      </c>
      <c r="F64" s="8">
        <f>IF(F46&gt;0, ((A64*$B$6*$B$17/1000) + (F61*$B$6*$B$18/1000))/F46, 0)</f>
        <v>0.23941176470588238</v>
      </c>
      <c r="G64" s="8">
        <f>IF(G46&gt;0, ((A64*$B$6*$B$17/1000) + (G61*$B$6*$B$18/1000))/G46, 0)</f>
        <v>0.26501377410468319</v>
      </c>
      <c r="H64" s="8">
        <f>IF(H46&gt;0, ((A64*$B$6*$B$17/1000) + (H61*$B$6*$B$18/1000))/H46, 0)</f>
        <v>0.29057591623036649</v>
      </c>
      <c r="I64" s="8">
        <f>IF(I46&gt;0, ((A64*$B$6*$B$17/1000) + (I61*$B$6*$B$18/1000))/I46, 0)</f>
        <v>0.31848101265822781</v>
      </c>
      <c r="J64" s="8">
        <f>IF(J46&gt;0, ((A64*$B$6*$B$17/1000) + (J61*$B$6*$B$18/1000))/J46, 0)</f>
        <v>0.348019801980198</v>
      </c>
      <c r="K64" s="8">
        <f>IF(K46&gt;0, ((A64*$B$6*$B$17/1000) + (K61*$B$6*$B$18/1000))/K46, 0)</f>
        <v>0.37995110024449874</v>
      </c>
      <c r="L64" s="8">
        <f>IF(L46&gt;0, ((A64*$B$6*$B$17/1000) + (L61*$B$6*$B$18/1000))/L46, 0)</f>
        <v>0.41411192214111919</v>
      </c>
    </row>
    <row r="65" spans="1:12" x14ac:dyDescent="0.2">
      <c r="A65" s="7">
        <v>1.5</v>
      </c>
      <c r="B65" s="8">
        <f>IF(B47&gt;0, ((A65*$B$6*$B$17/1000) + (B61*$B$6*$B$18/1000))/B47, 0)</f>
        <v>0.17164948453608245</v>
      </c>
      <c r="C65" s="8">
        <f>IF(C47&gt;0, ((A65*$B$6*$B$17/1000) + (C61*$B$6*$B$18/1000))/C47, 0)</f>
        <v>0.18429118773946357</v>
      </c>
      <c r="D65" s="8">
        <f>IF(D47&gt;0, ((A65*$B$6*$B$17/1000) + (D61*$B$6*$B$18/1000))/D47, 0)</f>
        <v>0.19595015576323987</v>
      </c>
      <c r="E65" s="8">
        <f>IF(E47&gt;0, ((A65*$B$6*$B$17/1000) + (E61*$B$6*$B$18/1000))/E47, 0)</f>
        <v>0.21229508196721308</v>
      </c>
      <c r="F65" s="8">
        <f>IF(F47&gt;0, ((A65*$B$6*$B$17/1000) + (F61*$B$6*$B$18/1000))/F47, 0)</f>
        <v>0.22839506172839505</v>
      </c>
      <c r="G65" s="8">
        <f>IF(G47&gt;0, ((A65*$B$6*$B$17/1000) + (G61*$B$6*$B$18/1000))/G47, 0)</f>
        <v>0.24723502304147466</v>
      </c>
      <c r="H65" s="8">
        <f>IF(H47&gt;0, ((A65*$B$6*$B$17/1000) + (H61*$B$6*$B$18/1000))/H47, 0)</f>
        <v>0.26659388646288207</v>
      </c>
      <c r="I65" s="8">
        <f>IF(I47&gt;0, ((A65*$B$6*$B$17/1000) + (I61*$B$6*$B$18/1000))/I47, 0)</f>
        <v>0.2876050420168067</v>
      </c>
      <c r="J65" s="8">
        <f>IF(J47&gt;0, ((A65*$B$6*$B$17/1000) + (J61*$B$6*$B$18/1000))/J47, 0)</f>
        <v>0.31022494887525559</v>
      </c>
      <c r="K65" s="8">
        <f>IF(K47&gt;0, ((A65*$B$6*$B$17/1000) + (K61*$B$6*$B$18/1000))/K47, 0)</f>
        <v>0.33433734939759036</v>
      </c>
      <c r="L65" s="8">
        <f>IF(L47&gt;0, ((A65*$B$6*$B$17/1000) + (L61*$B$6*$B$18/1000))/L47, 0)</f>
        <v>0.35972222222222222</v>
      </c>
    </row>
    <row r="66" spans="1:12" x14ac:dyDescent="0.2">
      <c r="A66" s="7">
        <v>2</v>
      </c>
      <c r="B66" s="8">
        <f>IF(B48&gt;0, ((A66*$B$6*$B$17/1000) + (B61*$B$6*$B$18/1000))/B48, 0)</f>
        <v>0.19733333333333333</v>
      </c>
      <c r="C66" s="8">
        <f>IF(C48&gt;0, ((A66*$B$6*$B$17/1000) + (C61*$B$6*$B$18/1000))/C48, 0)</f>
        <v>0.1979933110367893</v>
      </c>
      <c r="D66" s="8">
        <f>IF(D48&gt;0, ((A66*$B$6*$B$17/1000) + (D61*$B$6*$B$18/1000))/D48, 0)</f>
        <v>0.20273972602739726</v>
      </c>
      <c r="E66" s="8">
        <f>IF(E48&gt;0, ((A66*$B$6*$B$17/1000) + (E61*$B$6*$B$18/1000))/E48, 0)</f>
        <v>0.21346153846153845</v>
      </c>
      <c r="F66" s="8">
        <f>IF(F48&gt;0, ((A66*$B$6*$B$17/1000) + (F61*$B$6*$B$18/1000))/F48, 0)</f>
        <v>0.22472885032537959</v>
      </c>
      <c r="G66" s="8">
        <f>IF(G48&gt;0, ((A66*$B$6*$B$17/1000) + (G61*$B$6*$B$18/1000))/G48, 0)</f>
        <v>0.23919191919191921</v>
      </c>
      <c r="H66" s="8">
        <f>IF(H48&gt;0, ((A66*$B$6*$B$17/1000) + (H61*$B$6*$B$18/1000))/H48, 0)</f>
        <v>0.25371428571428567</v>
      </c>
      <c r="I66" s="8">
        <f>IF(I48&gt;0, ((A66*$B$6*$B$17/1000) + (I61*$B$6*$B$18/1000))/I48, 0)</f>
        <v>0.27056672760511885</v>
      </c>
      <c r="J66" s="8">
        <f>IF(J48&gt;0, ((A66*$B$6*$B$17/1000) + (J61*$B$6*$B$18/1000))/J48, 0)</f>
        <v>0.28763250883392227</v>
      </c>
      <c r="K66" s="8">
        <f>IF(K48&gt;0, ((A66*$B$6*$B$17/1000) + (K61*$B$6*$B$18/1000))/K48, 0)</f>
        <v>0.30673575129533676</v>
      </c>
      <c r="L66" s="8">
        <f>IF(L48&gt;0, ((A66*$B$6*$B$17/1000) + (L61*$B$6*$B$18/1000))/L48, 0)</f>
        <v>0.32665534804753821</v>
      </c>
    </row>
    <row r="67" spans="1:12" x14ac:dyDescent="0.2">
      <c r="A67" s="7">
        <v>2.5</v>
      </c>
      <c r="B67" s="8">
        <f>IF(B49&gt;0, ((A67*$B$6*$B$17/1000) + (B61*$B$6*$B$18/1000))/B49, 0)</f>
        <v>0.22839506172839505</v>
      </c>
      <c r="C67" s="8">
        <f>IF(C49&gt;0, ((A67*$B$6*$B$17/1000) + (C61*$B$6*$B$18/1000))/C49, 0)</f>
        <v>0.21832298136645961</v>
      </c>
      <c r="D67" s="8">
        <f>IF(D49&gt;0, ((A67*$B$6*$B$17/1000) + (D61*$B$6*$B$18/1000))/D49, 0)</f>
        <v>0.21653944020356233</v>
      </c>
      <c r="E67" s="8">
        <f>IF(E49&gt;0, ((A67*$B$6*$B$17/1000) + (E61*$B$6*$B$18/1000))/E49, 0)</f>
        <v>0.22249443207126951</v>
      </c>
      <c r="F67" s="8">
        <f>IF(F49&gt;0, ((A67*$B$6*$B$17/1000) + (F61*$B$6*$B$18/1000))/F49, 0)</f>
        <v>0.22985971943887776</v>
      </c>
      <c r="G67" s="8">
        <f>IF(G49&gt;0, ((A67*$B$6*$B$17/1000) + (G61*$B$6*$B$18/1000))/G49, 0)</f>
        <v>0.24115456238361266</v>
      </c>
      <c r="H67" s="8">
        <f>IF(H49&gt;0, ((A67*$B$6*$B$17/1000) + (H61*$B$6*$B$18/1000))/H49, 0)</f>
        <v>0.25271453590192644</v>
      </c>
      <c r="I67" s="8">
        <f>IF(I49&gt;0, ((A67*$B$6*$B$17/1000) + (I61*$B$6*$B$18/1000))/I49, 0)</f>
        <v>0.26649916247906197</v>
      </c>
      <c r="J67" s="8">
        <f>IF(J49&gt;0, ((A67*$B$6*$B$17/1000) + (J61*$B$6*$B$18/1000))/J49, 0)</f>
        <v>0.28093699515347337</v>
      </c>
      <c r="K67" s="8">
        <f>IF(K49&gt;0, ((A67*$B$6*$B$17/1000) + (K61*$B$6*$B$18/1000))/K49, 0)</f>
        <v>0.29669811320754713</v>
      </c>
      <c r="L67" s="8">
        <f>IF(L49&gt;0, ((A67*$B$6*$B$17/1000) + (L61*$B$6*$B$18/1000))/L49, 0)</f>
        <v>0.31307692307692309</v>
      </c>
    </row>
    <row r="68" spans="1:12" x14ac:dyDescent="0.2">
      <c r="A68" s="7">
        <v>3</v>
      </c>
      <c r="B68" s="8">
        <f>IF(B50&gt;0, ((A68*$B$6*$B$17/1000) + (B61*$B$6*$B$18/1000))/B50, 0)</f>
        <v>0.26220472440944881</v>
      </c>
      <c r="C68" s="8">
        <f>IF(C50&gt;0, ((A68*$B$6*$B$17/1000) + (C61*$B$6*$B$18/1000))/C50, 0)</f>
        <v>0.24082840236686387</v>
      </c>
      <c r="D68" s="8">
        <f>IF(D50&gt;0, ((A68*$B$6*$B$17/1000) + (D61*$B$6*$B$18/1000))/D50, 0)</f>
        <v>0.23180722891566263</v>
      </c>
      <c r="E68" s="8">
        <f>IF(E50&gt;0, ((A68*$B$6*$B$17/1000) + (E61*$B$6*$B$18/1000))/E50, 0)</f>
        <v>0.23319327731092437</v>
      </c>
      <c r="F68" s="8">
        <f>IF(F50&gt;0, ((A68*$B$6*$B$17/1000) + (F61*$B$6*$B$18/1000))/F50, 0)</f>
        <v>0.23735849056603772</v>
      </c>
      <c r="G68" s="8">
        <f>IF(G50&gt;0, ((A68*$B$6*$B$17/1000) + (G61*$B$6*$B$18/1000))/G50, 0)</f>
        <v>0.24537521815008725</v>
      </c>
      <c r="H68" s="8">
        <f>IF(H50&gt;0, ((A68*$B$6*$B$17/1000) + (H61*$B$6*$B$18/1000))/H50, 0)</f>
        <v>0.25392156862745097</v>
      </c>
      <c r="I68" s="8">
        <f>IF(I50&gt;0, ((A68*$B$6*$B$17/1000) + (I61*$B$6*$B$18/1000))/I50, 0)</f>
        <v>0.26510903426791277</v>
      </c>
      <c r="J68" s="8">
        <f>IF(J50&gt;0, ((A68*$B$6*$B$17/1000) + (J61*$B$6*$B$18/1000))/J50, 0)</f>
        <v>0.27694610778443113</v>
      </c>
      <c r="K68" s="8">
        <f>IF(K50&gt;0, ((A68*$B$6*$B$17/1000) + (K61*$B$6*$B$18/1000))/K50, 0)</f>
        <v>0.29040697674418603</v>
      </c>
      <c r="L68" s="8">
        <f>IF(L50&gt;0, ((A68*$B$6*$B$17/1000) + (L61*$B$6*$B$18/1000))/L50, 0)</f>
        <v>0.30396600566572235</v>
      </c>
    </row>
    <row r="69" spans="1:12" x14ac:dyDescent="0.2">
      <c r="A69" s="7">
        <v>3.5</v>
      </c>
      <c r="B69" s="8">
        <f>IF(B51&gt;0, ((A69*$B$6*$B$17/1000) + (B61*$B$6*$B$18/1000))/B51, 0)</f>
        <v>0.30116279069767443</v>
      </c>
      <c r="C69" s="8">
        <f>IF(C51&gt;0, ((A69*$B$6*$B$17/1000) + (C61*$B$6*$B$18/1000))/C51, 0)</f>
        <v>0.2665706051873199</v>
      </c>
      <c r="D69" s="8">
        <f>IF(D51&gt;0, ((A69*$B$6*$B$17/1000) + (D61*$B$6*$B$18/1000))/D51, 0)</f>
        <v>0.25070093457943926</v>
      </c>
      <c r="E69" s="8">
        <f>IF(E51&gt;0, ((A69*$B$6*$B$17/1000) + (E61*$B$6*$B$18/1000))/E51, 0)</f>
        <v>0.24766734279918862</v>
      </c>
      <c r="F69" s="8">
        <f>IF(F51&gt;0, ((A69*$B$6*$B$17/1000) + (F61*$B$6*$B$18/1000))/F51, 0)</f>
        <v>0.24845735027223231</v>
      </c>
      <c r="G69" s="8">
        <f>IF(G51&gt;0, ((A69*$B$6*$B$17/1000) + (G61*$B$6*$B$18/1000))/G51, 0)</f>
        <v>0.2536789297658863</v>
      </c>
      <c r="H69" s="8">
        <f>IF(H51&gt;0, ((A69*$B$6*$B$17/1000) + (H61*$B$6*$B$18/1000))/H51, 0)</f>
        <v>0.26015624999999998</v>
      </c>
      <c r="I69" s="8">
        <f>IF(I51&gt;0, ((A69*$B$6*$B$17/1000) + (I61*$B$6*$B$18/1000))/I51, 0)</f>
        <v>0.26939078751857359</v>
      </c>
      <c r="J69" s="8">
        <f>IF(J51&gt;0, ((A69*$B$6*$B$17/1000) + (J61*$B$6*$B$18/1000))/J51, 0)</f>
        <v>0.27894736842105267</v>
      </c>
      <c r="K69" s="8">
        <f>IF(K51&gt;0, ((A69*$B$6*$B$17/1000) + (K61*$B$6*$B$18/1000))/K51, 0)</f>
        <v>0.29049586776859498</v>
      </c>
      <c r="L69" s="8">
        <f>IF(L51&gt;0, ((A69*$B$6*$B$17/1000) + (L61*$B$6*$B$18/1000))/L51, 0)</f>
        <v>0.3025469168900804</v>
      </c>
    </row>
    <row r="70" spans="1:12" x14ac:dyDescent="0.2">
      <c r="A70" s="7">
        <v>4</v>
      </c>
      <c r="B70" s="8">
        <f>IF(B52&gt;0, ((A70*$B$6*$B$17/1000) + (B61*$B$6*$B$18/1000))/B52, 0)</f>
        <v>0.34285714285714286</v>
      </c>
      <c r="C70" s="8">
        <f>IF(C52&gt;0, ((A70*$B$6*$B$17/1000) + (C61*$B$6*$B$18/1000))/C52, 0)</f>
        <v>0.29431818181818181</v>
      </c>
      <c r="D70" s="8">
        <f>IF(D52&gt;0, ((A70*$B$6*$B$17/1000) + (D61*$B$6*$B$18/1000))/D52, 0)</f>
        <v>0.27031963470319637</v>
      </c>
      <c r="E70" s="8">
        <f>IF(E52&gt;0, ((A70*$B$6*$B$17/1000) + (E61*$B$6*$B$18/1000))/E52, 0)</f>
        <v>0.26324110671936757</v>
      </c>
      <c r="F70" s="8">
        <f>IF(F52&gt;0, ((A70*$B$6*$B$17/1000) + (F61*$B$6*$B$18/1000))/F52, 0)</f>
        <v>0.2601054481546573</v>
      </c>
      <c r="G70" s="8">
        <f>IF(G52&gt;0, ((A70*$B$6*$B$17/1000) + (G61*$B$6*$B$18/1000))/G52, 0)</f>
        <v>0.2630048465266559</v>
      </c>
      <c r="H70" s="8">
        <f>IF(H52&gt;0, ((A70*$B$6*$B$17/1000) + (H61*$B$6*$B$18/1000))/H52, 0)</f>
        <v>0.26706766917293234</v>
      </c>
      <c r="I70" s="8">
        <f>IF(I52&gt;0, ((A70*$B$6*$B$17/1000) + (I61*$B$6*$B$18/1000))/I52, 0)</f>
        <v>0.27446504992867327</v>
      </c>
      <c r="J70" s="8">
        <f>IF(J52&gt;0, ((A70*$B$6*$B$17/1000) + (J61*$B$6*$B$18/1000))/J52, 0)</f>
        <v>0.28228882833787466</v>
      </c>
      <c r="K70" s="8">
        <f>IF(K52&gt;0, ((A70*$B$6*$B$17/1000) + (K61*$B$6*$B$18/1000))/K52, 0)</f>
        <v>0.29210526315789476</v>
      </c>
      <c r="L70" s="8">
        <f>IF(L52&gt;0, ((A70*$B$6*$B$17/1000) + (L61*$B$6*$B$18/1000))/L52, 0)</f>
        <v>0.30242656449553001</v>
      </c>
    </row>
    <row r="71" spans="1:12" x14ac:dyDescent="0.2">
      <c r="A71" s="7">
        <v>4.5</v>
      </c>
      <c r="B71" s="8">
        <f>IF(B53&gt;0, ((A71*$B$6*$B$17/1000) + (B61*$B$6*$B$18/1000))/B53, 0)</f>
        <v>0.388715953307393</v>
      </c>
      <c r="C71" s="8">
        <f>IF(C53&gt;0, ((A71*$B$6*$B$17/1000) + (C61*$B$6*$B$18/1000))/C53, 0)</f>
        <v>0.32401129943502827</v>
      </c>
      <c r="D71" s="8">
        <f>IF(D53&gt;0, ((A71*$B$6*$B$17/1000) + (D61*$B$6*$B$18/1000))/D53, 0)</f>
        <v>0.29232505643340856</v>
      </c>
      <c r="E71" s="8">
        <f>IF(E53&gt;0, ((A71*$B$6*$B$17/1000) + (E61*$B$6*$B$18/1000))/E53, 0)</f>
        <v>0.28019417475728159</v>
      </c>
      <c r="F71" s="8">
        <f>IF(F53&gt;0, ((A71*$B$6*$B$17/1000) + (F61*$B$6*$B$18/1000))/F53, 0)</f>
        <v>0.27431034482758626</v>
      </c>
      <c r="G71" s="8">
        <f>IF(G53&gt;0, ((A71*$B$6*$B$17/1000) + (G61*$B$6*$B$18/1000))/G53, 0)</f>
        <v>0.27472353870458138</v>
      </c>
      <c r="H71" s="8">
        <f>IF(H53&gt;0, ((A71*$B$6*$B$17/1000) + (H61*$B$6*$B$18/1000))/H53, 0)</f>
        <v>0.27668621700879764</v>
      </c>
      <c r="I71" s="8">
        <f>IF(I53&gt;0, ((A71*$B$6*$B$17/1000) + (I61*$B$6*$B$18/1000))/I53, 0)</f>
        <v>0.28224687933425796</v>
      </c>
      <c r="J71" s="8">
        <f>IF(J53&gt;0, ((A71*$B$6*$B$17/1000) + (J61*$B$6*$B$18/1000))/J53, 0)</f>
        <v>0.28875661375661377</v>
      </c>
      <c r="K71" s="8">
        <f>IF(K53&gt;0, ((A71*$B$6*$B$17/1000) + (K61*$B$6*$B$18/1000))/K53, 0)</f>
        <v>0.29732142857142857</v>
      </c>
      <c r="L71" s="8">
        <f>IF(L53&gt;0, ((A71*$B$6*$B$17/1000) + (L61*$B$6*$B$18/1000))/L53, 0)</f>
        <v>0.30604938271604937</v>
      </c>
    </row>
    <row r="72" spans="1:12" x14ac:dyDescent="0.2">
      <c r="A72" s="7">
        <v>5</v>
      </c>
      <c r="B72" s="8">
        <f>IF(B54&gt;0, ((A72*$B$6*$B$17/1000) + (B61*$B$6*$B$18/1000))/B54, 0)</f>
        <v>0.43873517786561267</v>
      </c>
      <c r="C72" s="8">
        <f>IF(C54&gt;0, ((A72*$B$6*$B$17/1000) + (C61*$B$6*$B$18/1000))/C54, 0)</f>
        <v>0.35637393767705383</v>
      </c>
      <c r="D72" s="8">
        <f>IF(D54&gt;0, ((A72*$B$6*$B$17/1000) + (D61*$B$6*$B$18/1000))/D54, 0)</f>
        <v>0.31524663677130044</v>
      </c>
      <c r="E72" s="8">
        <f>IF(E54&gt;0, ((A72*$B$6*$B$17/1000) + (E61*$B$6*$B$18/1000))/E54, 0)</f>
        <v>0.29827255278310943</v>
      </c>
      <c r="F72" s="8">
        <f>IF(F54&gt;0, ((A72*$B$6*$B$17/1000) + (F61*$B$6*$B$18/1000))/F54, 0)</f>
        <v>0.28847457627118644</v>
      </c>
      <c r="G72" s="8">
        <f>IF(G54&gt;0, ((A72*$B$6*$B$17/1000) + (G61*$B$6*$B$18/1000))/G54, 0)</f>
        <v>0.2868217054263566</v>
      </c>
      <c r="H72" s="8">
        <f>IF(H54&gt;0, ((A72*$B$6*$B$17/1000) + (H61*$B$6*$B$18/1000))/H54, 0)</f>
        <v>0.28665710186513632</v>
      </c>
      <c r="I72" s="8">
        <f>IF(I54&gt;0, ((A72*$B$6*$B$17/1000) + (I61*$B$6*$B$18/1000))/I54, 0)</f>
        <v>0.2907859078590786</v>
      </c>
      <c r="J72" s="8">
        <f>IF(J54&gt;0, ((A72*$B$6*$B$17/1000) + (J61*$B$6*$B$18/1000))/J54, 0)</f>
        <v>0.29561855670103093</v>
      </c>
      <c r="K72" s="9">
        <f>IF(K54&gt;0, ((A72*$B$6*$B$17/1000) + (K61*$B$6*$B$18/1000))/K54, 0)</f>
        <v>0.30260223048327134</v>
      </c>
      <c r="L72" s="8">
        <f>IF(L54&gt;0, ((A72*$B$6*$B$17/1000) + (L61*$B$6*$B$18/1000))/L54, 0)</f>
        <v>0.31017964071856285</v>
      </c>
    </row>
    <row r="73" spans="1:12" x14ac:dyDescent="0.2">
      <c r="A73" s="7">
        <v>5.5</v>
      </c>
      <c r="B73" s="8">
        <f>IF(B55&gt;0, ((A73*$B$6*$B$17/1000) + (B61*$B$6*$B$18/1000))/B55, 0)</f>
        <v>0.49233870967741933</v>
      </c>
      <c r="C73" s="8">
        <f>IF(C55&gt;0, ((A73*$B$6*$B$17/1000) + (C61*$B$6*$B$18/1000))/C55, 0)</f>
        <v>0.39002849002849005</v>
      </c>
      <c r="D73" s="8">
        <f>IF(D55&gt;0, ((A73*$B$6*$B$17/1000) + (D61*$B$6*$B$18/1000))/D55, 0)</f>
        <v>0.34013452914798203</v>
      </c>
      <c r="E73" s="8">
        <f>IF(E55&gt;0, ((A73*$B$6*$B$17/1000) + (E61*$B$6*$B$18/1000))/E55, 0)</f>
        <v>0.31774809160305345</v>
      </c>
      <c r="F73" s="8">
        <f>IF(F55&gt;0, ((A73*$B$6*$B$17/1000) + (F61*$B$6*$B$18/1000))/F55, 0)</f>
        <v>0.30470588235294122</v>
      </c>
      <c r="G73" s="8">
        <f>IF(G55&gt;0, ((A73*$B$6*$B$17/1000) + (G61*$B$6*$B$18/1000))/G55, 0)</f>
        <v>0.30030627871362942</v>
      </c>
      <c r="H73" s="8">
        <f>IF(H55&gt;0, ((A73*$B$6*$B$17/1000) + (H61*$B$6*$B$18/1000))/H55, 0)</f>
        <v>0.29830268741159827</v>
      </c>
      <c r="I73" s="8">
        <f>IF(I55&gt;0, ((A73*$B$6*$B$17/1000) + (I61*$B$6*$B$18/1000))/I55, 0)</f>
        <v>0.30053262316910784</v>
      </c>
      <c r="J73" s="8">
        <f>IF(J55&gt;0, ((A73*$B$6*$B$17/1000) + (J61*$B$6*$B$18/1000))/J55, 0)</f>
        <v>0.30404551201011376</v>
      </c>
      <c r="K73" s="8">
        <f>IF(K55&gt;0, ((A73*$B$6*$B$17/1000) + (K61*$B$6*$B$18/1000))/K55, 0)</f>
        <v>0.31020656136087482</v>
      </c>
      <c r="L73" s="8">
        <f>IF(L55&gt;0, ((A73*$B$6*$B$17/1000) + (L61*$B$6*$B$18/1000))/L55, 0)</f>
        <v>0.31664712778429077</v>
      </c>
    </row>
    <row r="74" spans="1:12" x14ac:dyDescent="0.2">
      <c r="A74" s="7">
        <v>6</v>
      </c>
      <c r="B74" s="8">
        <f>IF(B56&gt;0, ((A74*$B$6*$B$17/1000) + (B61*$B$6*$B$18/1000))/B56, 0)</f>
        <v>0.55041322314049579</v>
      </c>
      <c r="C74" s="8">
        <f>IF(C56&gt;0, ((A74*$B$6*$B$17/1000) + (C61*$B$6*$B$18/1000))/C56, 0)</f>
        <v>0.4265129682997118</v>
      </c>
      <c r="D74" s="8">
        <f>IF(D56&gt;0, ((A74*$B$6*$B$17/1000) + (D61*$B$6*$B$18/1000))/D56, 0)</f>
        <v>0.36502242152466363</v>
      </c>
      <c r="E74" s="8">
        <f>IF(E56&gt;0, ((A74*$B$6*$B$17/1000) + (E61*$B$6*$B$18/1000))/E56, 0)</f>
        <v>0.33764258555133081</v>
      </c>
      <c r="F74" s="8">
        <f>IF(F56&gt;0, ((A74*$B$6*$B$17/1000) + (F61*$B$6*$B$18/1000))/F56, 0)</f>
        <v>0.32066666666666666</v>
      </c>
      <c r="G74" s="8">
        <f>IF(G56&gt;0, ((A74*$B$6*$B$17/1000) + (G61*$B$6*$B$18/1000))/G56, 0)</f>
        <v>0.31393939393939391</v>
      </c>
      <c r="H74" s="8">
        <f>IF(H56&gt;0, ((A74*$B$6*$B$17/1000) + (H61*$B$6*$B$18/1000))/H56, 0)</f>
        <v>0.31005586592178769</v>
      </c>
      <c r="I74" s="8">
        <f>IF(I56&gt;0, ((A74*$B$6*$B$17/1000) + (I61*$B$6*$B$18/1000))/I56, 0)</f>
        <v>0.31076115485564304</v>
      </c>
      <c r="J74" s="8">
        <f>IF(J56&gt;0, ((A74*$B$6*$B$17/1000) + (J61*$B$6*$B$18/1000))/J56, 0)</f>
        <v>0.31293532338308455</v>
      </c>
      <c r="K74" s="8">
        <f>IF(K56&gt;0, ((A74*$B$6*$B$17/1000) + (K61*$B$6*$B$18/1000))/K56, 0)</f>
        <v>0.31789976133651549</v>
      </c>
      <c r="L74" s="8">
        <f>IF(L56&gt;0, ((A74*$B$6*$B$17/1000) + (L61*$B$6*$B$18/1000))/L56, 0)</f>
        <v>0.32321839080459769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A29"/>
  <sheetViews>
    <sheetView topLeftCell="R6" zoomScale="143" workbookViewId="0">
      <selection activeCell="X27" sqref="X27"/>
    </sheetView>
  </sheetViews>
  <sheetFormatPr baseColWidth="10" defaultColWidth="8.83203125" defaultRowHeight="15" x14ac:dyDescent="0.2"/>
  <cols>
    <col min="1" max="1" width="12" customWidth="1"/>
    <col min="2" max="2" width="28" customWidth="1"/>
    <col min="3" max="6" width="12" customWidth="1"/>
    <col min="7" max="7" width="17.5" customWidth="1"/>
    <col min="8" max="8" width="12" customWidth="1"/>
    <col min="9" max="9" width="3.1640625" customWidth="1"/>
    <col min="10" max="10" width="8.6640625" customWidth="1"/>
    <col min="11" max="11" width="12" customWidth="1"/>
    <col min="12" max="12" width="20" customWidth="1"/>
    <col min="13" max="13" width="16" customWidth="1"/>
    <col min="14" max="14" width="17" customWidth="1"/>
    <col min="15" max="15" width="12" customWidth="1"/>
    <col min="16" max="16" width="18" customWidth="1"/>
    <col min="17" max="17" width="16" customWidth="1"/>
    <col min="18" max="18" width="17" customWidth="1"/>
    <col min="19" max="20" width="12" customWidth="1"/>
    <col min="21" max="21" width="19.5" customWidth="1"/>
    <col min="22" max="22" width="18.1640625" customWidth="1"/>
    <col min="23" max="23" width="22.83203125" customWidth="1"/>
    <col min="24" max="24" width="22" customWidth="1"/>
    <col min="25" max="25" width="25.5" customWidth="1"/>
    <col min="26" max="26" width="24.6640625" customWidth="1"/>
  </cols>
  <sheetData>
    <row r="2" spans="1:23" ht="19" customHeight="1" x14ac:dyDescent="0.25">
      <c r="B2" t="s">
        <v>59</v>
      </c>
      <c r="L2" s="28" t="s">
        <v>60</v>
      </c>
      <c r="U2" t="s">
        <v>61</v>
      </c>
    </row>
    <row r="3" spans="1:23" ht="19" customHeight="1" thickBot="1" x14ac:dyDescent="0.3">
      <c r="L3" s="28" t="s">
        <v>62</v>
      </c>
    </row>
    <row r="4" spans="1:23" ht="45" customHeight="1" thickBot="1" x14ac:dyDescent="0.3">
      <c r="A4" t="s">
        <v>63</v>
      </c>
      <c r="B4" s="20" t="s">
        <v>64</v>
      </c>
      <c r="C4" s="20" t="s">
        <v>65</v>
      </c>
      <c r="D4" s="45" t="s">
        <v>66</v>
      </c>
      <c r="E4" s="103" t="s">
        <v>67</v>
      </c>
      <c r="F4" s="45" t="s">
        <v>68</v>
      </c>
      <c r="G4" s="103" t="s">
        <v>67</v>
      </c>
      <c r="H4" s="20" t="s">
        <v>69</v>
      </c>
      <c r="I4" s="103" t="s">
        <v>70</v>
      </c>
      <c r="J4" s="103">
        <v>1000</v>
      </c>
      <c r="L4" s="28" t="s">
        <v>71</v>
      </c>
      <c r="M4" s="28" t="s">
        <v>72</v>
      </c>
      <c r="N4" s="28" t="s">
        <v>73</v>
      </c>
      <c r="P4" t="s">
        <v>71</v>
      </c>
      <c r="Q4" t="s">
        <v>72</v>
      </c>
      <c r="R4" t="s">
        <v>73</v>
      </c>
      <c r="U4" s="39" t="s">
        <v>74</v>
      </c>
      <c r="V4" s="40" t="s">
        <v>75</v>
      </c>
      <c r="W4" s="38" t="s">
        <v>76</v>
      </c>
    </row>
    <row r="5" spans="1:23" ht="19" customHeight="1" x14ac:dyDescent="0.2">
      <c r="B5" s="20" t="s">
        <v>77</v>
      </c>
      <c r="C5" s="20"/>
      <c r="D5" s="45" t="s">
        <v>78</v>
      </c>
      <c r="E5" s="99"/>
      <c r="F5" s="45" t="s">
        <v>79</v>
      </c>
      <c r="G5" s="99"/>
      <c r="H5" s="20" t="s">
        <v>80</v>
      </c>
      <c r="I5" s="99"/>
      <c r="J5" s="99"/>
      <c r="L5" s="30" t="s">
        <v>81</v>
      </c>
      <c r="M5" s="30">
        <v>2.7629999999999999</v>
      </c>
      <c r="N5" s="30">
        <v>2.6030000000000002</v>
      </c>
      <c r="P5" t="s">
        <v>81</v>
      </c>
      <c r="Q5" s="13">
        <v>2.1280000000000001</v>
      </c>
      <c r="R5">
        <v>2.6</v>
      </c>
      <c r="S5" t="s">
        <v>82</v>
      </c>
      <c r="U5" s="41" t="s">
        <v>83</v>
      </c>
      <c r="V5" s="42">
        <v>0</v>
      </c>
      <c r="W5" s="50" t="s">
        <v>84</v>
      </c>
    </row>
    <row r="6" spans="1:23" ht="19" customHeight="1" x14ac:dyDescent="0.2">
      <c r="B6" s="20"/>
      <c r="C6" s="20"/>
      <c r="D6" s="20"/>
      <c r="E6" s="20"/>
      <c r="F6" s="20"/>
      <c r="G6" s="20"/>
      <c r="H6" s="20"/>
      <c r="I6" s="20"/>
      <c r="J6" s="20"/>
      <c r="L6" s="29" t="s">
        <v>85</v>
      </c>
      <c r="M6" s="29">
        <v>6.0810000000000003E-2</v>
      </c>
      <c r="N6" s="29">
        <v>6.2269999999999999E-2</v>
      </c>
      <c r="P6" t="s">
        <v>85</v>
      </c>
      <c r="Q6" s="14">
        <f>Q11/Q5</f>
        <v>6.8139097744360888E-2</v>
      </c>
      <c r="R6" s="14">
        <f>R11/R5</f>
        <v>6.2307692307692307E-2</v>
      </c>
      <c r="U6" s="41" t="s">
        <v>86</v>
      </c>
      <c r="V6" s="42" t="s">
        <v>87</v>
      </c>
      <c r="W6" s="50">
        <v>0</v>
      </c>
    </row>
    <row r="7" spans="1:23" ht="19" customHeight="1" x14ac:dyDescent="0.2">
      <c r="B7" s="20"/>
      <c r="C7" s="20"/>
      <c r="D7" s="45" t="s">
        <v>66</v>
      </c>
      <c r="E7" s="103" t="s">
        <v>67</v>
      </c>
      <c r="F7" s="45" t="s">
        <v>68</v>
      </c>
      <c r="G7" s="103" t="s">
        <v>67</v>
      </c>
      <c r="H7" s="20" t="s">
        <v>69</v>
      </c>
      <c r="I7" s="103" t="s">
        <v>70</v>
      </c>
      <c r="J7" s="103">
        <v>1000</v>
      </c>
      <c r="L7" s="29" t="s">
        <v>88</v>
      </c>
      <c r="M7" s="29">
        <v>2.5939999999999999</v>
      </c>
      <c r="N7" s="29">
        <v>2.927</v>
      </c>
      <c r="P7" t="s">
        <v>88</v>
      </c>
      <c r="Q7" s="14">
        <f>Q5/Q17</f>
        <v>2.2376445846477395</v>
      </c>
      <c r="R7" s="14">
        <f>R5/R17</f>
        <v>2.8792912513842746</v>
      </c>
      <c r="U7" s="41" t="s">
        <v>89</v>
      </c>
      <c r="V7" s="42" t="s">
        <v>90</v>
      </c>
      <c r="W7" s="50" t="s">
        <v>87</v>
      </c>
    </row>
    <row r="8" spans="1:23" ht="19" customHeight="1" x14ac:dyDescent="0.2">
      <c r="B8" s="20"/>
      <c r="C8" s="20"/>
      <c r="D8" s="45">
        <v>39.1</v>
      </c>
      <c r="E8" s="99"/>
      <c r="F8" s="45">
        <v>12.15</v>
      </c>
      <c r="G8" s="99"/>
      <c r="H8" s="20">
        <v>20.05</v>
      </c>
      <c r="I8" s="99"/>
      <c r="J8" s="99"/>
      <c r="L8" s="29" t="s">
        <v>91</v>
      </c>
      <c r="M8" s="29">
        <v>9.7589999999999996E-2</v>
      </c>
      <c r="N8" s="29">
        <v>0.1106</v>
      </c>
      <c r="P8" t="s">
        <v>91</v>
      </c>
      <c r="Q8" s="14">
        <f>Q23/Q5</f>
        <v>0.23496240601503759</v>
      </c>
      <c r="R8" s="14">
        <f>R23/R5</f>
        <v>0.11061538461538462</v>
      </c>
      <c r="U8" s="41" t="s">
        <v>92</v>
      </c>
      <c r="V8" s="42" t="s">
        <v>93</v>
      </c>
      <c r="W8" s="50" t="s">
        <v>94</v>
      </c>
    </row>
    <row r="9" spans="1:23" ht="20" customHeight="1" thickBot="1" x14ac:dyDescent="0.25">
      <c r="B9" s="21"/>
      <c r="C9" s="21"/>
      <c r="D9" s="21"/>
      <c r="E9" s="21"/>
      <c r="F9" s="21"/>
      <c r="G9" s="21"/>
      <c r="H9" s="21"/>
      <c r="I9" s="21"/>
      <c r="J9" s="21"/>
      <c r="L9" s="29" t="s">
        <v>95</v>
      </c>
      <c r="M9" s="29">
        <v>31.4</v>
      </c>
      <c r="N9" s="29">
        <v>27.55</v>
      </c>
      <c r="P9" t="s">
        <v>96</v>
      </c>
      <c r="Q9" s="15">
        <f>Q29/Q5</f>
        <v>38.035022967030642</v>
      </c>
      <c r="R9" s="15">
        <f>R29/R5</f>
        <v>0</v>
      </c>
      <c r="U9" s="43" t="s">
        <v>97</v>
      </c>
      <c r="V9" s="44" t="s">
        <v>98</v>
      </c>
      <c r="W9" s="50" t="s">
        <v>99</v>
      </c>
    </row>
    <row r="10" spans="1:23" ht="20" customHeight="1" thickBot="1" x14ac:dyDescent="0.25">
      <c r="B10" s="21" t="s">
        <v>100</v>
      </c>
      <c r="C10" s="21"/>
      <c r="F10" s="26" t="s">
        <v>101</v>
      </c>
      <c r="G10" s="27" t="s">
        <v>102</v>
      </c>
      <c r="H10" s="102"/>
      <c r="I10" s="99"/>
      <c r="J10" s="99"/>
      <c r="L10" s="29"/>
      <c r="M10" s="29"/>
      <c r="N10" s="29"/>
    </row>
    <row r="11" spans="1:23" ht="19" customHeight="1" x14ac:dyDescent="0.2">
      <c r="B11" s="21"/>
      <c r="D11" s="21" t="s">
        <v>103</v>
      </c>
      <c r="F11" s="22" t="s">
        <v>104</v>
      </c>
      <c r="G11" s="23" t="s">
        <v>92</v>
      </c>
      <c r="H11" s="102"/>
      <c r="I11" s="99"/>
      <c r="J11" s="99"/>
      <c r="L11" s="31" t="s">
        <v>105</v>
      </c>
      <c r="M11" s="31">
        <v>0.1678</v>
      </c>
      <c r="N11" s="31">
        <v>0.16200000000000001</v>
      </c>
      <c r="P11" t="s">
        <v>105</v>
      </c>
      <c r="Q11" s="16">
        <v>0.14499999999999999</v>
      </c>
      <c r="R11">
        <v>0.16200000000000001</v>
      </c>
      <c r="S11" t="s">
        <v>82</v>
      </c>
      <c r="U11" t="s">
        <v>106</v>
      </c>
    </row>
    <row r="12" spans="1:23" ht="19" customHeight="1" x14ac:dyDescent="0.2">
      <c r="B12" s="21"/>
      <c r="C12" s="21"/>
      <c r="F12" s="22" t="s">
        <v>107</v>
      </c>
      <c r="G12" s="23" t="s">
        <v>89</v>
      </c>
      <c r="H12" s="102"/>
      <c r="I12" s="99"/>
      <c r="J12" s="99"/>
      <c r="L12" s="32" t="s">
        <v>85</v>
      </c>
      <c r="M12" s="32">
        <v>6.0810000000000003E-2</v>
      </c>
      <c r="N12" s="32">
        <v>0.62270000000000003</v>
      </c>
      <c r="P12" t="s">
        <v>85</v>
      </c>
      <c r="Q12" s="14">
        <f>Q11/Q5</f>
        <v>6.8139097744360888E-2</v>
      </c>
      <c r="R12" s="14">
        <f>R11/R5</f>
        <v>6.2307692307692307E-2</v>
      </c>
      <c r="U12" t="s">
        <v>108</v>
      </c>
    </row>
    <row r="13" spans="1:23" ht="20" customHeight="1" thickBot="1" x14ac:dyDescent="0.25">
      <c r="B13" s="21"/>
      <c r="C13" s="21"/>
      <c r="F13" s="24" t="s">
        <v>109</v>
      </c>
      <c r="G13" s="25" t="s">
        <v>110</v>
      </c>
      <c r="H13" s="102"/>
      <c r="I13" s="99"/>
      <c r="J13" s="99"/>
      <c r="L13" s="32" t="s">
        <v>111</v>
      </c>
      <c r="M13" s="32">
        <v>0.1575</v>
      </c>
      <c r="N13" s="32">
        <v>0.18179999999999999</v>
      </c>
      <c r="P13" t="s">
        <v>111</v>
      </c>
      <c r="Q13" s="14">
        <f>Q11/Q17</f>
        <v>0.15247108307045215</v>
      </c>
      <c r="R13" s="14">
        <f>R11/R17</f>
        <v>0.17940199335548174</v>
      </c>
      <c r="U13" t="s">
        <v>112</v>
      </c>
    </row>
    <row r="14" spans="1:23" ht="19" customHeight="1" x14ac:dyDescent="0.2">
      <c r="L14" s="32" t="s">
        <v>113</v>
      </c>
      <c r="M14" s="32">
        <v>0.6462</v>
      </c>
      <c r="N14" s="32">
        <v>0.58650000000000002</v>
      </c>
      <c r="P14" t="s">
        <v>113</v>
      </c>
      <c r="Q14" s="14">
        <f>Q11/Q23</f>
        <v>0.28999999999999998</v>
      </c>
      <c r="R14" s="14">
        <f>R11/R23</f>
        <v>0.56328233657858129</v>
      </c>
    </row>
    <row r="15" spans="1:23" ht="19" customHeight="1" x14ac:dyDescent="0.25">
      <c r="L15" s="32" t="s">
        <v>114</v>
      </c>
      <c r="M15" s="32">
        <v>516.5</v>
      </c>
      <c r="N15" s="32">
        <v>443.8</v>
      </c>
      <c r="P15" t="s">
        <v>115</v>
      </c>
      <c r="Q15" s="15">
        <f>Q29/Q11</f>
        <v>558.19675085407732</v>
      </c>
      <c r="R15" s="15">
        <f>R29/R11</f>
        <v>0</v>
      </c>
      <c r="U15" s="33" t="s">
        <v>116</v>
      </c>
    </row>
    <row r="16" spans="1:23" ht="19" customHeight="1" x14ac:dyDescent="0.2">
      <c r="B16" t="s">
        <v>117</v>
      </c>
      <c r="D16" t="s">
        <v>118</v>
      </c>
      <c r="L16" s="29"/>
      <c r="M16" s="29"/>
      <c r="N16" s="29"/>
      <c r="U16" s="37" t="s">
        <v>178</v>
      </c>
    </row>
    <row r="17" spans="2:27" ht="46" customHeight="1" thickBot="1" x14ac:dyDescent="0.25">
      <c r="B17" t="s">
        <v>66</v>
      </c>
      <c r="C17" t="s">
        <v>65</v>
      </c>
      <c r="D17" s="13">
        <v>0.95099999999999996</v>
      </c>
      <c r="L17" s="30" t="s">
        <v>119</v>
      </c>
      <c r="M17" s="30">
        <v>1.087</v>
      </c>
      <c r="N17" s="30">
        <v>0.90300000000000002</v>
      </c>
      <c r="P17" t="s">
        <v>119</v>
      </c>
      <c r="Q17" s="13">
        <v>0.95099999999999996</v>
      </c>
      <c r="R17">
        <v>0.90300000000000002</v>
      </c>
      <c r="S17" t="s">
        <v>82</v>
      </c>
      <c r="U17" s="36" t="s">
        <v>2</v>
      </c>
      <c r="V17" s="105" t="s">
        <v>120</v>
      </c>
      <c r="W17" s="106" t="s">
        <v>121</v>
      </c>
      <c r="X17" s="105" t="s">
        <v>122</v>
      </c>
      <c r="Y17" s="46" t="s">
        <v>123</v>
      </c>
      <c r="Z17" s="46" t="s">
        <v>76</v>
      </c>
    </row>
    <row r="18" spans="2:27" ht="19" customHeight="1" x14ac:dyDescent="0.2">
      <c r="B18" t="s">
        <v>68</v>
      </c>
      <c r="C18" t="s">
        <v>65</v>
      </c>
      <c r="D18" s="13">
        <v>0.27400000000000002</v>
      </c>
      <c r="L18" s="29" t="s">
        <v>88</v>
      </c>
      <c r="M18" s="29">
        <v>2.5939999999999999</v>
      </c>
      <c r="N18" s="29">
        <v>2.927</v>
      </c>
      <c r="P18" t="s">
        <v>88</v>
      </c>
      <c r="Q18" s="14">
        <f>Q5/Q17</f>
        <v>2.2376445846477395</v>
      </c>
      <c r="R18" s="14">
        <f>R5/R17</f>
        <v>2.8792912513842746</v>
      </c>
      <c r="U18" s="34" t="s">
        <v>11</v>
      </c>
      <c r="V18" s="107">
        <f>Q5</f>
        <v>2.1280000000000001</v>
      </c>
      <c r="W18" s="108">
        <f>M5</f>
        <v>2.7629999999999999</v>
      </c>
      <c r="X18" s="110">
        <f>V18/W18</f>
        <v>0.77017734346724587</v>
      </c>
      <c r="Y18" s="47" t="str">
        <f>IF(X18&gt;=1.05,"Excessive", IF(X18&gt;=0.92,"Satisfactory / Optimum", IF(X18&gt;=0.8,"Low / Mild Deficit", IF(X18&gt;=0.65,"Deficient","Very Deficient"))))</f>
        <v>Deficient</v>
      </c>
      <c r="Z18" s="51">
        <f>IF(X18&gt;=1.05, -0.5, IF(X18&gt;=0.92, 0, IF(X18&gt;=0.8, 0.5, IF(X18&gt;=0.65, 1.5, 2.5))))</f>
        <v>1.5</v>
      </c>
      <c r="AA18" t="str">
        <f>W8</f>
        <v>0 to 2</v>
      </c>
    </row>
    <row r="19" spans="2:27" ht="19" customHeight="1" x14ac:dyDescent="0.2">
      <c r="B19" t="s">
        <v>69</v>
      </c>
      <c r="C19" t="s">
        <v>65</v>
      </c>
      <c r="D19" s="13">
        <v>0.68300000000000005</v>
      </c>
      <c r="L19" s="29" t="s">
        <v>111</v>
      </c>
      <c r="M19" s="29">
        <v>0.1575</v>
      </c>
      <c r="N19" s="29">
        <v>0.18179999999999999</v>
      </c>
      <c r="P19" t="s">
        <v>111</v>
      </c>
      <c r="Q19" s="14">
        <f>Q11/Q17</f>
        <v>0.15247108307045215</v>
      </c>
      <c r="R19" s="14">
        <f>R11/R17</f>
        <v>0.17940199335548174</v>
      </c>
      <c r="U19" s="34" t="s">
        <v>13</v>
      </c>
      <c r="V19" s="107">
        <f>Q11</f>
        <v>0.14499999999999999</v>
      </c>
      <c r="W19" s="109">
        <f>M11</f>
        <v>0.1678</v>
      </c>
      <c r="X19" s="110">
        <f>V19/W19</f>
        <v>0.86412395709177581</v>
      </c>
      <c r="Y19" s="48" t="str">
        <f>IF(X19&gt;=1.05,"Excessive", IF(X19&gt;=0.92,"Satisfactory / Optimum", IF(X19&gt;=0.8,"Low / Mild Deficit", IF(X19&gt;=0.65,"Deficient","Very Deficient"))))</f>
        <v>Low / Mild Deficit</v>
      </c>
      <c r="Z19" s="52">
        <f>IF(X19&gt;=1.05, -0.5, IF(X19&gt;=0.92, 0, IF(X19&gt;=0.8, 0.5, IF(X19&gt;=0.65, 1.5, 2.5))))</f>
        <v>0.5</v>
      </c>
      <c r="AA19" t="str">
        <f>W7</f>
        <v>0 to 1</v>
      </c>
    </row>
    <row r="20" spans="2:27" ht="19" customHeight="1" x14ac:dyDescent="0.2">
      <c r="L20" s="29" t="s">
        <v>124</v>
      </c>
      <c r="M20" s="29">
        <v>4.2149999999999999</v>
      </c>
      <c r="N20" s="29">
        <v>3.323</v>
      </c>
      <c r="P20" t="s">
        <v>124</v>
      </c>
      <c r="Q20" s="14">
        <f>Q17/Q23</f>
        <v>1.9019999999999999</v>
      </c>
      <c r="R20" s="14">
        <f>R17/R23</f>
        <v>3.1397774687065367</v>
      </c>
      <c r="U20" s="34" t="s">
        <v>15</v>
      </c>
      <c r="V20" s="107">
        <f>Q17</f>
        <v>0.95099999999999996</v>
      </c>
      <c r="W20" s="108">
        <f>M17</f>
        <v>1.087</v>
      </c>
      <c r="X20" s="110">
        <f>V20/W20</f>
        <v>0.874885004599816</v>
      </c>
      <c r="Y20" s="48" t="str">
        <f>IF(X20&gt;=1.05,"Excessive", IF(X20&gt;=0.92,"Satisfactory / Optimum", IF(X20&gt;=0.8,"Low / Mild Deficit", IF(X20&gt;=0.65,"Deficient","Very Deficient"))))</f>
        <v>Low / Mild Deficit</v>
      </c>
      <c r="Z20" s="52">
        <f>IF(X20&gt;=1.05, -0.5, IF(X20&gt;=0.92, 0, IF(X20&gt;=0.8, 0.5, IF(X20&gt;=0.65, 1.5, 2.5))))</f>
        <v>0.5</v>
      </c>
      <c r="AA20" t="str">
        <f>W7</f>
        <v>0 to 1</v>
      </c>
    </row>
    <row r="21" spans="2:27" ht="19" customHeight="1" thickBot="1" x14ac:dyDescent="0.25">
      <c r="B21" t="s">
        <v>125</v>
      </c>
      <c r="L21" s="29" t="s">
        <v>126</v>
      </c>
      <c r="M21" s="29">
        <v>81.010000000000005</v>
      </c>
      <c r="N21" s="29">
        <v>80.67</v>
      </c>
      <c r="P21" t="s">
        <v>127</v>
      </c>
      <c r="Q21" s="15">
        <f>Q29/Q17</f>
        <v>85.108863169128512</v>
      </c>
      <c r="R21" s="15">
        <f>R29/R17</f>
        <v>0</v>
      </c>
      <c r="U21" s="34" t="s">
        <v>17</v>
      </c>
      <c r="V21" s="107">
        <f>Q23</f>
        <v>0.5</v>
      </c>
      <c r="W21" s="109">
        <f>M23</f>
        <v>0.26900000000000002</v>
      </c>
      <c r="X21" s="110">
        <f>V21/W21</f>
        <v>1.8587360594795539</v>
      </c>
      <c r="Y21" s="49" t="str">
        <f>IF(X21&gt;=1.05,"Excessive", IF(X21&gt;=0.92,"Satisfactory / Optimum", IF(X21&gt;=0.8,"Low / Mild Deficit", IF(X21&gt;=0.65,"Deficient","Very Deficient"))))</f>
        <v>Excessive</v>
      </c>
      <c r="Z21" s="53">
        <f>IF(X21&gt;=1.05, -0.5, IF(X21&gt;=0.92, 0, IF(X21&gt;=0.8, 0.5, IF(X21&gt;=0.65, 1.5, 2.5))))</f>
        <v>-0.5</v>
      </c>
      <c r="AA21" t="str">
        <f>W5</f>
        <v xml:space="preserve"> - 0.5 to -1</v>
      </c>
    </row>
    <row r="22" spans="2:27" ht="19" customHeight="1" x14ac:dyDescent="0.2">
      <c r="B22" t="s">
        <v>128</v>
      </c>
      <c r="D22" s="15">
        <f>(D17/39.1+D18/12.15+D19/20.05)*1000</f>
        <v>80.938528873841207</v>
      </c>
      <c r="F22" t="s">
        <v>63</v>
      </c>
      <c r="L22" s="29"/>
      <c r="M22" s="29"/>
      <c r="N22" s="29"/>
    </row>
    <row r="23" spans="2:27" ht="19" customHeight="1" x14ac:dyDescent="0.2">
      <c r="L23" s="31" t="s">
        <v>129</v>
      </c>
      <c r="M23" s="31">
        <v>0.26900000000000002</v>
      </c>
      <c r="N23" s="31">
        <v>0.28760000000000002</v>
      </c>
      <c r="P23" t="s">
        <v>129</v>
      </c>
      <c r="Q23" s="13">
        <v>0.5</v>
      </c>
      <c r="R23">
        <v>0.28760000000000002</v>
      </c>
      <c r="S23" t="s">
        <v>82</v>
      </c>
      <c r="W23" s="111" t="s">
        <v>182</v>
      </c>
      <c r="X23" s="112" t="s">
        <v>179</v>
      </c>
      <c r="Y23" s="111" t="s">
        <v>181</v>
      </c>
      <c r="Z23" s="111"/>
      <c r="AA23" s="111"/>
    </row>
    <row r="24" spans="2:27" ht="19" customHeight="1" x14ac:dyDescent="0.2">
      <c r="B24" t="s">
        <v>130</v>
      </c>
      <c r="D24" t="s">
        <v>101</v>
      </c>
      <c r="F24" t="s">
        <v>103</v>
      </c>
      <c r="L24" s="32" t="s">
        <v>91</v>
      </c>
      <c r="M24" s="32">
        <v>9.7589999999999996E-2</v>
      </c>
      <c r="N24" s="32">
        <v>0.1106</v>
      </c>
      <c r="P24" t="s">
        <v>91</v>
      </c>
      <c r="Q24" s="14">
        <f>Q23/Q5</f>
        <v>0.23496240601503759</v>
      </c>
      <c r="R24" s="14">
        <f>R23/R5</f>
        <v>0.11061538461538462</v>
      </c>
      <c r="W24" s="111"/>
      <c r="X24" s="112"/>
      <c r="Y24" s="111"/>
      <c r="Z24" s="111"/>
      <c r="AA24" s="111"/>
    </row>
    <row r="25" spans="2:27" ht="19" customHeight="1" x14ac:dyDescent="0.2">
      <c r="B25" t="s">
        <v>131</v>
      </c>
      <c r="D25" s="17">
        <f>(D17/39.1)*1000</f>
        <v>24.322250639386187</v>
      </c>
      <c r="H25" s="35" t="str">
        <f>IF(D25&gt;30, "Sufficient", IF(D25&gt;=25, "Low", "Deficient"))</f>
        <v>Deficient</v>
      </c>
      <c r="L25" s="32" t="s">
        <v>113</v>
      </c>
      <c r="M25" s="32">
        <v>0.6462</v>
      </c>
      <c r="N25" s="32">
        <v>0.58650000000000002</v>
      </c>
      <c r="P25" t="s">
        <v>113</v>
      </c>
      <c r="Q25" s="14">
        <f>Q11/Q5</f>
        <v>6.8139097744360888E-2</v>
      </c>
      <c r="R25" s="14">
        <f>R11/R5</f>
        <v>6.2307692307692307E-2</v>
      </c>
      <c r="W25" s="111"/>
      <c r="X25" s="112"/>
      <c r="Y25" s="111"/>
      <c r="Z25" s="111"/>
      <c r="AA25" s="111"/>
    </row>
    <row r="26" spans="2:27" ht="19" customHeight="1" x14ac:dyDescent="0.2">
      <c r="B26" t="s">
        <v>132</v>
      </c>
      <c r="D26" s="17">
        <f>(D18/12.15)*1000</f>
        <v>22.551440329218106</v>
      </c>
      <c r="H26" s="35" t="str">
        <f>IF(D26&gt;30, "Sufficient", IF(D26&gt;=25, "Low", "Deficient"))</f>
        <v>Deficient</v>
      </c>
      <c r="L26" s="32" t="s">
        <v>124</v>
      </c>
      <c r="M26" s="32">
        <v>4.2149999999999999</v>
      </c>
      <c r="N26" s="32">
        <v>3.323</v>
      </c>
      <c r="P26" t="s">
        <v>124</v>
      </c>
      <c r="Q26" s="14">
        <f>Q17/Q23</f>
        <v>1.9019999999999999</v>
      </c>
      <c r="R26" s="14">
        <f>R17/R23</f>
        <v>3.1397774687065367</v>
      </c>
      <c r="X26" t="s">
        <v>180</v>
      </c>
    </row>
    <row r="27" spans="2:27" ht="19" customHeight="1" x14ac:dyDescent="0.2">
      <c r="B27" t="s">
        <v>133</v>
      </c>
      <c r="D27" s="17">
        <f>(D19/20.05)*1000</f>
        <v>34.064837905236907</v>
      </c>
      <c r="H27" s="35" t="str">
        <f>IF(D27&gt;30, "Sufficient", IF(D27&gt;=25, "Low", "Deficient"))</f>
        <v>Sufficient</v>
      </c>
      <c r="L27" s="32" t="s">
        <v>134</v>
      </c>
      <c r="M27" s="32">
        <v>331.6</v>
      </c>
      <c r="N27" s="32">
        <v>257.5</v>
      </c>
      <c r="P27" t="s">
        <v>135</v>
      </c>
      <c r="Q27" s="15">
        <f>Q29/Q23</f>
        <v>161.87705774768241</v>
      </c>
      <c r="R27" s="15">
        <f>R29/R23</f>
        <v>0</v>
      </c>
    </row>
    <row r="28" spans="2:27" x14ac:dyDescent="0.2">
      <c r="D28" s="17"/>
    </row>
    <row r="29" spans="2:27" x14ac:dyDescent="0.2">
      <c r="O29" t="s">
        <v>63</v>
      </c>
      <c r="P29" t="s">
        <v>128</v>
      </c>
      <c r="Q29" s="15">
        <f>D22</f>
        <v>80.938528873841207</v>
      </c>
      <c r="S29" t="s">
        <v>82</v>
      </c>
    </row>
  </sheetData>
  <mergeCells count="15">
    <mergeCell ref="W23:W25"/>
    <mergeCell ref="X23:X25"/>
    <mergeCell ref="Y23:AA25"/>
    <mergeCell ref="H10:J10"/>
    <mergeCell ref="G4:G5"/>
    <mergeCell ref="E4:E5"/>
    <mergeCell ref="J4:J5"/>
    <mergeCell ref="H13:J13"/>
    <mergeCell ref="I4:I5"/>
    <mergeCell ref="G7:G8"/>
    <mergeCell ref="E7:E8"/>
    <mergeCell ref="I7:I8"/>
    <mergeCell ref="H12:J12"/>
    <mergeCell ref="J7:J8"/>
    <mergeCell ref="H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tabSelected="1" workbookViewId="0">
      <selection activeCell="C3" sqref="C3"/>
    </sheetView>
  </sheetViews>
  <sheetFormatPr baseColWidth="10" defaultColWidth="8.83203125" defaultRowHeight="15" x14ac:dyDescent="0.2"/>
  <cols>
    <col min="1" max="1" width="60.5" style="18" customWidth="1"/>
    <col min="2" max="2" width="34.6640625" style="18" customWidth="1"/>
    <col min="3" max="3" width="21" style="18" customWidth="1"/>
    <col min="4" max="4" width="25.83203125" style="18" customWidth="1"/>
    <col min="5" max="5" width="22.1640625" style="18" customWidth="1"/>
    <col min="6" max="6" width="19" style="18" customWidth="1"/>
    <col min="7" max="7" width="16.6640625" style="18" customWidth="1"/>
    <col min="8" max="8" width="32.33203125" style="18" customWidth="1"/>
    <col min="9" max="9" width="23.1640625" customWidth="1"/>
    <col min="10" max="10" width="35" style="18" customWidth="1"/>
    <col min="11" max="11" width="44" style="18" customWidth="1"/>
    <col min="12" max="12" width="26" style="18" customWidth="1"/>
    <col min="13" max="16" width="8.83203125" style="18" customWidth="1"/>
    <col min="17" max="16384" width="8.83203125" style="18"/>
  </cols>
  <sheetData>
    <row r="1" spans="1:9" ht="35" customHeight="1" x14ac:dyDescent="0.2">
      <c r="A1" s="100" t="s">
        <v>0</v>
      </c>
      <c r="B1" s="98"/>
      <c r="C1" s="98"/>
      <c r="D1" s="98"/>
      <c r="E1" s="98"/>
      <c r="F1" s="98"/>
      <c r="G1" s="98"/>
      <c r="H1" s="98"/>
      <c r="I1" s="99"/>
    </row>
    <row r="3" spans="1:9" ht="43" customHeight="1" x14ac:dyDescent="0.25">
      <c r="A3" s="86" t="s">
        <v>1</v>
      </c>
      <c r="C3" s="113" t="s">
        <v>183</v>
      </c>
    </row>
    <row r="4" spans="1:9" ht="16" customHeight="1" x14ac:dyDescent="0.2"/>
    <row r="5" spans="1:9" s="19" customFormat="1" ht="30" customHeight="1" x14ac:dyDescent="0.2">
      <c r="A5" s="87" t="s">
        <v>2</v>
      </c>
      <c r="B5" s="87" t="s">
        <v>3</v>
      </c>
      <c r="C5" s="87" t="s">
        <v>4</v>
      </c>
      <c r="D5" s="87" t="s">
        <v>5</v>
      </c>
      <c r="E5" s="88" t="s">
        <v>6</v>
      </c>
      <c r="F5" s="88" t="s">
        <v>7</v>
      </c>
      <c r="G5" s="88" t="s">
        <v>8</v>
      </c>
      <c r="H5" s="87" t="s">
        <v>9</v>
      </c>
      <c r="I5" s="87" t="s">
        <v>10</v>
      </c>
    </row>
    <row r="6" spans="1:9" ht="17" customHeight="1" x14ac:dyDescent="0.2">
      <c r="A6" s="89" t="s">
        <v>11</v>
      </c>
      <c r="B6" s="90">
        <v>2.1280000000000001</v>
      </c>
      <c r="C6" s="91">
        <f>'1_MEDS_Baseline_Grid'!A36</f>
        <v>5</v>
      </c>
      <c r="D6" s="92"/>
      <c r="E6" s="91">
        <f>ROUND(C6 * (('2_MPOB_Foster_Nutrient_Balance'!M5 - B6) / '2_MPOB_Foster_Nutrient_Balance'!M5), 2)</f>
        <v>1.1499999999999999</v>
      </c>
      <c r="F6" s="93">
        <f>C6+E6</f>
        <v>6.15</v>
      </c>
      <c r="G6" s="94">
        <f>F6*'1_MEDS_Baseline_Grid'!$B$6</f>
        <v>910.2</v>
      </c>
      <c r="H6" s="95" t="s">
        <v>12</v>
      </c>
      <c r="I6" s="91">
        <f>F6/0.21</f>
        <v>29.285714285714288</v>
      </c>
    </row>
    <row r="7" spans="1:9" ht="17" customHeight="1" x14ac:dyDescent="0.2">
      <c r="A7" s="89" t="s">
        <v>13</v>
      </c>
      <c r="B7" s="90">
        <v>0.14499999999999999</v>
      </c>
      <c r="C7" s="96">
        <v>0.27</v>
      </c>
      <c r="D7" s="90">
        <f>'2_MPOB_Foster_Nutrient_Balance'!M11</f>
        <v>0.1678</v>
      </c>
      <c r="E7" s="91">
        <f>'2_MPOB_Foster_Nutrient_Balance'!Z19</f>
        <v>0.5</v>
      </c>
      <c r="F7" s="93">
        <f>MAX(0, C7 + E7)</f>
        <v>0.77</v>
      </c>
      <c r="G7" s="94">
        <f>F7*'1_MEDS_Baseline_Grid'!$B$6</f>
        <v>113.96000000000001</v>
      </c>
      <c r="H7" s="95" t="s">
        <v>14</v>
      </c>
      <c r="I7" s="91">
        <f>F7/0.13</f>
        <v>5.9230769230769234</v>
      </c>
    </row>
    <row r="8" spans="1:9" ht="17" customHeight="1" x14ac:dyDescent="0.2">
      <c r="A8" s="89" t="s">
        <v>15</v>
      </c>
      <c r="B8" s="90">
        <v>0.95099999999999996</v>
      </c>
      <c r="C8" s="91">
        <f>'1_MEDS_Baseline_Grid'!K25</f>
        <v>4.5</v>
      </c>
      <c r="D8" s="92"/>
      <c r="E8" s="91">
        <f>ROUND(C8 * (('2_MPOB_Foster_Nutrient_Balance'!M17 - B8) / '2_MPOB_Foster_Nutrient_Balance'!M17), 2)</f>
        <v>0.56000000000000005</v>
      </c>
      <c r="F8" s="93">
        <f>C8+E8</f>
        <v>5.0600000000000005</v>
      </c>
      <c r="G8" s="94">
        <f>F8*'1_MEDS_Baseline_Grid'!$B$6</f>
        <v>748.88000000000011</v>
      </c>
      <c r="H8" s="95" t="s">
        <v>16</v>
      </c>
      <c r="I8" s="91">
        <f>F8/0.5</f>
        <v>10.120000000000001</v>
      </c>
    </row>
    <row r="9" spans="1:9" ht="17" customHeight="1" x14ac:dyDescent="0.2">
      <c r="A9" s="89" t="s">
        <v>17</v>
      </c>
      <c r="B9" s="90">
        <v>0.5</v>
      </c>
      <c r="C9" s="96">
        <v>0</v>
      </c>
      <c r="D9" s="90">
        <f>'2_MPOB_Foster_Nutrient_Balance'!M23</f>
        <v>0.26900000000000002</v>
      </c>
      <c r="E9" s="91">
        <f>'2_MPOB_Foster_Nutrient_Balance'!Z21</f>
        <v>-0.5</v>
      </c>
      <c r="F9" s="93">
        <f>MAX(0, C9 + E9)</f>
        <v>0</v>
      </c>
      <c r="G9" s="94">
        <f>F9*'1_MEDS_Baseline_Grid'!$B$6</f>
        <v>0</v>
      </c>
      <c r="H9" s="95" t="s">
        <v>18</v>
      </c>
      <c r="I9" s="91">
        <f>F9/0.16</f>
        <v>0</v>
      </c>
    </row>
    <row r="12" spans="1:9" ht="17" customHeight="1" x14ac:dyDescent="0.25">
      <c r="A12" s="86" t="s">
        <v>19</v>
      </c>
    </row>
    <row r="14" spans="1:9" x14ac:dyDescent="0.2">
      <c r="A14" s="2" t="s">
        <v>20</v>
      </c>
      <c r="B14" s="97" t="s">
        <v>21</v>
      </c>
      <c r="C14" s="98"/>
      <c r="D14" s="98"/>
      <c r="E14" s="98"/>
      <c r="F14" s="98"/>
      <c r="G14" s="98"/>
      <c r="H14" s="98"/>
      <c r="I14" s="99"/>
    </row>
    <row r="15" spans="1:9" x14ac:dyDescent="0.2">
      <c r="A15" s="2" t="s">
        <v>22</v>
      </c>
      <c r="B15" s="97" t="s">
        <v>23</v>
      </c>
      <c r="C15" s="98"/>
      <c r="D15" s="98"/>
      <c r="E15" s="98"/>
      <c r="F15" s="98"/>
      <c r="G15" s="98"/>
      <c r="H15" s="98"/>
      <c r="I15" s="99"/>
    </row>
    <row r="16" spans="1:9" x14ac:dyDescent="0.2">
      <c r="A16" s="2" t="s">
        <v>24</v>
      </c>
      <c r="B16" s="97" t="s">
        <v>25</v>
      </c>
      <c r="C16" s="98"/>
      <c r="D16" s="98"/>
      <c r="E16" s="98"/>
      <c r="F16" s="98"/>
      <c r="G16" s="98"/>
      <c r="H16" s="98"/>
      <c r="I16" s="99"/>
    </row>
    <row r="17" spans="1:9" x14ac:dyDescent="0.2">
      <c r="A17" s="2" t="s">
        <v>26</v>
      </c>
      <c r="B17" s="97" t="s">
        <v>27</v>
      </c>
      <c r="C17" s="98"/>
      <c r="D17" s="98"/>
      <c r="E17" s="98"/>
      <c r="F17" s="98"/>
      <c r="G17" s="98"/>
      <c r="H17" s="98"/>
      <c r="I17" s="99"/>
    </row>
    <row r="18" spans="1:9" x14ac:dyDescent="0.2">
      <c r="A18" s="2" t="s">
        <v>28</v>
      </c>
      <c r="B18" s="97"/>
      <c r="C18" s="98"/>
      <c r="D18" s="98"/>
      <c r="E18" s="98"/>
      <c r="F18" s="98"/>
      <c r="G18" s="98"/>
      <c r="H18" s="98"/>
      <c r="I18" s="99"/>
    </row>
  </sheetData>
  <mergeCells count="6">
    <mergeCell ref="B18:I18"/>
    <mergeCell ref="B15:I15"/>
    <mergeCell ref="B16:I16"/>
    <mergeCell ref="A1:I1"/>
    <mergeCell ref="B14:I14"/>
    <mergeCell ref="B17:I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"/>
  <sheetViews>
    <sheetView workbookViewId="0">
      <selection activeCell="C26" sqref="C26"/>
    </sheetView>
  </sheetViews>
  <sheetFormatPr baseColWidth="10" defaultColWidth="8.83203125" defaultRowHeight="15" x14ac:dyDescent="0.2"/>
  <cols>
    <col min="1" max="1" width="38.1640625" customWidth="1"/>
    <col min="2" max="2" width="38.5" customWidth="1"/>
    <col min="3" max="3" width="42" customWidth="1"/>
    <col min="4" max="4" width="30" customWidth="1"/>
    <col min="5" max="5" width="31.1640625" customWidth="1"/>
    <col min="6" max="6" width="17.6640625" customWidth="1"/>
    <col min="7" max="7" width="26.83203125" customWidth="1"/>
    <col min="8" max="8" width="18.83203125" customWidth="1"/>
    <col min="9" max="9" width="19" customWidth="1"/>
  </cols>
  <sheetData>
    <row r="1" spans="1:9" ht="35" customHeight="1" x14ac:dyDescent="0.2">
      <c r="A1" s="104" t="s">
        <v>136</v>
      </c>
      <c r="B1" s="99"/>
      <c r="C1" s="99"/>
      <c r="D1" s="99"/>
      <c r="E1" s="99"/>
      <c r="F1" s="99"/>
      <c r="G1" s="99"/>
      <c r="H1" s="99"/>
      <c r="I1" s="99"/>
    </row>
    <row r="3" spans="1:9" ht="26" customHeight="1" x14ac:dyDescent="0.35">
      <c r="A3" s="85" t="s">
        <v>137</v>
      </c>
    </row>
    <row r="4" spans="1:9" ht="22" customHeight="1" x14ac:dyDescent="0.25">
      <c r="B4" s="67"/>
      <c r="C4" s="67" t="s">
        <v>138</v>
      </c>
    </row>
    <row r="5" spans="1:9" x14ac:dyDescent="0.2">
      <c r="A5" s="2" t="s">
        <v>139</v>
      </c>
      <c r="B5" s="54" t="s">
        <v>140</v>
      </c>
      <c r="C5" s="55" t="s">
        <v>141</v>
      </c>
    </row>
    <row r="6" spans="1:9" x14ac:dyDescent="0.2">
      <c r="A6" s="2" t="s">
        <v>142</v>
      </c>
      <c r="B6" s="56">
        <v>0.17</v>
      </c>
      <c r="C6" s="55" t="s">
        <v>143</v>
      </c>
    </row>
    <row r="7" spans="1:9" x14ac:dyDescent="0.2">
      <c r="A7" s="2" t="s">
        <v>144</v>
      </c>
      <c r="B7" s="56">
        <v>0.17</v>
      </c>
      <c r="C7" s="55" t="s">
        <v>145</v>
      </c>
    </row>
    <row r="8" spans="1:9" x14ac:dyDescent="0.2">
      <c r="A8" s="2" t="s">
        <v>146</v>
      </c>
      <c r="B8" s="56">
        <v>0.17</v>
      </c>
      <c r="C8" s="55" t="s">
        <v>147</v>
      </c>
    </row>
    <row r="9" spans="1:9" x14ac:dyDescent="0.2">
      <c r="A9" s="2" t="s">
        <v>148</v>
      </c>
      <c r="B9" s="56">
        <v>0.03</v>
      </c>
      <c r="C9" s="55" t="s">
        <v>149</v>
      </c>
    </row>
    <row r="10" spans="1:9" x14ac:dyDescent="0.2">
      <c r="A10" s="2" t="s">
        <v>150</v>
      </c>
      <c r="B10" s="57">
        <v>680</v>
      </c>
      <c r="C10" s="55" t="s">
        <v>151</v>
      </c>
    </row>
    <row r="11" spans="1:9" x14ac:dyDescent="0.2">
      <c r="A11" s="2" t="s">
        <v>152</v>
      </c>
      <c r="B11" s="57">
        <v>2200</v>
      </c>
      <c r="C11" s="55" t="s">
        <v>51</v>
      </c>
    </row>
    <row r="12" spans="1:9" x14ac:dyDescent="0.2">
      <c r="A12" s="2" t="s">
        <v>153</v>
      </c>
      <c r="B12" s="54">
        <f>'1_MEDS_Baseline_Grid'!B6</f>
        <v>148</v>
      </c>
      <c r="C12" s="55" t="s">
        <v>34</v>
      </c>
    </row>
    <row r="14" spans="1:9" ht="26" customHeight="1" x14ac:dyDescent="0.35">
      <c r="A14" s="85" t="s">
        <v>154</v>
      </c>
    </row>
    <row r="15" spans="1:9" ht="19" customHeight="1" x14ac:dyDescent="0.25">
      <c r="G15" s="28" t="s">
        <v>155</v>
      </c>
    </row>
    <row r="16" spans="1:9" s="19" customFormat="1" ht="41" customHeight="1" x14ac:dyDescent="0.2">
      <c r="A16" s="68" t="s">
        <v>2</v>
      </c>
      <c r="B16" s="69" t="s">
        <v>156</v>
      </c>
      <c r="C16" s="69" t="s">
        <v>157</v>
      </c>
      <c r="D16" s="70" t="s">
        <v>158</v>
      </c>
      <c r="E16" s="72" t="s">
        <v>159</v>
      </c>
      <c r="F16" s="73" t="s">
        <v>160</v>
      </c>
      <c r="G16" s="72" t="s">
        <v>161</v>
      </c>
      <c r="H16" s="79" t="s">
        <v>162</v>
      </c>
      <c r="I16" s="73" t="s">
        <v>163</v>
      </c>
    </row>
    <row r="17" spans="1:9" x14ac:dyDescent="0.2">
      <c r="A17" s="58" t="s">
        <v>11</v>
      </c>
      <c r="B17" s="59">
        <f>'3_Final_Fertilizer_Rec'!E6</f>
        <v>1.1499999999999999</v>
      </c>
      <c r="C17" s="59">
        <f>ROUND(($B$10*$B$6)/$B$12, 3)</f>
        <v>0.78100000000000003</v>
      </c>
      <c r="D17" s="71">
        <f>ROUND($B$10*$B$6, 2)</f>
        <v>115.6</v>
      </c>
      <c r="E17" s="74">
        <f>MAX(0, B17-C17)</f>
        <v>0.36899999999999988</v>
      </c>
      <c r="F17" s="75">
        <f>E17*$B$12</f>
        <v>54.611999999999981</v>
      </c>
      <c r="G17" s="80" t="s">
        <v>12</v>
      </c>
      <c r="H17" s="78">
        <f>E17/0.21</f>
        <v>1.7571428571428567</v>
      </c>
      <c r="I17" s="81">
        <f>H17*$B$12</f>
        <v>260.05714285714276</v>
      </c>
    </row>
    <row r="18" spans="1:9" x14ac:dyDescent="0.2">
      <c r="A18" s="58" t="s">
        <v>13</v>
      </c>
      <c r="B18" s="59">
        <f>'3_Final_Fertilizer_Rec'!E7</f>
        <v>0.5</v>
      </c>
      <c r="C18" s="59">
        <f>ROUND(($B$10*($B$7*0.4364))/$B$12, 3)</f>
        <v>0.34100000000000003</v>
      </c>
      <c r="D18" s="71">
        <f>ROUND($B$10*($B$7*0.4364), 2)</f>
        <v>50.45</v>
      </c>
      <c r="E18" s="74">
        <f>MAX(0, B18-C18)</f>
        <v>0.15899999999999997</v>
      </c>
      <c r="F18" s="75">
        <f>E18*$B$12</f>
        <v>23.531999999999996</v>
      </c>
      <c r="G18" s="80" t="s">
        <v>14</v>
      </c>
      <c r="H18" s="78">
        <f>E18/0.13</f>
        <v>1.223076923076923</v>
      </c>
      <c r="I18" s="81">
        <f>H18*$B$12</f>
        <v>181.01538461538459</v>
      </c>
    </row>
    <row r="19" spans="1:9" x14ac:dyDescent="0.2">
      <c r="A19" s="58" t="s">
        <v>15</v>
      </c>
      <c r="B19" s="59">
        <f>'3_Final_Fertilizer_Rec'!E8</f>
        <v>0.56000000000000005</v>
      </c>
      <c r="C19" s="59">
        <f>ROUND(($B$10*($B$8*0.8302))/$B$12, 3)</f>
        <v>0.64800000000000002</v>
      </c>
      <c r="D19" s="71">
        <f>ROUND($B$10*($B$8*0.8302), 2)</f>
        <v>95.97</v>
      </c>
      <c r="E19" s="74">
        <f>MAX(0, B19-C19)</f>
        <v>0</v>
      </c>
      <c r="F19" s="75">
        <f>E19*$B$12</f>
        <v>0</v>
      </c>
      <c r="G19" s="80" t="s">
        <v>16</v>
      </c>
      <c r="H19" s="78">
        <f>E19/0.5</f>
        <v>0</v>
      </c>
      <c r="I19" s="81">
        <f>H19*$B$12</f>
        <v>0</v>
      </c>
    </row>
    <row r="20" spans="1:9" x14ac:dyDescent="0.2">
      <c r="A20" s="58" t="s">
        <v>17</v>
      </c>
      <c r="B20" s="59">
        <f>'3_Final_Fertilizer_Rec'!E9</f>
        <v>-0.5</v>
      </c>
      <c r="C20" s="59">
        <f>ROUND(($B$10*($B$9*0.603))/$B$12, 3)</f>
        <v>8.3000000000000004E-2</v>
      </c>
      <c r="D20" s="71">
        <f>ROUND($B$10*($B$9*0.603), 2)</f>
        <v>12.3</v>
      </c>
      <c r="E20" s="76">
        <f>MAX(0, B20-C20)</f>
        <v>0</v>
      </c>
      <c r="F20" s="77">
        <f>E20*$B$12</f>
        <v>0</v>
      </c>
      <c r="G20" s="82" t="s">
        <v>18</v>
      </c>
      <c r="H20" s="83">
        <f>E20/0.16</f>
        <v>0</v>
      </c>
      <c r="I20" s="84">
        <f>H20*$B$12</f>
        <v>0</v>
      </c>
    </row>
    <row r="23" spans="1:9" ht="26" customHeight="1" x14ac:dyDescent="0.35">
      <c r="A23" s="85" t="s">
        <v>164</v>
      </c>
    </row>
    <row r="25" spans="1:9" x14ac:dyDescent="0.2">
      <c r="A25" s="60" t="s">
        <v>165</v>
      </c>
      <c r="B25" s="60" t="s">
        <v>166</v>
      </c>
      <c r="C25" s="60" t="s">
        <v>167</v>
      </c>
      <c r="D25" s="60" t="s">
        <v>168</v>
      </c>
      <c r="E25" s="60" t="s">
        <v>169</v>
      </c>
    </row>
    <row r="26" spans="1:9" x14ac:dyDescent="0.2">
      <c r="A26" s="61" t="s">
        <v>170</v>
      </c>
      <c r="B26" s="62">
        <f>ROUND(($B$10/1000)*$B$11, 2)</f>
        <v>1496</v>
      </c>
      <c r="C26" s="62" t="e">
        <f>ROUND(('3_Final_Fertilizer_Rec'!H6*B12/1000*'1_MEDS_Baseline_Grid'!B17) + ('3_Final_Fertilizer_Rec'!H7*B12/1000*1100) + ('3_Final_Fertilizer_Rec'!H8*B12/1000*'1_MEDS_Baseline_Grid'!B18) + ('3_Final_Fertilizer_Rec'!H9*B12/1000*900), 2)</f>
        <v>#VALUE!</v>
      </c>
      <c r="D26" s="63" t="e">
        <f>C26-B26</f>
        <v>#VALUE!</v>
      </c>
      <c r="E26" s="64" t="s">
        <v>171</v>
      </c>
    </row>
    <row r="27" spans="1:9" x14ac:dyDescent="0.2">
      <c r="A27" s="61" t="s">
        <v>172</v>
      </c>
      <c r="B27" s="59">
        <f>'1_MEDS_Baseline_Grid'!B20</f>
        <v>14.38</v>
      </c>
      <c r="C27" s="59">
        <f>'3_Final_Fertilizer_Rec'!F6/'1_MEDS_Baseline_Grid'!B6 + '1_MEDS_Baseline_Grid'!B20</f>
        <v>14.421554054054054</v>
      </c>
      <c r="D27" s="65">
        <f>C27-B27</f>
        <v>4.1554054054053324E-2</v>
      </c>
      <c r="E27" s="64" t="s">
        <v>173</v>
      </c>
    </row>
    <row r="28" spans="1:9" x14ac:dyDescent="0.2">
      <c r="A28" s="61" t="s">
        <v>174</v>
      </c>
      <c r="B28" s="62">
        <f>ROUND(B27*'1_MEDS_Baseline_Grid'!B16, 2)</f>
        <v>11504</v>
      </c>
      <c r="C28" s="62">
        <f>ROUND(C27*'1_MEDS_Baseline_Grid'!B16, 2)</f>
        <v>11537.24</v>
      </c>
      <c r="D28" s="63">
        <f>C28-B28</f>
        <v>33.239999999999782</v>
      </c>
      <c r="E28" s="64" t="s">
        <v>175</v>
      </c>
    </row>
    <row r="29" spans="1:9" x14ac:dyDescent="0.2">
      <c r="A29" s="61" t="s">
        <v>176</v>
      </c>
      <c r="B29" s="66">
        <f>ROUND(B28-B26, 2)</f>
        <v>10008</v>
      </c>
      <c r="C29" s="66" t="e">
        <f>ROUND(C28-C26, 2)</f>
        <v>#VALUE!</v>
      </c>
      <c r="D29" s="63" t="e">
        <f>C29-B29</f>
        <v>#VALUE!</v>
      </c>
      <c r="E29" s="64" t="s">
        <v>177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1_MEDS_Baseline_Grid</vt:lpstr>
      <vt:lpstr>2_MPOB_Foster_Nutrient_Balance</vt:lpstr>
      <vt:lpstr>3_Final_Fertilizer_Rec</vt:lpstr>
      <vt:lpstr>4_Current_Usage_Analysis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Siti Aisyah Jaafar</cp:lastModifiedBy>
  <dcterms:created xsi:type="dcterms:W3CDTF">2026-08-17T03:53:17Z</dcterms:created>
  <dcterms:modified xsi:type="dcterms:W3CDTF">2026-08-18T06:51:50Z</dcterms:modified>
</cp:coreProperties>
</file>